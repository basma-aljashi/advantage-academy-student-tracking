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25A83F-5E61-479C-8E62-6A14FD6C59D7}" xr6:coauthVersionLast="47" xr6:coauthVersionMax="47" xr10:uidLastSave="{00000000-0000-0000-0000-000000000000}"/>
  <bookViews>
    <workbookView xWindow="-110" yWindow="-110" windowWidth="19420" windowHeight="10300" firstSheet="16" activeTab="17" xr2:uid="{00000000-000D-0000-FFFF-FFFF00000000}"/>
  </bookViews>
  <sheets>
    <sheet name="Attendance 10 FEMALES" sheetId="1" r:id="rId1"/>
    <sheet name="Attendance 11 FEMALES" sheetId="4" r:id="rId2"/>
    <sheet name="Attendance 12 FEMALES" sheetId="7" r:id="rId3"/>
    <sheet name="Attendance 10 MALES" sheetId="10" r:id="rId4"/>
    <sheet name="Attendance 11 MALES" sheetId="13" r:id="rId5"/>
    <sheet name="Attendance 12 MALES" sheetId="16" r:id="rId6"/>
    <sheet name="Participation 10 FEMALES" sheetId="2" r:id="rId7"/>
    <sheet name="Participation 11 FEMALES" sheetId="5" r:id="rId8"/>
    <sheet name="Participation 12 FEMALES" sheetId="8" r:id="rId9"/>
    <sheet name="General Information 10 FEMALE" sheetId="3" r:id="rId10"/>
    <sheet name="General Information 11 FEMALE" sheetId="6" r:id="rId11"/>
    <sheet name="General Information 12 FEMALE" sheetId="9" r:id="rId12"/>
    <sheet name="Participation 10 MALES" sheetId="11" r:id="rId13"/>
    <sheet name="Participation 11 MALES" sheetId="14" r:id="rId14"/>
    <sheet name="Participation 12 MALES" sheetId="17" r:id="rId15"/>
    <sheet name="General Information 10 MALES" sheetId="12" r:id="rId16"/>
    <sheet name="General Information 11 MALES" sheetId="15" r:id="rId17"/>
    <sheet name="General Information 12 MALES" sheetId="18" r:id="rId18"/>
  </sheets>
  <definedNames>
    <definedName name="_xlnm._FilterDatabase" localSheetId="0" hidden="1">'Attendance 10 FEMALES'!$A$1:$AE$46</definedName>
    <definedName name="_xlnm._FilterDatabase" localSheetId="3" hidden="1">'Attendance 10 MALES'!$A$1:$AE$38</definedName>
    <definedName name="_xlnm._FilterDatabase" localSheetId="1" hidden="1">'Attendance 11 FEMALES'!$A$1:$AE$42</definedName>
    <definedName name="_xlnm._FilterDatabase" localSheetId="4" hidden="1">'Attendance 11 MALES'!$A$1:$AE$42</definedName>
    <definedName name="_xlnm._FilterDatabase" localSheetId="2" hidden="1">'Attendance 12 FEMALES'!$A$1:$AE$37</definedName>
    <definedName name="_xlnm._FilterDatabase" localSheetId="5" hidden="1">'Attendance 12 MALES'!$A$1:$AE$34</definedName>
    <definedName name="_xlnm._FilterDatabase" localSheetId="9" hidden="1">'General Information 10 FEMALE'!$A$1:$E$36</definedName>
    <definedName name="_xlnm._FilterDatabase" localSheetId="15" hidden="1">'General Information 10 MALES'!$A$1:$E$36</definedName>
    <definedName name="_xlnm._FilterDatabase" localSheetId="10" hidden="1">'General Information 11 FEMALE'!$A$1:$E$40</definedName>
    <definedName name="_xlnm._FilterDatabase" localSheetId="16" hidden="1">'General Information 11 MALES'!$A$1:$E$36</definedName>
    <definedName name="_xlnm._FilterDatabase" localSheetId="11" hidden="1">'General Information 12 FEMALE'!$A$1:$E$34</definedName>
    <definedName name="_xlnm._FilterDatabase" localSheetId="17" hidden="1">'General Information 12 MALES'!$A$1:$H$31</definedName>
    <definedName name="_xlnm._FilterDatabase" localSheetId="6" hidden="1">'Participation 10 FEMALES'!$A$1:$AD$37</definedName>
    <definedName name="_xlnm._FilterDatabase" localSheetId="12" hidden="1">'Participation 10 MALES'!$A$1:$AD$39</definedName>
    <definedName name="_xlnm._FilterDatabase" localSheetId="7" hidden="1">'Participation 11 FEMALES'!$A$1:$AD$42</definedName>
    <definedName name="_xlnm._FilterDatabase" localSheetId="13" hidden="1">'Participation 11 MALES'!$A$1:$AD$43</definedName>
    <definedName name="_xlnm._FilterDatabase" localSheetId="8" hidden="1">'Participation 12 FEMALES'!$A$1:$AD$38</definedName>
    <definedName name="_xlnm._FilterDatabase" localSheetId="14" hidden="1">'Participation 12 MALES'!$A$1:$AE$37</definedName>
    <definedName name="_xlnm.Print_Titles" localSheetId="0">'Attendance 10 FEMALES'!$1:$1</definedName>
    <definedName name="_xlnm.Print_Titles" localSheetId="3">'Attendance 10 MALES'!$1:$1</definedName>
    <definedName name="_xlnm.Print_Titles" localSheetId="1">'Attendance 11 FEMALES'!$1:$1</definedName>
    <definedName name="_xlnm.Print_Titles" localSheetId="4">'Attendance 11 MALES'!$1:$1</definedName>
    <definedName name="_xlnm.Print_Titles" localSheetId="2">'Attendance 12 FEMALES'!$1:$1</definedName>
    <definedName name="_xlnm.Print_Titles" localSheetId="5">'Attendance 12 MALES'!$1:$1</definedName>
    <definedName name="_xlnm.Print_Titles" localSheetId="9">'General Information 10 FEMALE'!$1:$1</definedName>
    <definedName name="_xlnm.Print_Titles" localSheetId="15">'General Information 10 MALES'!$1:$1</definedName>
    <definedName name="_xlnm.Print_Titles" localSheetId="10">'General Information 11 FEMALE'!$1:$1</definedName>
    <definedName name="_xlnm.Print_Titles" localSheetId="16">'General Information 11 MALES'!$1:$1</definedName>
    <definedName name="_xlnm.Print_Titles" localSheetId="11">'General Information 12 FEMALE'!$1:$1</definedName>
    <definedName name="_xlnm.Print_Titles" localSheetId="17">'General Information 12 MALES'!$1:$1</definedName>
    <definedName name="_xlnm.Print_Titles" localSheetId="6">'Participation 10 FEMALES'!$1:$1</definedName>
    <definedName name="_xlnm.Print_Titles" localSheetId="12">'Participation 10 MALES'!$1:$1</definedName>
    <definedName name="_xlnm.Print_Titles" localSheetId="7">'Participation 11 FEMALES'!$1:$1</definedName>
    <definedName name="_xlnm.Print_Titles" localSheetId="13">'Participation 11 MALES'!$1:$1</definedName>
    <definedName name="_xlnm.Print_Titles" localSheetId="8">'Participation 12 FEMALES'!$1:$1</definedName>
    <definedName name="_xlnm.Print_Titles" localSheetId="14">'Participation 12 MALES'!$1:$1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" i="17" l="1"/>
  <c r="AD34" i="17"/>
  <c r="AD33" i="17"/>
  <c r="AD32" i="17"/>
  <c r="AD31" i="17"/>
  <c r="AD30" i="17"/>
  <c r="AD29" i="17"/>
  <c r="AD28" i="17"/>
  <c r="AD27" i="17"/>
  <c r="AD26" i="17"/>
  <c r="AD25" i="17"/>
  <c r="AD24" i="17"/>
  <c r="AD23" i="17"/>
  <c r="AD22" i="17"/>
  <c r="AD21" i="17"/>
  <c r="AD20" i="17"/>
  <c r="AD19" i="17"/>
  <c r="AD18" i="17"/>
  <c r="AD17" i="17"/>
  <c r="AD16" i="17"/>
  <c r="AD15" i="17"/>
  <c r="AD14" i="17"/>
  <c r="AD13" i="17"/>
  <c r="AD12" i="17"/>
  <c r="AD11" i="17"/>
  <c r="AD10" i="17"/>
  <c r="AD9" i="17"/>
  <c r="AD8" i="17"/>
  <c r="AD7" i="17"/>
  <c r="AD6" i="17"/>
  <c r="AD5" i="17"/>
  <c r="AD4" i="17"/>
  <c r="AD3" i="17"/>
  <c r="AD2" i="17"/>
  <c r="AD34" i="16"/>
  <c r="AC34" i="16"/>
  <c r="AD33" i="16"/>
  <c r="AC33" i="16"/>
  <c r="AD32" i="16"/>
  <c r="AC32" i="16"/>
  <c r="AD31" i="16"/>
  <c r="AC31" i="16"/>
  <c r="AD30" i="16"/>
  <c r="AC30" i="16"/>
  <c r="AD29" i="16"/>
  <c r="AC29" i="16"/>
  <c r="AD28" i="16"/>
  <c r="AC28" i="16"/>
  <c r="AD27" i="16"/>
  <c r="AC27" i="16"/>
  <c r="AD26" i="16"/>
  <c r="AC26" i="16"/>
  <c r="AD25" i="16"/>
  <c r="AC25" i="16"/>
  <c r="AD24" i="16"/>
  <c r="AC24" i="16"/>
  <c r="AD23" i="16"/>
  <c r="AC23" i="16"/>
  <c r="AD22" i="16"/>
  <c r="AC22" i="16"/>
  <c r="AD21" i="16"/>
  <c r="AC21" i="16"/>
  <c r="AD20" i="16"/>
  <c r="AC20" i="16"/>
  <c r="AD19" i="16"/>
  <c r="AC19" i="16"/>
  <c r="AD18" i="16"/>
  <c r="AC18" i="16"/>
  <c r="AD17" i="16"/>
  <c r="AC17" i="16"/>
  <c r="AD16" i="16"/>
  <c r="AC16" i="16"/>
  <c r="AD15" i="16"/>
  <c r="AC15" i="16"/>
  <c r="AD14" i="16"/>
  <c r="AC14" i="16"/>
  <c r="AD13" i="16"/>
  <c r="AC13" i="16"/>
  <c r="AD12" i="16"/>
  <c r="AC12" i="16"/>
  <c r="AD11" i="16"/>
  <c r="AC11" i="16"/>
  <c r="AD10" i="16"/>
  <c r="AC10" i="16"/>
  <c r="AD9" i="16"/>
  <c r="AC9" i="16"/>
  <c r="AD8" i="16"/>
  <c r="AC8" i="16"/>
  <c r="AD7" i="16"/>
  <c r="AC7" i="16"/>
  <c r="AD6" i="16"/>
  <c r="AC6" i="16"/>
  <c r="AD5" i="16"/>
  <c r="AC5" i="16"/>
  <c r="AD4" i="16"/>
  <c r="AC4" i="16"/>
  <c r="AD3" i="16"/>
  <c r="AC3" i="16"/>
  <c r="AD2" i="16"/>
  <c r="AC2" i="16"/>
  <c r="AD41" i="13"/>
  <c r="AC41" i="13"/>
  <c r="AD40" i="13"/>
  <c r="AC40" i="13"/>
  <c r="AD39" i="13"/>
  <c r="AC39" i="13"/>
  <c r="AD38" i="13"/>
  <c r="AC38" i="13"/>
  <c r="AD37" i="13"/>
  <c r="AC37" i="13"/>
  <c r="AD36" i="13"/>
  <c r="AC36" i="13"/>
  <c r="AD35" i="13"/>
  <c r="AC35" i="13"/>
  <c r="AD34" i="13"/>
  <c r="AC34" i="13"/>
  <c r="AD33" i="13"/>
  <c r="AC33" i="13"/>
  <c r="AD32" i="13"/>
  <c r="AC32" i="13"/>
  <c r="AD31" i="13"/>
  <c r="AC31" i="13"/>
  <c r="AD30" i="13"/>
  <c r="AC30" i="13"/>
  <c r="AD29" i="13"/>
  <c r="AC29" i="13"/>
  <c r="AD28" i="13"/>
  <c r="AC28" i="13"/>
  <c r="AD27" i="13"/>
  <c r="AC27" i="13"/>
  <c r="AD26" i="13"/>
  <c r="AC26" i="13"/>
  <c r="AD25" i="13"/>
  <c r="AC25" i="13"/>
  <c r="AD24" i="13"/>
  <c r="AC24" i="13"/>
  <c r="AD23" i="13"/>
  <c r="AC23" i="13"/>
  <c r="AD22" i="13"/>
  <c r="AC22" i="13"/>
  <c r="AD21" i="13"/>
  <c r="AC21" i="13"/>
  <c r="AD20" i="13"/>
  <c r="AC20" i="13"/>
  <c r="AD19" i="13"/>
  <c r="AC19" i="13"/>
  <c r="AD18" i="13"/>
  <c r="AC18" i="13"/>
  <c r="AD17" i="13"/>
  <c r="AC17" i="13"/>
  <c r="AD16" i="13"/>
  <c r="AC16" i="13"/>
  <c r="AD15" i="13"/>
  <c r="AC15" i="13"/>
  <c r="AD14" i="13"/>
  <c r="AC14" i="13"/>
  <c r="AD13" i="13"/>
  <c r="AC13" i="13"/>
  <c r="AD12" i="13"/>
  <c r="AC12" i="13"/>
  <c r="AD11" i="13"/>
  <c r="AC11" i="13"/>
  <c r="AD10" i="13"/>
  <c r="AC10" i="13"/>
  <c r="AD9" i="13"/>
  <c r="AC9" i="13"/>
  <c r="AD8" i="13"/>
  <c r="AC8" i="13"/>
  <c r="AD7" i="13"/>
  <c r="AC7" i="13"/>
  <c r="AD6" i="13"/>
  <c r="AC6" i="13"/>
  <c r="AD5" i="13"/>
  <c r="AC5" i="13"/>
  <c r="AD4" i="13"/>
  <c r="AC4" i="13"/>
  <c r="AD3" i="13"/>
  <c r="AC3" i="13"/>
  <c r="AD2" i="13"/>
  <c r="AC2" i="13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17" i="11"/>
  <c r="AD16" i="11"/>
  <c r="AD15" i="11"/>
  <c r="AD14" i="11"/>
  <c r="AD13" i="11"/>
  <c r="AD12" i="11"/>
  <c r="AD11" i="11"/>
  <c r="AD10" i="11"/>
  <c r="AD9" i="11"/>
  <c r="AD8" i="11"/>
  <c r="AD7" i="11"/>
  <c r="AD6" i="11"/>
  <c r="AD5" i="11"/>
  <c r="AD4" i="11"/>
  <c r="AD3" i="11"/>
  <c r="AD2" i="11"/>
  <c r="AD38" i="10"/>
  <c r="AC38" i="10"/>
  <c r="AD37" i="10"/>
  <c r="AC37" i="10"/>
  <c r="AD36" i="10"/>
  <c r="AC36" i="10"/>
  <c r="AD35" i="10"/>
  <c r="AC35" i="10"/>
  <c r="AD34" i="10"/>
  <c r="AC34" i="10"/>
  <c r="AD33" i="10"/>
  <c r="AC33" i="10"/>
  <c r="AD32" i="10"/>
  <c r="AC32" i="10"/>
  <c r="AD31" i="10"/>
  <c r="AC31" i="10"/>
  <c r="AD30" i="10"/>
  <c r="AC30" i="10"/>
  <c r="AD29" i="10"/>
  <c r="AC29" i="10"/>
  <c r="AD28" i="10"/>
  <c r="AC28" i="10"/>
  <c r="AD27" i="10"/>
  <c r="AC27" i="10"/>
  <c r="AD26" i="10"/>
  <c r="AC26" i="10"/>
  <c r="AD25" i="10"/>
  <c r="AC25" i="10"/>
  <c r="AD24" i="10"/>
  <c r="AC24" i="10"/>
  <c r="AD23" i="10"/>
  <c r="AC23" i="10"/>
  <c r="AD22" i="10"/>
  <c r="AC22" i="10"/>
  <c r="AD21" i="10"/>
  <c r="AC21" i="10"/>
  <c r="AD20" i="10"/>
  <c r="AC20" i="10"/>
  <c r="AD19" i="10"/>
  <c r="AC19" i="10"/>
  <c r="AD18" i="10"/>
  <c r="AC18" i="10"/>
  <c r="AD17" i="10"/>
  <c r="AC17" i="10"/>
  <c r="AD16" i="10"/>
  <c r="AC16" i="10"/>
  <c r="AD15" i="10"/>
  <c r="AC15" i="10"/>
  <c r="AD14" i="10"/>
  <c r="AC14" i="10"/>
  <c r="AD13" i="10"/>
  <c r="AC13" i="10"/>
  <c r="AD12" i="10"/>
  <c r="AC12" i="10"/>
  <c r="AD11" i="10"/>
  <c r="AC11" i="10"/>
  <c r="AD10" i="10"/>
  <c r="AC10" i="10"/>
  <c r="AD9" i="10"/>
  <c r="AC9" i="10"/>
  <c r="AD8" i="10"/>
  <c r="AC8" i="10"/>
  <c r="AD7" i="10"/>
  <c r="AC7" i="10"/>
  <c r="AD6" i="10"/>
  <c r="AC6" i="10"/>
  <c r="AD5" i="10"/>
  <c r="AC5" i="10"/>
  <c r="AD4" i="10"/>
  <c r="AC4" i="10"/>
  <c r="AD3" i="10"/>
  <c r="AC3" i="10"/>
  <c r="AD2" i="10"/>
  <c r="AC2" i="10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7" i="8"/>
  <c r="AD6" i="8"/>
  <c r="AD5" i="8"/>
  <c r="AD4" i="8"/>
  <c r="AD3" i="8"/>
  <c r="AD2" i="8"/>
  <c r="AD36" i="7"/>
  <c r="AC36" i="7"/>
  <c r="AD35" i="7"/>
  <c r="AC35" i="7"/>
  <c r="AD34" i="7"/>
  <c r="AC34" i="7"/>
  <c r="AD33" i="7"/>
  <c r="AC33" i="7"/>
  <c r="AD32" i="7"/>
  <c r="AC32" i="7"/>
  <c r="AD31" i="7"/>
  <c r="AC31" i="7"/>
  <c r="AD30" i="7"/>
  <c r="AC30" i="7"/>
  <c r="AD29" i="7"/>
  <c r="AC29" i="7"/>
  <c r="AD28" i="7"/>
  <c r="AC28" i="7"/>
  <c r="AD27" i="7"/>
  <c r="AC27" i="7"/>
  <c r="AD26" i="7"/>
  <c r="AC26" i="7"/>
  <c r="AD25" i="7"/>
  <c r="AC25" i="7"/>
  <c r="AD24" i="7"/>
  <c r="AC24" i="7"/>
  <c r="AD23" i="7"/>
  <c r="AC23" i="7"/>
  <c r="AD22" i="7"/>
  <c r="AC22" i="7"/>
  <c r="AD21" i="7"/>
  <c r="AC21" i="7"/>
  <c r="AD20" i="7"/>
  <c r="AC20" i="7"/>
  <c r="AD19" i="7"/>
  <c r="AC19" i="7"/>
  <c r="AD18" i="7"/>
  <c r="AC18" i="7"/>
  <c r="AD17" i="7"/>
  <c r="AC17" i="7"/>
  <c r="AD16" i="7"/>
  <c r="AC16" i="7"/>
  <c r="AD15" i="7"/>
  <c r="AC15" i="7"/>
  <c r="AD14" i="7"/>
  <c r="AC14" i="7"/>
  <c r="AD13" i="7"/>
  <c r="AC13" i="7"/>
  <c r="AD12" i="7"/>
  <c r="AC12" i="7"/>
  <c r="AD11" i="7"/>
  <c r="AC11" i="7"/>
  <c r="AD10" i="7"/>
  <c r="AC10" i="7"/>
  <c r="AD9" i="7"/>
  <c r="AC9" i="7"/>
  <c r="AD8" i="7"/>
  <c r="AC8" i="7"/>
  <c r="AD7" i="7"/>
  <c r="AC7" i="7"/>
  <c r="AD6" i="7"/>
  <c r="AC6" i="7"/>
  <c r="AD5" i="7"/>
  <c r="AC5" i="7"/>
  <c r="AD4" i="7"/>
  <c r="AC4" i="7"/>
  <c r="AD3" i="7"/>
  <c r="AC3" i="7"/>
  <c r="AD2" i="7"/>
  <c r="AC2" i="7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2" i="5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AD4" i="4"/>
  <c r="AC4" i="4"/>
  <c r="AD3" i="4"/>
  <c r="AC3" i="4"/>
  <c r="AD2" i="4"/>
  <c r="AC2" i="4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2" i="2"/>
  <c r="AD40" i="1"/>
  <c r="AC40" i="1"/>
  <c r="AD39" i="1"/>
  <c r="AC39" i="1"/>
  <c r="AD38" i="1"/>
  <c r="AC38" i="1"/>
  <c r="AD37" i="1"/>
  <c r="AC37" i="1"/>
  <c r="AD36" i="1"/>
  <c r="AC36" i="1"/>
  <c r="AD35" i="1"/>
  <c r="AC35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AD22" i="1"/>
  <c r="AC22" i="1"/>
  <c r="AD21" i="1"/>
  <c r="AC21" i="1"/>
  <c r="AD20" i="1"/>
  <c r="AC20" i="1"/>
  <c r="AD19" i="1"/>
  <c r="AC19" i="1"/>
  <c r="AD18" i="1"/>
  <c r="AC18" i="1"/>
  <c r="AD17" i="1"/>
  <c r="AC17" i="1"/>
  <c r="AD16" i="1"/>
  <c r="AC16" i="1"/>
  <c r="AD15" i="1"/>
  <c r="AC15" i="1"/>
  <c r="AD14" i="1"/>
  <c r="AC14" i="1"/>
  <c r="AD13" i="1"/>
  <c r="AC13" i="1"/>
  <c r="AD12" i="1"/>
  <c r="AC12" i="1"/>
  <c r="AD11" i="1"/>
  <c r="AC11" i="1"/>
  <c r="AD10" i="1"/>
  <c r="AC10" i="1"/>
  <c r="AD9" i="1"/>
  <c r="AC9" i="1"/>
  <c r="AD8" i="1"/>
  <c r="AC8" i="1"/>
  <c r="AD7" i="1"/>
  <c r="AC7" i="1"/>
  <c r="AD6" i="1"/>
  <c r="AC6" i="1"/>
  <c r="AD5" i="1"/>
  <c r="AC5" i="1"/>
  <c r="AD4" i="1"/>
  <c r="AC4" i="1"/>
  <c r="AD3" i="1"/>
  <c r="AC3" i="1"/>
  <c r="AD2" i="1"/>
  <c r="AC2" i="1"/>
  <c r="AD42" i="14"/>
  <c r="AD41" i="14"/>
  <c r="AD40" i="14"/>
  <c r="AD39" i="14"/>
  <c r="AD38" i="14"/>
  <c r="AD37" i="14"/>
  <c r="AD36" i="14"/>
  <c r="AD35" i="14"/>
  <c r="AD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AD6" i="14"/>
  <c r="AD5" i="14"/>
  <c r="AD4" i="14"/>
  <c r="AD3" i="14"/>
  <c r="AD2" i="14"/>
  <c r="AE16" i="4" l="1"/>
  <c r="E16" i="6" s="1"/>
  <c r="AE11" i="4"/>
  <c r="E11" i="6" s="1"/>
  <c r="AE8" i="16"/>
  <c r="E8" i="18" s="1"/>
  <c r="AE35" i="1"/>
  <c r="E35" i="3" s="1"/>
  <c r="AE10" i="16"/>
  <c r="E10" i="18" s="1"/>
  <c r="AE26" i="13"/>
  <c r="E26" i="15" s="1"/>
  <c r="AE12" i="13"/>
  <c r="E12" i="15" s="1"/>
  <c r="AE10" i="4"/>
  <c r="E10" i="6" s="1"/>
  <c r="AE3" i="4"/>
  <c r="E3" i="6" s="1"/>
  <c r="AE34" i="1"/>
  <c r="E34" i="3" s="1"/>
  <c r="AE26" i="1"/>
  <c r="E26" i="3" s="1"/>
  <c r="AE19" i="10"/>
  <c r="E19" i="12" s="1"/>
  <c r="AE8" i="10"/>
  <c r="E8" i="12" s="1"/>
  <c r="AE36" i="7"/>
  <c r="AE35" i="7"/>
  <c r="AE34" i="7"/>
  <c r="E34" i="9" s="1"/>
  <c r="AE39" i="4"/>
  <c r="E39" i="6" s="1"/>
  <c r="AE37" i="4"/>
  <c r="E37" i="6" s="1"/>
  <c r="AE35" i="4"/>
  <c r="E35" i="6" s="1"/>
  <c r="AE34" i="4"/>
  <c r="E34" i="6" s="1"/>
  <c r="AE21" i="4"/>
  <c r="E21" i="6" s="1"/>
  <c r="AE19" i="4"/>
  <c r="E19" i="6" s="1"/>
  <c r="AE17" i="4"/>
  <c r="E17" i="6" s="1"/>
  <c r="AE34" i="16"/>
  <c r="AE33" i="16"/>
  <c r="AE32" i="16"/>
  <c r="AE31" i="16"/>
  <c r="E31" i="18" s="1"/>
  <c r="AE30" i="16"/>
  <c r="E30" i="18" s="1"/>
  <c r="AE29" i="16"/>
  <c r="E29" i="18" s="1"/>
  <c r="AE28" i="16"/>
  <c r="E28" i="18" s="1"/>
  <c r="AE27" i="16"/>
  <c r="E27" i="18" s="1"/>
  <c r="AE26" i="16"/>
  <c r="E26" i="18" s="1"/>
  <c r="AE25" i="16"/>
  <c r="E25" i="18" s="1"/>
  <c r="AE24" i="16"/>
  <c r="E24" i="18" s="1"/>
  <c r="AE23" i="16"/>
  <c r="E23" i="18" s="1"/>
  <c r="AE22" i="16"/>
  <c r="E22" i="18" s="1"/>
  <c r="AE21" i="16"/>
  <c r="E21" i="18" s="1"/>
  <c r="AE20" i="16"/>
  <c r="E20" i="18" s="1"/>
  <c r="AE19" i="16"/>
  <c r="E19" i="18" s="1"/>
  <c r="AE18" i="16"/>
  <c r="E18" i="18" s="1"/>
  <c r="AE17" i="16"/>
  <c r="E17" i="18" s="1"/>
  <c r="AE16" i="16"/>
  <c r="E16" i="18" s="1"/>
  <c r="AE15" i="16"/>
  <c r="E15" i="18" s="1"/>
  <c r="AE14" i="16"/>
  <c r="E14" i="18" s="1"/>
  <c r="AE13" i="16"/>
  <c r="E13" i="18" s="1"/>
  <c r="AE12" i="16"/>
  <c r="E12" i="18" s="1"/>
  <c r="AE11" i="16"/>
  <c r="E11" i="18" s="1"/>
  <c r="AE9" i="16"/>
  <c r="E9" i="18" s="1"/>
  <c r="AE25" i="13"/>
  <c r="E25" i="15" s="1"/>
  <c r="AE24" i="13"/>
  <c r="E24" i="15" s="1"/>
  <c r="AE23" i="13"/>
  <c r="E23" i="15" s="1"/>
  <c r="AE22" i="13"/>
  <c r="E22" i="15" s="1"/>
  <c r="AE21" i="13"/>
  <c r="E21" i="15" s="1"/>
  <c r="AE20" i="13"/>
  <c r="E20" i="15" s="1"/>
  <c r="AE19" i="13"/>
  <c r="E19" i="15" s="1"/>
  <c r="AE18" i="13"/>
  <c r="E18" i="15" s="1"/>
  <c r="AE17" i="13"/>
  <c r="E17" i="15" s="1"/>
  <c r="AE16" i="13"/>
  <c r="E16" i="15" s="1"/>
  <c r="AE15" i="13"/>
  <c r="E15" i="15" s="1"/>
  <c r="AE14" i="13"/>
  <c r="E14" i="15" s="1"/>
  <c r="AE13" i="13"/>
  <c r="E13" i="15" s="1"/>
  <c r="AE27" i="4"/>
  <c r="E27" i="6" s="1"/>
  <c r="AE25" i="4"/>
  <c r="E25" i="6" s="1"/>
  <c r="AE23" i="4"/>
  <c r="E23" i="6" s="1"/>
  <c r="AE14" i="4"/>
  <c r="E14" i="6" s="1"/>
  <c r="AE13" i="4"/>
  <c r="E13" i="6" s="1"/>
  <c r="AE12" i="4"/>
  <c r="E12" i="6" s="1"/>
  <c r="AE9" i="4"/>
  <c r="E9" i="6" s="1"/>
  <c r="AE8" i="4"/>
  <c r="E8" i="6" s="1"/>
  <c r="AE7" i="4"/>
  <c r="E7" i="6" s="1"/>
  <c r="AE6" i="4"/>
  <c r="E6" i="6" s="1"/>
  <c r="AE5" i="4"/>
  <c r="E5" i="6" s="1"/>
  <c r="AE4" i="4"/>
  <c r="E4" i="6" s="1"/>
  <c r="AE2" i="4"/>
  <c r="E2" i="6" s="1"/>
  <c r="AE40" i="1"/>
  <c r="AE33" i="1"/>
  <c r="E33" i="3" s="1"/>
  <c r="AE32" i="1"/>
  <c r="E32" i="3" s="1"/>
  <c r="AE31" i="1"/>
  <c r="E31" i="3" s="1"/>
  <c r="AE27" i="1"/>
  <c r="E27" i="3" s="1"/>
  <c r="AE7" i="16"/>
  <c r="E7" i="18" s="1"/>
  <c r="AE6" i="16"/>
  <c r="E6" i="18" s="1"/>
  <c r="AE5" i="16"/>
  <c r="E5" i="18" s="1"/>
  <c r="AE4" i="16"/>
  <c r="E4" i="18" s="1"/>
  <c r="AE3" i="16"/>
  <c r="E3" i="18" s="1"/>
  <c r="AE2" i="16"/>
  <c r="E2" i="18" s="1"/>
  <c r="AE41" i="13"/>
  <c r="AE40" i="13"/>
  <c r="AE39" i="13"/>
  <c r="AE38" i="13"/>
  <c r="AE37" i="13"/>
  <c r="AE36" i="13"/>
  <c r="E36" i="15" s="1"/>
  <c r="AE35" i="13"/>
  <c r="E35" i="15" s="1"/>
  <c r="AE34" i="13"/>
  <c r="E34" i="15" s="1"/>
  <c r="AE33" i="13"/>
  <c r="E33" i="15" s="1"/>
  <c r="AE32" i="13"/>
  <c r="E32" i="15" s="1"/>
  <c r="AE31" i="13"/>
  <c r="E31" i="15" s="1"/>
  <c r="AE30" i="13"/>
  <c r="E30" i="15" s="1"/>
  <c r="AE29" i="13"/>
  <c r="E29" i="15" s="1"/>
  <c r="AE28" i="13"/>
  <c r="E28" i="15" s="1"/>
  <c r="AE27" i="13"/>
  <c r="E27" i="15" s="1"/>
  <c r="AE32" i="4"/>
  <c r="E32" i="6" s="1"/>
  <c r="AE31" i="4"/>
  <c r="E31" i="6" s="1"/>
  <c r="AE30" i="4"/>
  <c r="E30" i="6" s="1"/>
  <c r="AE15" i="4"/>
  <c r="E15" i="6" s="1"/>
  <c r="AE29" i="1"/>
  <c r="E29" i="3" s="1"/>
  <c r="AE11" i="13"/>
  <c r="E11" i="15" s="1"/>
  <c r="AE10" i="13"/>
  <c r="E10" i="15" s="1"/>
  <c r="AE9" i="13"/>
  <c r="E9" i="15" s="1"/>
  <c r="AE8" i="13"/>
  <c r="E8" i="15" s="1"/>
  <c r="AE7" i="13"/>
  <c r="E7" i="15" s="1"/>
  <c r="AE6" i="13"/>
  <c r="E6" i="15" s="1"/>
  <c r="AE5" i="13"/>
  <c r="E5" i="15" s="1"/>
  <c r="AE4" i="13"/>
  <c r="E4" i="15" s="1"/>
  <c r="AE3" i="13"/>
  <c r="E3" i="15" s="1"/>
  <c r="AE2" i="13"/>
  <c r="E2" i="15" s="1"/>
  <c r="AE38" i="10"/>
  <c r="AE37" i="10"/>
  <c r="AE36" i="10"/>
  <c r="E36" i="12" s="1"/>
  <c r="AE35" i="10"/>
  <c r="E35" i="12" s="1"/>
  <c r="AE34" i="10"/>
  <c r="E34" i="12" s="1"/>
  <c r="AE33" i="10"/>
  <c r="E33" i="12" s="1"/>
  <c r="AE32" i="10"/>
  <c r="E32" i="12" s="1"/>
  <c r="AE31" i="10"/>
  <c r="E31" i="12" s="1"/>
  <c r="AE30" i="10"/>
  <c r="E30" i="12" s="1"/>
  <c r="AE29" i="10"/>
  <c r="E29" i="12" s="1"/>
  <c r="AE28" i="10"/>
  <c r="E28" i="12" s="1"/>
  <c r="AE27" i="10"/>
  <c r="E27" i="12" s="1"/>
  <c r="AE26" i="10"/>
  <c r="E26" i="12" s="1"/>
  <c r="AE25" i="10"/>
  <c r="E25" i="12" s="1"/>
  <c r="AE24" i="10"/>
  <c r="E24" i="12" s="1"/>
  <c r="AE18" i="10"/>
  <c r="E18" i="12" s="1"/>
  <c r="AE17" i="10"/>
  <c r="E17" i="12" s="1"/>
  <c r="AE16" i="10"/>
  <c r="E16" i="12" s="1"/>
  <c r="AE15" i="10"/>
  <c r="E15" i="12" s="1"/>
  <c r="AE14" i="10"/>
  <c r="E14" i="12" s="1"/>
  <c r="AE13" i="10"/>
  <c r="E13" i="12" s="1"/>
  <c r="AE12" i="10"/>
  <c r="E12" i="12" s="1"/>
  <c r="AE11" i="10"/>
  <c r="E11" i="12" s="1"/>
  <c r="AE10" i="10"/>
  <c r="E10" i="12" s="1"/>
  <c r="AE9" i="10"/>
  <c r="E9" i="12" s="1"/>
  <c r="AE40" i="4"/>
  <c r="E40" i="6" s="1"/>
  <c r="AE28" i="4"/>
  <c r="E28" i="6" s="1"/>
  <c r="AE26" i="4"/>
  <c r="E26" i="6" s="1"/>
  <c r="AE24" i="4"/>
  <c r="E24" i="6" s="1"/>
  <c r="AE22" i="4"/>
  <c r="E22" i="6" s="1"/>
  <c r="AE20" i="4"/>
  <c r="E20" i="6" s="1"/>
  <c r="AE18" i="4"/>
  <c r="E18" i="6" s="1"/>
  <c r="AE30" i="1"/>
  <c r="E30" i="3" s="1"/>
  <c r="AE28" i="1"/>
  <c r="E28" i="3" s="1"/>
  <c r="AE23" i="10"/>
  <c r="E23" i="12" s="1"/>
  <c r="AE22" i="10"/>
  <c r="E22" i="12" s="1"/>
  <c r="AE21" i="10"/>
  <c r="E21" i="12" s="1"/>
  <c r="AE20" i="10"/>
  <c r="E20" i="12" s="1"/>
  <c r="AE7" i="10"/>
  <c r="E7" i="12" s="1"/>
  <c r="AE6" i="10"/>
  <c r="E6" i="12" s="1"/>
  <c r="AE5" i="10"/>
  <c r="E5" i="12" s="1"/>
  <c r="AE4" i="10"/>
  <c r="E4" i="12" s="1"/>
  <c r="AE3" i="10"/>
  <c r="E3" i="12" s="1"/>
  <c r="AE2" i="10"/>
  <c r="E2" i="12" s="1"/>
  <c r="AE33" i="7"/>
  <c r="E33" i="9" s="1"/>
  <c r="AE41" i="4"/>
  <c r="AE38" i="4"/>
  <c r="E38" i="6" s="1"/>
  <c r="AE33" i="4"/>
  <c r="E33" i="6" s="1"/>
  <c r="AE29" i="4"/>
  <c r="E29" i="6" s="1"/>
  <c r="AE32" i="7"/>
  <c r="E32" i="9" s="1"/>
  <c r="AE31" i="7"/>
  <c r="E31" i="9" s="1"/>
  <c r="AE30" i="7"/>
  <c r="E30" i="9" s="1"/>
  <c r="AE29" i="7"/>
  <c r="E29" i="9" s="1"/>
  <c r="AE28" i="7"/>
  <c r="E28" i="9" s="1"/>
  <c r="AE27" i="7"/>
  <c r="E27" i="9" s="1"/>
  <c r="AE26" i="7"/>
  <c r="E26" i="9" s="1"/>
  <c r="AE25" i="7"/>
  <c r="E25" i="9" s="1"/>
  <c r="AE24" i="7"/>
  <c r="E24" i="9" s="1"/>
  <c r="AE23" i="7"/>
  <c r="E23" i="9" s="1"/>
  <c r="AE22" i="7"/>
  <c r="E22" i="9" s="1"/>
  <c r="AE21" i="7"/>
  <c r="E21" i="9" s="1"/>
  <c r="AE20" i="7"/>
  <c r="E20" i="9" s="1"/>
  <c r="AE19" i="7"/>
  <c r="E19" i="9" s="1"/>
  <c r="AE18" i="7"/>
  <c r="E18" i="9" s="1"/>
  <c r="AE17" i="7"/>
  <c r="E17" i="9" s="1"/>
  <c r="AE16" i="7"/>
  <c r="E16" i="9" s="1"/>
  <c r="AE15" i="7"/>
  <c r="E15" i="9" s="1"/>
  <c r="AE14" i="7"/>
  <c r="E14" i="9" s="1"/>
  <c r="AE13" i="7"/>
  <c r="E13" i="9" s="1"/>
  <c r="AE12" i="7"/>
  <c r="E12" i="9" s="1"/>
  <c r="AE11" i="7"/>
  <c r="E11" i="9" s="1"/>
  <c r="AE10" i="7"/>
  <c r="E10" i="9" s="1"/>
  <c r="AE9" i="7"/>
  <c r="E9" i="9" s="1"/>
  <c r="AE8" i="7"/>
  <c r="E8" i="9" s="1"/>
  <c r="AE7" i="7"/>
  <c r="E7" i="9" s="1"/>
  <c r="AE6" i="7"/>
  <c r="E6" i="9" s="1"/>
  <c r="AE5" i="7"/>
  <c r="E5" i="9" s="1"/>
  <c r="AE4" i="7"/>
  <c r="E4" i="9" s="1"/>
  <c r="AE3" i="7"/>
  <c r="E3" i="9" s="1"/>
  <c r="AE2" i="7"/>
  <c r="E2" i="9" s="1"/>
  <c r="AE39" i="1"/>
  <c r="AE37" i="1"/>
  <c r="AE25" i="1"/>
  <c r="E25" i="3" s="1"/>
  <c r="AE24" i="1"/>
  <c r="E24" i="3" s="1"/>
  <c r="AE23" i="1"/>
  <c r="E23" i="3" s="1"/>
  <c r="AE22" i="1"/>
  <c r="E22" i="3" s="1"/>
  <c r="AE21" i="1"/>
  <c r="E21" i="3" s="1"/>
  <c r="AE20" i="1"/>
  <c r="E20" i="3" s="1"/>
  <c r="AE19" i="1"/>
  <c r="E19" i="3" s="1"/>
  <c r="AE18" i="1"/>
  <c r="E18" i="3" s="1"/>
  <c r="AE17" i="1"/>
  <c r="E17" i="3" s="1"/>
  <c r="AE16" i="1"/>
  <c r="E16" i="3" s="1"/>
  <c r="AE15" i="1"/>
  <c r="E15" i="3" s="1"/>
  <c r="AE14" i="1"/>
  <c r="E14" i="3" s="1"/>
  <c r="AE13" i="1"/>
  <c r="E13" i="3" s="1"/>
  <c r="AE12" i="1"/>
  <c r="E12" i="3" s="1"/>
  <c r="AE11" i="1"/>
  <c r="E11" i="3" s="1"/>
  <c r="AE10" i="1"/>
  <c r="E10" i="3" s="1"/>
  <c r="AE9" i="1"/>
  <c r="E9" i="3" s="1"/>
  <c r="AE8" i="1"/>
  <c r="E8" i="3" s="1"/>
  <c r="AE7" i="1"/>
  <c r="E7" i="3" s="1"/>
  <c r="AE6" i="1"/>
  <c r="E6" i="3" s="1"/>
  <c r="AE5" i="1"/>
  <c r="E5" i="3" s="1"/>
  <c r="AE4" i="1"/>
  <c r="E4" i="3" s="1"/>
  <c r="AE3" i="1"/>
  <c r="E3" i="3" s="1"/>
  <c r="AE2" i="1"/>
  <c r="E2" i="3" s="1"/>
  <c r="AE36" i="4"/>
  <c r="E36" i="6" s="1"/>
  <c r="AE38" i="1"/>
  <c r="AE36" i="1"/>
  <c r="E36" i="3" s="1"/>
</calcChain>
</file>

<file path=xl/sharedStrings.xml><?xml version="1.0" encoding="utf-8"?>
<sst xmlns="http://schemas.openxmlformats.org/spreadsheetml/2006/main" count="7785" uniqueCount="752">
  <si>
    <t>SN</t>
  </si>
  <si>
    <t>Name (English)</t>
  </si>
  <si>
    <t>Name (Arabic)</t>
  </si>
  <si>
    <t>Academic ID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</si>
  <si>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</si>
  <si>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</si>
  <si>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</si>
  <si>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</si>
  <si>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</si>
  <si>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</si>
  <si>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</si>
  <si>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</si>
  <si>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</si>
  <si>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</si>
  <si>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</si>
  <si>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</si>
  <si>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</si>
  <si>
    <t>Day-14</t>
  </si>
  <si>
    <t>Day-15</t>
  </si>
  <si>
    <t>Day-16</t>
  </si>
  <si>
    <t>Day-17</t>
  </si>
  <si>
    <t>Day-18</t>
  </si>
  <si>
    <t>Day-19</t>
  </si>
  <si>
    <t>Day-20</t>
  </si>
  <si>
    <t>Day-21</t>
  </si>
  <si>
    <t>Day-22</t>
  </si>
  <si>
    <t>Day-23</t>
  </si>
  <si>
    <t>Day-24</t>
  </si>
  <si>
    <t>Day-25</t>
  </si>
  <si>
    <t>Total</t>
  </si>
  <si>
    <t>Nawaf Tamim Sami Omar</t>
  </si>
  <si>
    <t>نواف تميم سامي عمر</t>
  </si>
  <si>
    <t>334072239</t>
  </si>
  <si>
    <t>Mishari Saif Mohannad Hazem</t>
  </si>
  <si>
    <t>مشاري سيف مهند حازم</t>
  </si>
  <si>
    <t>371255186</t>
  </si>
  <si>
    <t>Omar Iyad Fahad Hussein</t>
  </si>
  <si>
    <t>عمر إياد فهد حسين</t>
  </si>
  <si>
    <t>408438133</t>
  </si>
  <si>
    <t>Tariq Sultan Saleh Mishari</t>
  </si>
  <si>
    <t>طارق سلطان صالح مشاري</t>
  </si>
  <si>
    <t>445621080</t>
  </si>
  <si>
    <t>Salem Saud Abdulmajid Mansour</t>
  </si>
  <si>
    <t>سالم سعود عبدالمجيد منصور</t>
  </si>
  <si>
    <t>482804027</t>
  </si>
  <si>
    <t>Anas Badr Jihad Saad</t>
  </si>
  <si>
    <t>أنس بدر جهاد سعد</t>
  </si>
  <si>
    <t>519986974</t>
  </si>
  <si>
    <t>Muath Rashid Saif Jihad</t>
  </si>
  <si>
    <t>معاذ راشد سيف جهاد</t>
  </si>
  <si>
    <t>557169921</t>
  </si>
  <si>
    <t>Adel Ayman Abdulaziz Muath</t>
  </si>
  <si>
    <t>عادل أيمن عبدالعزيز معاذ</t>
  </si>
  <si>
    <t>594352868</t>
  </si>
  <si>
    <t>Yousef Muath Yasser Saif</t>
  </si>
  <si>
    <t>يوسف معاذ ياسر سيف</t>
  </si>
  <si>
    <t>631535815</t>
  </si>
  <si>
    <t>Ibrahim Rami Jassim Badr</t>
  </si>
  <si>
    <t>إبراهيم رامي جاسم بدر</t>
  </si>
  <si>
    <t>668718762</t>
  </si>
  <si>
    <t>Abdullah Saleh Basheer Rashid</t>
  </si>
  <si>
    <t>عبدالله صالح بشير راشد</t>
  </si>
  <si>
    <t>705901709</t>
  </si>
  <si>
    <t>Majed Majed Abdulmalik Adel</t>
  </si>
  <si>
    <t>ماجد ماجد عبدالملك عادل</t>
  </si>
  <si>
    <t>743084656</t>
  </si>
  <si>
    <t>Marzouq Hazem Hussam Bassam</t>
  </si>
  <si>
    <t>مرزوق حازم حسام بسام</t>
  </si>
  <si>
    <t>780267603</t>
  </si>
  <si>
    <t>Mishari Muath Sami Mohannad</t>
  </si>
  <si>
    <t>مشاري معاذ سامي مهند</t>
  </si>
  <si>
    <t>817450550</t>
  </si>
  <si>
    <t>Hamad Jaber Abdulmalik Saif</t>
  </si>
  <si>
    <t>حمد جابر عبدالملك سيف</t>
  </si>
  <si>
    <t>854633497</t>
  </si>
  <si>
    <t>Badr Majed Yousef Hamed</t>
  </si>
  <si>
    <t>بدر ماجد يوسف حامد</t>
  </si>
  <si>
    <t>891816444</t>
  </si>
  <si>
    <t>Abdulaziz Basheer Jihad Majed</t>
  </si>
  <si>
    <t>عبدالعزيز بشير جهاد ماجد</t>
  </si>
  <si>
    <t>928999391</t>
  </si>
  <si>
    <t>Nayef Waleed Salman Hussam</t>
  </si>
  <si>
    <t>نايف وليد سلمان حسام</t>
  </si>
  <si>
    <t>966182338</t>
  </si>
  <si>
    <t>Mohammed Sultan Hadi Hassan</t>
  </si>
  <si>
    <t>محمد سلطان هادي حسن</t>
  </si>
  <si>
    <t>003365285</t>
  </si>
  <si>
    <t>Abdullah Majed Abdulaziz Adel</t>
  </si>
  <si>
    <t>عبدالله ماجد عبدالعزيز عادل</t>
  </si>
  <si>
    <t>040548232</t>
  </si>
  <si>
    <t>Khalid Salman Hazem Hussein</t>
  </si>
  <si>
    <t>خالد سلمان حازم حسين</t>
  </si>
  <si>
    <t>077731179</t>
  </si>
  <si>
    <t>Mohammed Abdullah Saud Rashid</t>
  </si>
  <si>
    <t>محمد عبدالله سعود راشد</t>
  </si>
  <si>
    <t>114914126</t>
  </si>
  <si>
    <t>Saud Mohammed Basheer Hussam</t>
  </si>
  <si>
    <t>سعود محمد بشير حسام</t>
  </si>
  <si>
    <t>152097073</t>
  </si>
  <si>
    <t>Salman Munther Hamed Ahmed</t>
  </si>
  <si>
    <t>سلمان منذر حامد أحمد</t>
  </si>
  <si>
    <t>189280020</t>
  </si>
  <si>
    <t>Saif Adnan Majed Hazem</t>
  </si>
  <si>
    <t>سيف عدنان ماجد حازم</t>
  </si>
  <si>
    <t>226462967</t>
  </si>
  <si>
    <t>Muath Ayman Abdulaziz Hadi</t>
  </si>
  <si>
    <t>معاذ أيمن عبدالعزيز هادي</t>
  </si>
  <si>
    <t>263645914</t>
  </si>
  <si>
    <t>Ziyad Basheer Omar Yousef</t>
  </si>
  <si>
    <t>زياد بشير عمر يوسف</t>
  </si>
  <si>
    <t>300828861</t>
  </si>
  <si>
    <t>Hussein Abdulrahman Munther Saad</t>
  </si>
  <si>
    <t>حسين عبدالرحمن منذر سعد</t>
  </si>
  <si>
    <t>338011808</t>
  </si>
  <si>
    <t>Abdulmajid Mishari Salman Yasser</t>
  </si>
  <si>
    <t>عبدالمجيد مشاري سلمان ياسر</t>
  </si>
  <si>
    <t>375194755</t>
  </si>
  <si>
    <t>Iyad Hussam Jassim Ayman</t>
  </si>
  <si>
    <t>إياد حسام جاسم أيمن</t>
  </si>
  <si>
    <t>412377702</t>
  </si>
  <si>
    <t>Rakan Majed Mohammed Turki</t>
  </si>
  <si>
    <t>راكان ماجد محمد تركي</t>
  </si>
  <si>
    <t>449560649</t>
  </si>
  <si>
    <t>Saad Hamed Badr Rakan</t>
  </si>
  <si>
    <t>سعد حامد بدر راكان</t>
  </si>
  <si>
    <t>486743596</t>
  </si>
  <si>
    <t>Iyad Tamim Turki Rakan</t>
  </si>
  <si>
    <t>إياد تميم تركي راكان</t>
  </si>
  <si>
    <t>523926543</t>
  </si>
  <si>
    <t>Munther Tariq Abdulmajid Nayef</t>
  </si>
  <si>
    <t>منذر طارق عبدالمجيد نايف</t>
  </si>
  <si>
    <t>561109490</t>
  </si>
  <si>
    <t>Rashid Thamer Sami Marzouq</t>
  </si>
  <si>
    <t>راشد ثامر سامي مرزوق</t>
  </si>
  <si>
    <t>598292437</t>
  </si>
  <si>
    <t>Nayef Rakan Ayman Ali</t>
  </si>
  <si>
    <t>نايف راكان أيمن علي</t>
  </si>
  <si>
    <t>784207172</t>
  </si>
  <si>
    <t>Salem Faisal Abdulmalik Abdulaziz</t>
  </si>
  <si>
    <t>سالم فيصل عبدالملك عبدالعزيز</t>
  </si>
  <si>
    <t>821390119</t>
  </si>
  <si>
    <t>Badr Bandar Abdulmalik Turki</t>
  </si>
  <si>
    <t>بدر بندر عبدالملك تركي</t>
  </si>
  <si>
    <t>858573066</t>
  </si>
  <si>
    <t>Munther Marwan Salem Salman</t>
  </si>
  <si>
    <t>منذر مروان سالم سلمان</t>
  </si>
  <si>
    <t>895756013</t>
  </si>
  <si>
    <t>Nayef Bassam Hamed Mazen</t>
  </si>
  <si>
    <t>نايف بسام حامد مازن</t>
  </si>
  <si>
    <t>932938960</t>
  </si>
  <si>
    <t>Thamer Ahmed Hussein Adnan</t>
  </si>
  <si>
    <t>ثامر أحمد حسين عدنان</t>
  </si>
  <si>
    <t>970121907</t>
  </si>
  <si>
    <t>Total Absent</t>
  </si>
  <si>
    <t>Total Attendence</t>
  </si>
  <si>
    <t>Total Points</t>
  </si>
  <si>
    <t>Maryam Nasser Khalid Yousef</t>
  </si>
  <si>
    <t>مريم ناصر خالد يوسف</t>
  </si>
  <si>
    <t>331072239</t>
  </si>
  <si>
    <t>Present</t>
  </si>
  <si>
    <t>Absent</t>
  </si>
  <si>
    <t>Amal Fahad Majed Marwan</t>
  </si>
  <si>
    <t>أمل فهد ماجد مروان</t>
  </si>
  <si>
    <t>368255186</t>
  </si>
  <si>
    <t>Aljoharah Hussam Sultan Waleed</t>
  </si>
  <si>
    <t>الجوهرة حسام سلطان وليد</t>
  </si>
  <si>
    <t>405438133</t>
  </si>
  <si>
    <t>Leen Ahmed Hussein Nawaf</t>
  </si>
  <si>
    <t>لين أحمد حسين نواف</t>
  </si>
  <si>
    <t>442621080</t>
  </si>
  <si>
    <t>Ghina Omar Rayan Yazeed</t>
  </si>
  <si>
    <t>غنى عمر ريان يزيد</t>
  </si>
  <si>
    <t>479804027</t>
  </si>
  <si>
    <t>Hatoon Saif Mansour Ibrahim</t>
  </si>
  <si>
    <t>هتون سيف منصور إبراهيم</t>
  </si>
  <si>
    <t>516986974</t>
  </si>
  <si>
    <t>Wafa Abdullah Iyad Bassam</t>
  </si>
  <si>
    <t>وفاء عبدالله إياد بسام</t>
  </si>
  <si>
    <t>554169921</t>
  </si>
  <si>
    <t>Amani Saad Nayef Hamad</t>
  </si>
  <si>
    <t>أماني سعد نايف حمد</t>
  </si>
  <si>
    <t>591352868</t>
  </si>
  <si>
    <t>Excused absence</t>
  </si>
  <si>
    <t>Moudi Hamed Hamad Tamim</t>
  </si>
  <si>
    <t>موضي حامد حمد تميم</t>
  </si>
  <si>
    <t>628535815</t>
  </si>
  <si>
    <t>Layan Ziyad Adnan Omar</t>
  </si>
  <si>
    <t>ليان زياد عدنان عمر</t>
  </si>
  <si>
    <t>665718762</t>
  </si>
  <si>
    <t>Rawan Rayan Rakan Fawaz</t>
  </si>
  <si>
    <t>روان ريان راكان فواز</t>
  </si>
  <si>
    <t>702901709</t>
  </si>
  <si>
    <t>Sarah Faisal Mohannad Yousef</t>
  </si>
  <si>
    <t>سارة فيصل مهند يوسف</t>
  </si>
  <si>
    <t>740084656</t>
  </si>
  <si>
    <t>Lina Yasser Iyad Fahad</t>
  </si>
  <si>
    <t>لينا ياسر إياد فهد</t>
  </si>
  <si>
    <t>777267603</t>
  </si>
  <si>
    <t>Layan Waleed Saif Saud</t>
  </si>
  <si>
    <t>ليان وليد سيف سعود</t>
  </si>
  <si>
    <t>814450550</t>
  </si>
  <si>
    <t>Lama Faisal Sultan Abdulrahman</t>
  </si>
  <si>
    <t>لمى فيصل سلطان عبدالرحمن</t>
  </si>
  <si>
    <t>851633497</t>
  </si>
  <si>
    <t>Isra Abdulmalik Turki Hassan</t>
  </si>
  <si>
    <t>إسراء عبدالملك تركي حسن</t>
  </si>
  <si>
    <t>888816444</t>
  </si>
  <si>
    <t>Reem Bassam Ziyad Iyad</t>
  </si>
  <si>
    <t>ريم بسام زياد إياد</t>
  </si>
  <si>
    <t>925999391</t>
  </si>
  <si>
    <t>Amirah Tamim Mohannad Ayman</t>
  </si>
  <si>
    <t>أميرة تميم مهند أيمن</t>
  </si>
  <si>
    <t>963182338</t>
  </si>
  <si>
    <t>Amani Hussein Saqr Fahad</t>
  </si>
  <si>
    <t>أماني حسين صقر فهد</t>
  </si>
  <si>
    <t>000365285</t>
  </si>
  <si>
    <t>Alanoud Hussein Mazen Waleed</t>
  </si>
  <si>
    <t>العنود حسين مازن وليد</t>
  </si>
  <si>
    <t>037548232</t>
  </si>
  <si>
    <t>Reham Abdullah Ahmed Yasser</t>
  </si>
  <si>
    <t>ريهام عبدالله أحمد ياسر</t>
  </si>
  <si>
    <t>074731179</t>
  </si>
  <si>
    <t>Asmaa Ali Mazen Anas</t>
  </si>
  <si>
    <t>أسماء علي مازن أنس</t>
  </si>
  <si>
    <t>111914126</t>
  </si>
  <si>
    <t>Asmaa Hamed Khalid Nayef</t>
  </si>
  <si>
    <t>أسماء حامد خالد نايف</t>
  </si>
  <si>
    <t>149097073</t>
  </si>
  <si>
    <t>Sujood Saleh Tariq Yasser</t>
  </si>
  <si>
    <t>سجود صالح طارق ياسر</t>
  </si>
  <si>
    <t>186280020</t>
  </si>
  <si>
    <t>Aljoharah Anas Abdulmajid Saad</t>
  </si>
  <si>
    <t>الجوهرة أنس عبدالمجيد سعد</t>
  </si>
  <si>
    <t>223462967</t>
  </si>
  <si>
    <t>Reema Khalid Saud Salem</t>
  </si>
  <si>
    <t>ريما خالد سعود سالم</t>
  </si>
  <si>
    <t>260645914</t>
  </si>
  <si>
    <t>Lana Anas Rashid Khalid</t>
  </si>
  <si>
    <t>لانا أنس راشد خالد</t>
  </si>
  <si>
    <t>297828861</t>
  </si>
  <si>
    <t>Asmaa Khalid Bassam Saqr</t>
  </si>
  <si>
    <t>أسماء خالد بسام صقر</t>
  </si>
  <si>
    <t>335011808</t>
  </si>
  <si>
    <t>Noura Ali Faisal Muath</t>
  </si>
  <si>
    <t>نورة علي فيصل معاذ</t>
  </si>
  <si>
    <t>372194755</t>
  </si>
  <si>
    <t>Hessa Saif Fawaz Basheer</t>
  </si>
  <si>
    <t>حصة سيف فواز بشير</t>
  </si>
  <si>
    <t>409377702</t>
  </si>
  <si>
    <t>Shaden Tariq Abdulmajid Fawaz</t>
  </si>
  <si>
    <t>شادن طارق عبدالمجيد فواز</t>
  </si>
  <si>
    <t>446560649</t>
  </si>
  <si>
    <t>Dana Jaber Hussein Marzouq</t>
  </si>
  <si>
    <t>دانه جابر حسين مرزوق</t>
  </si>
  <si>
    <t>483743596</t>
  </si>
  <si>
    <t>Lama Muath Abdullah Mohannad</t>
  </si>
  <si>
    <t>لمى معاذ عبدالله مهند</t>
  </si>
  <si>
    <t>520926543</t>
  </si>
  <si>
    <t>Sujood Turki Ziyad Jaber</t>
  </si>
  <si>
    <t>سجود تركي زياد جابر</t>
  </si>
  <si>
    <t>558109490</t>
  </si>
  <si>
    <t>Leen Adnan Mohammed Waleed</t>
  </si>
  <si>
    <t>لين عدنان محمد وليد</t>
  </si>
  <si>
    <t>595292437</t>
  </si>
  <si>
    <t>Noura Rayan Abdulaziz Rakan</t>
  </si>
  <si>
    <t>نورة ريان عبدالعزيز راكان</t>
  </si>
  <si>
    <t>632475384</t>
  </si>
  <si>
    <t>Maryam Mansour Ayman Tariq</t>
  </si>
  <si>
    <t>مريم منصور أيمن طارق</t>
  </si>
  <si>
    <t>669658331</t>
  </si>
  <si>
    <t>Lana Rashid Abdulaziz Muath</t>
  </si>
  <si>
    <t>لانا راشد عبدالعزيز معاذ</t>
  </si>
  <si>
    <t>706841278</t>
  </si>
  <si>
    <t xml:space="preserve">إضافة جديدة من 8 ديسمبر </t>
  </si>
  <si>
    <t>There is no data</t>
  </si>
  <si>
    <t>First Online Session (Special Case)</t>
  </si>
  <si>
    <t>The point where I stopped</t>
  </si>
  <si>
    <t>Name</t>
  </si>
  <si>
    <t>Reema Rayan Nawaf Abdullah</t>
  </si>
  <si>
    <t>ريما ريان نواف عبدالله</t>
  </si>
  <si>
    <t>333072239</t>
  </si>
  <si>
    <t>Reema Jaber Abdullah Mazen</t>
  </si>
  <si>
    <t>ريما جابر عبدالله مازن</t>
  </si>
  <si>
    <t>370255186</t>
  </si>
  <si>
    <t>Ghada Nayef Yazeed Marwan</t>
  </si>
  <si>
    <t>غادة نايف يزيد مروان</t>
  </si>
  <si>
    <t>407438133</t>
  </si>
  <si>
    <t>Raghad Faisal Anas Yousef</t>
  </si>
  <si>
    <t>رغد فيصل أنس يوسف</t>
  </si>
  <si>
    <t>444621080</t>
  </si>
  <si>
    <t>Atheer Hussam Majed Ali</t>
  </si>
  <si>
    <t>أثير حسام ماجد علي</t>
  </si>
  <si>
    <t>481804027</t>
  </si>
  <si>
    <t>Wadha Hussein Mazen Abdulmalik</t>
  </si>
  <si>
    <t>وضحى حسين مازن عبدالملك</t>
  </si>
  <si>
    <t>518986974</t>
  </si>
  <si>
    <t>Jana Abdullah Badr Ziyad</t>
  </si>
  <si>
    <t>جنى عبدالله بدر زياد</t>
  </si>
  <si>
    <t>556169921</t>
  </si>
  <si>
    <t>Afnan Saleh Abdulrahman Badr</t>
  </si>
  <si>
    <t>أفنان صالح عبدالرحمن بدر</t>
  </si>
  <si>
    <t>593352868</t>
  </si>
  <si>
    <t>Haneen Marwan Mansour Hadi</t>
  </si>
  <si>
    <t>حنين مروان منصور هادي</t>
  </si>
  <si>
    <t>630535815</t>
  </si>
  <si>
    <t>Fatimah Saleh Saud Ali</t>
  </si>
  <si>
    <t>فاطمة صالح سعود علي</t>
  </si>
  <si>
    <t>667718762</t>
  </si>
  <si>
    <t>Fatimah Basheer Nayef Faris</t>
  </si>
  <si>
    <t>فاطمة بشير نايف فارس</t>
  </si>
  <si>
    <t>704901709</t>
  </si>
  <si>
    <t>Mashael Rami Marwan Basheer</t>
  </si>
  <si>
    <t>مشاعل رامي مروان بشير</t>
  </si>
  <si>
    <t>742084656</t>
  </si>
  <si>
    <t>Leen Marwan Muath Fahad</t>
  </si>
  <si>
    <t>لين مروان معاذ فهد</t>
  </si>
  <si>
    <t>779267603</t>
  </si>
  <si>
    <t>Nouf Mishari Hazem Abdulrahman</t>
  </si>
  <si>
    <t>نوف مشاري حازم عبدالرحمن</t>
  </si>
  <si>
    <t>816450550</t>
  </si>
  <si>
    <t>Raghad Basheer Ibrahim Hamed</t>
  </si>
  <si>
    <t>رغد بشير إبراهيم حامد</t>
  </si>
  <si>
    <t>853633497</t>
  </si>
  <si>
    <t>Amirah Fawaz Ali Hamad</t>
  </si>
  <si>
    <t>أميرة فواز علي حمد</t>
  </si>
  <si>
    <t>890816444</t>
  </si>
  <si>
    <t>Njoud Mazen Abdulrahman Mohannad</t>
  </si>
  <si>
    <t>نجود مازن عبدالرحمن مهند</t>
  </si>
  <si>
    <t>927999391</t>
  </si>
  <si>
    <t>Sujood Marzouq Yousef Adnan</t>
  </si>
  <si>
    <t>سجود مرزوق يوسف عدنان</t>
  </si>
  <si>
    <t>965182338</t>
  </si>
  <si>
    <t>Alanoud Anas Marzouq Jassim</t>
  </si>
  <si>
    <t>العنود أنس مرزوق جاسم</t>
  </si>
  <si>
    <t>002365285</t>
  </si>
  <si>
    <t>Basmah Saad Mazen Basheer</t>
  </si>
  <si>
    <t>بسمة سعد مازن بشير</t>
  </si>
  <si>
    <t>039548232</t>
  </si>
  <si>
    <t>Tala Jaber Saad Hazem</t>
  </si>
  <si>
    <t>تالا جابر سعد حازم</t>
  </si>
  <si>
    <t>076731179</t>
  </si>
  <si>
    <t>Njoud Khalid Salem Nayef</t>
  </si>
  <si>
    <t>نجود خالد سالم نايف</t>
  </si>
  <si>
    <t>113914126</t>
  </si>
  <si>
    <t>Hoor Mohammed Hamad Nayef</t>
  </si>
  <si>
    <t>حور محمد حمد نايف</t>
  </si>
  <si>
    <t>151097073</t>
  </si>
  <si>
    <t>Hind Nayef Mazen Ibrahim</t>
  </si>
  <si>
    <t>هند نايف مازن إبراهيم</t>
  </si>
  <si>
    <t>188280020</t>
  </si>
  <si>
    <t>Atheer Tamim Abdulmalik Ayman</t>
  </si>
  <si>
    <t>أثير تميم عبدالملك أيمن</t>
  </si>
  <si>
    <t>225462967</t>
  </si>
  <si>
    <t>Arwa Ahmed Abdulmalik Saif</t>
  </si>
  <si>
    <t>أروى أحمد عبدالملك سيف</t>
  </si>
  <si>
    <t>262645914</t>
  </si>
  <si>
    <t>Shaden Hamad Rayan Abdulrahman</t>
  </si>
  <si>
    <t>شادن حمد ريان عبدالرحمن</t>
  </si>
  <si>
    <t>299828861</t>
  </si>
  <si>
    <t>Abeer Yazeed Saud Jaber</t>
  </si>
  <si>
    <t>عبير يزيد سعود جابر</t>
  </si>
  <si>
    <t>337011808</t>
  </si>
  <si>
    <t>Hatoon Mohammed Muath Hussein</t>
  </si>
  <si>
    <t>هتون محمد معاذ حسين</t>
  </si>
  <si>
    <t>374194755</t>
  </si>
  <si>
    <t>Ghala Saud Anas Nayef</t>
  </si>
  <si>
    <t>غلا سعود أنس نايف</t>
  </si>
  <si>
    <t>411377702</t>
  </si>
  <si>
    <t>Atheer Rakan Rami Faris</t>
  </si>
  <si>
    <t>أثير راكان رامي فارس</t>
  </si>
  <si>
    <t>448560649</t>
  </si>
  <si>
    <t>Samar Fahad Ahmed Jihad</t>
  </si>
  <si>
    <t>سمر فهد أحمد جهاد</t>
  </si>
  <si>
    <t>485743596</t>
  </si>
  <si>
    <t>Najla Saleh Bandar Fahad</t>
  </si>
  <si>
    <t>نجلاء صالح بندر فهد</t>
  </si>
  <si>
    <t>522926543</t>
  </si>
  <si>
    <t>Jana Anas Hazem Rashid</t>
  </si>
  <si>
    <t>جنى أنس حازم راشد</t>
  </si>
  <si>
    <t>560109490</t>
  </si>
  <si>
    <t>Fatimah Saud Bassam Mohannad</t>
  </si>
  <si>
    <t>فاطمة سعود بسام مهند</t>
  </si>
  <si>
    <t>597292437</t>
  </si>
  <si>
    <t>Saja Majed Thamer Mohannad</t>
  </si>
  <si>
    <t>سجى ماجد ثامر مهند</t>
  </si>
  <si>
    <t>634475384</t>
  </si>
  <si>
    <t>Amirah Bandar Mazen Hazem</t>
  </si>
  <si>
    <t>أميرة بندر مازن حازم</t>
  </si>
  <si>
    <t>671658331</t>
  </si>
  <si>
    <t>Haya Hussam Salman Saud</t>
  </si>
  <si>
    <t>هيا حسام سلمان سعود</t>
  </si>
  <si>
    <t>708841278</t>
  </si>
  <si>
    <t>Haya Saleh Rakan Rayan</t>
  </si>
  <si>
    <t>هيا صالح راكان ريان</t>
  </si>
  <si>
    <t>746024225</t>
  </si>
  <si>
    <t>Isra Abdulaziz Mishari Ayman</t>
  </si>
  <si>
    <t>إسراء عبدالعزيز مشاري أيمن</t>
  </si>
  <si>
    <t>783207172</t>
  </si>
  <si>
    <t xml:space="preserve">إضافة جديدة من تاريخ 12 ديسمبر </t>
  </si>
  <si>
    <t>Isra Hassan Salem Ayman</t>
  </si>
  <si>
    <t>إسراء حسن سالم أيمن</t>
  </si>
  <si>
    <t>335072239</t>
  </si>
  <si>
    <t>Maha Faisal Saud Hussein</t>
  </si>
  <si>
    <t>مها فيصل سعود حسين</t>
  </si>
  <si>
    <t>372255186</t>
  </si>
  <si>
    <t>Haneen Faris Bassam Tariq</t>
  </si>
  <si>
    <t>حنين فارس بسام طارق</t>
  </si>
  <si>
    <t>409438133</t>
  </si>
  <si>
    <t>Hoor Muath Mohannad Badr</t>
  </si>
  <si>
    <t>حور معاذ مهند بدر</t>
  </si>
  <si>
    <t>446621080</t>
  </si>
  <si>
    <t>Lana Hassan Saad Abdulmalik</t>
  </si>
  <si>
    <t>لانا حسن سعد عبدالملك</t>
  </si>
  <si>
    <t>483804027</t>
  </si>
  <si>
    <t>Muneerah Saqr Abdullah Saad</t>
  </si>
  <si>
    <t>منيرة صقر عبدالله سعد</t>
  </si>
  <si>
    <t>520986974</t>
  </si>
  <si>
    <t>Mashael Hamad Tariq Yousef</t>
  </si>
  <si>
    <t>مشاعل حمد طارق يوسف</t>
  </si>
  <si>
    <t>558169921</t>
  </si>
  <si>
    <t>Maha Salman Hazem Saad</t>
  </si>
  <si>
    <t>مها سلمان حازم سعد</t>
  </si>
  <si>
    <t>595352868</t>
  </si>
  <si>
    <t>Ghala Thamer Ayman Tariq</t>
  </si>
  <si>
    <t>غلا ثامر أيمن طارق</t>
  </si>
  <si>
    <t>632535815</t>
  </si>
  <si>
    <t>Dima Muath Fawaz Hamed</t>
  </si>
  <si>
    <t>ديما معاذ فواز حامد</t>
  </si>
  <si>
    <t>669718762</t>
  </si>
  <si>
    <t>Latifah Yazeed Adnan Mohammed</t>
  </si>
  <si>
    <t>لطيفة يزيد عدنان محمد</t>
  </si>
  <si>
    <t>706901709</t>
  </si>
  <si>
    <t>Asmaa Mohannad Mansour Ayman</t>
  </si>
  <si>
    <t>أسماء مهند منصور أيمن</t>
  </si>
  <si>
    <t>744084656</t>
  </si>
  <si>
    <t>Rawan Adnan Mohammed Salem</t>
  </si>
  <si>
    <t>روان عدنان محمد سالم</t>
  </si>
  <si>
    <t>781267603</t>
  </si>
  <si>
    <t>Saja Tariq Abdulrahman Hassan</t>
  </si>
  <si>
    <t>سجى طارق عبدالرحمن حسن</t>
  </si>
  <si>
    <t>818450550</t>
  </si>
  <si>
    <t>Wadha Turki Ibrahim Salman</t>
  </si>
  <si>
    <t>وضحى تركي إبراهيم سلمان</t>
  </si>
  <si>
    <t>855633497</t>
  </si>
  <si>
    <t>Raghad Badr Jihad Tamim</t>
  </si>
  <si>
    <t>رغد بدر جهاد تميم</t>
  </si>
  <si>
    <t>892816444</t>
  </si>
  <si>
    <t>Rawan Adel Abdulrahman Majed</t>
  </si>
  <si>
    <t>روان عادل عبدالرحمن ماجد</t>
  </si>
  <si>
    <t>929999391</t>
  </si>
  <si>
    <t>Dana Nasser Yasser Fahad</t>
  </si>
  <si>
    <t>دانه ناصر ياسر فهد</t>
  </si>
  <si>
    <t>967182338</t>
  </si>
  <si>
    <t>Mashael Rayan Hazem Abdulmalik</t>
  </si>
  <si>
    <t>مشاعل ريان حازم عبدالملك</t>
  </si>
  <si>
    <t>004365285</t>
  </si>
  <si>
    <t>Amirah Abdulmalik Mohannad Ahmed</t>
  </si>
  <si>
    <t>أميرة عبدالملك مهند أحمد</t>
  </si>
  <si>
    <t>041548232</t>
  </si>
  <si>
    <t>Shatha Nawaf Faisal Adnan</t>
  </si>
  <si>
    <t>شذى نواف فيصل عدنان</t>
  </si>
  <si>
    <t>078731179</t>
  </si>
  <si>
    <t>Wafa Nayef Bandar Sami</t>
  </si>
  <si>
    <t>وفاء نايف بندر سامي</t>
  </si>
  <si>
    <t>115914126</t>
  </si>
  <si>
    <t>Lama Marwan Hazem Jaber</t>
  </si>
  <si>
    <t>لمى مروان حازم جابر</t>
  </si>
  <si>
    <t>153097073</t>
  </si>
  <si>
    <t>Maha Hassan Rashid Sultan</t>
  </si>
  <si>
    <t>مها حسن راشد سلطان</t>
  </si>
  <si>
    <t>190280020</t>
  </si>
  <si>
    <t>Njoud Abdulmalik Salem Mishari</t>
  </si>
  <si>
    <t>نجود عبدالملك سالم مشاري</t>
  </si>
  <si>
    <t>227462967</t>
  </si>
  <si>
    <t>Wadha Sultan Hassan Fawaz</t>
  </si>
  <si>
    <t>وضحى سلطان حسن فواز</t>
  </si>
  <si>
    <t>264645914</t>
  </si>
  <si>
    <t>Atheer Mohannad Rami Hadi</t>
  </si>
  <si>
    <t>أثير مهند رامي هادي</t>
  </si>
  <si>
    <t>301828861</t>
  </si>
  <si>
    <t>Basmah Saqr Tariq Ayman</t>
  </si>
  <si>
    <t>بسمة صقر طارق أيمن</t>
  </si>
  <si>
    <t>339011808</t>
  </si>
  <si>
    <t>Lina Badr Thamer Yousef</t>
  </si>
  <si>
    <t>لينا بدر ثامر يوسف</t>
  </si>
  <si>
    <t>376194755</t>
  </si>
  <si>
    <t>Muneerah Abdulrahman Mishari Abdulaziz</t>
  </si>
  <si>
    <t>منيرة عبدالرحمن مشاري عبدالعزيز</t>
  </si>
  <si>
    <t>413377702</t>
  </si>
  <si>
    <t>Reema Hazem Sultan Yasser</t>
  </si>
  <si>
    <t>ريما حازم سلطان ياسر</t>
  </si>
  <si>
    <t>450560649</t>
  </si>
  <si>
    <t>Amani Jassim Sultan Nayef</t>
  </si>
  <si>
    <t>أماني جاسم سلطان نايف</t>
  </si>
  <si>
    <t>487743596</t>
  </si>
  <si>
    <t>Sarah Tariq Hazem Munther</t>
  </si>
  <si>
    <t>سارة طارق حازم منذر</t>
  </si>
  <si>
    <t>524926543</t>
  </si>
  <si>
    <t>Hatoon Abdulmalik Muath Badr</t>
  </si>
  <si>
    <t>هتون عبدالملك معاذ بدر</t>
  </si>
  <si>
    <t>562109490</t>
  </si>
  <si>
    <t xml:space="preserve">إضافـــــــــــــــــــــــــــــــــــــــــة جديدة من 3 ديسمبر </t>
  </si>
  <si>
    <t>Moudi Turki Adel Ayman</t>
  </si>
  <si>
    <t>موضي تركي عادل أيمن</t>
  </si>
  <si>
    <t>599292437</t>
  </si>
  <si>
    <t>Alanoud Hussam Jassim Faisal</t>
  </si>
  <si>
    <t>العنود حسام جاسم فيصل</t>
  </si>
  <si>
    <t>636475384</t>
  </si>
  <si>
    <t>Reham Muath Mansour Fawaz</t>
  </si>
  <si>
    <t>ريهام معاذ منصور فواز</t>
  </si>
  <si>
    <t>673658331</t>
  </si>
  <si>
    <t>Isra Fawaz Jihad Ayman</t>
  </si>
  <si>
    <t>إسراء فواز جهاد أيمن</t>
  </si>
  <si>
    <t>710841278</t>
  </si>
  <si>
    <t>Hamad Ahmed Nawaf Mohannad</t>
  </si>
  <si>
    <t>حمد أحمد نواف مهند</t>
  </si>
  <si>
    <t>332072239</t>
  </si>
  <si>
    <t>Majed Mohammed Salman Marwan</t>
  </si>
  <si>
    <t>ماجد محمد سلمان مروان</t>
  </si>
  <si>
    <t>369255186</t>
  </si>
  <si>
    <t>Adnan Munther Abdullah Majed</t>
  </si>
  <si>
    <t>عدنان منذر عبدالله ماجد</t>
  </si>
  <si>
    <t>406438133</t>
  </si>
  <si>
    <t>Abdulmalik Nasser Ahmed Abdulmalik</t>
  </si>
  <si>
    <t>عبدالملك ناصر أحمد عبدالملك</t>
  </si>
  <si>
    <t>443621080</t>
  </si>
  <si>
    <t>Iyad Basheer Omar Saud</t>
  </si>
  <si>
    <t>إياد بشير عمر سعود</t>
  </si>
  <si>
    <t>480804027</t>
  </si>
  <si>
    <t>Khalid Ali Saad Tariq</t>
  </si>
  <si>
    <t>خالد علي سعد طارق</t>
  </si>
  <si>
    <t>517986974</t>
  </si>
  <si>
    <t>Marwan Munther Hamad Nayef</t>
  </si>
  <si>
    <t>مروان منذر حمد نايف</t>
  </si>
  <si>
    <t>555169921</t>
  </si>
  <si>
    <t>Jihad Saad Mohannad Mohammed</t>
  </si>
  <si>
    <t>جهاد سعد مهند محمد</t>
  </si>
  <si>
    <t>592352868</t>
  </si>
  <si>
    <t>Anas Khalid Faris Saad</t>
  </si>
  <si>
    <t>أنس خالد فارس سعد</t>
  </si>
  <si>
    <t>629535815</t>
  </si>
  <si>
    <t>Ibrahim Sami Nawaf Badr</t>
  </si>
  <si>
    <t>إبراهيم سامي نواف بدر</t>
  </si>
  <si>
    <t>666718762</t>
  </si>
  <si>
    <t>Tamim Rami Abdulaziz Muath</t>
  </si>
  <si>
    <t>تميم رامي عبدالعزيز معاذ</t>
  </si>
  <si>
    <t>703901709</t>
  </si>
  <si>
    <t>Ahmed Hadi Yasser Abdulrahman</t>
  </si>
  <si>
    <t>أحمد هادي ياسر عبدالرحمن</t>
  </si>
  <si>
    <t>741084656</t>
  </si>
  <si>
    <t>Majed Abdulrahman Hamad Bassam</t>
  </si>
  <si>
    <t>ماجد عبدالرحمن حمد بسام</t>
  </si>
  <si>
    <t>778267603</t>
  </si>
  <si>
    <t>Khalid Nasser Nayef Salem</t>
  </si>
  <si>
    <t>خالد ناصر نايف سالم</t>
  </si>
  <si>
    <t>815450550</t>
  </si>
  <si>
    <t>Adnan Hamed Badr Adel</t>
  </si>
  <si>
    <t>عدنان حامد بدر عادل</t>
  </si>
  <si>
    <t>852633497</t>
  </si>
  <si>
    <t>Iyad Saud Ziyad Salman</t>
  </si>
  <si>
    <t>إياد سعود زياد سلمان</t>
  </si>
  <si>
    <t>889816444</t>
  </si>
  <si>
    <t>Saqr Saad Munther Thamer</t>
  </si>
  <si>
    <t>صقر سعد منذر ثامر</t>
  </si>
  <si>
    <t>926999391</t>
  </si>
  <si>
    <t>Mohannad Faisal Bassam Abdulmalik</t>
  </si>
  <si>
    <t>مهند فيصل بسام عبدالملك</t>
  </si>
  <si>
    <t>964182338</t>
  </si>
  <si>
    <t>Abdulmajid Abdullah Anas Jassim</t>
  </si>
  <si>
    <t>عبدالمجيد عبدالله أنس جاسم</t>
  </si>
  <si>
    <t>001365285</t>
  </si>
  <si>
    <t>Hadi Hussein Thamer Saleh</t>
  </si>
  <si>
    <t>هادي حسين ثامر صالح</t>
  </si>
  <si>
    <t>038548232</t>
  </si>
  <si>
    <t>Nawaf Nayef Tariq Abdulrahman</t>
  </si>
  <si>
    <t>نواف نايف طارق عبدالرحمن</t>
  </si>
  <si>
    <t>075731179</t>
  </si>
  <si>
    <t>Hazem Jassim Mishari Abdulaziz</t>
  </si>
  <si>
    <t>حازم جاسم مشاري عبدالعزيز</t>
  </si>
  <si>
    <t>112914126</t>
  </si>
  <si>
    <t>Basheer Mansour Hazem Bassam</t>
  </si>
  <si>
    <t>بشير منصور حازم بسام</t>
  </si>
  <si>
    <t>150097073</t>
  </si>
  <si>
    <t>Salman Mohammed Mishari Salman</t>
  </si>
  <si>
    <t>سلمان محمد مشاري سلمان</t>
  </si>
  <si>
    <t>187280020</t>
  </si>
  <si>
    <t>Nasser Thamer Saud Yousef</t>
  </si>
  <si>
    <t>ناصر ثامر سعود يوسف</t>
  </si>
  <si>
    <t>224462967</t>
  </si>
  <si>
    <t>Rayan Hussein Ahmed Saud</t>
  </si>
  <si>
    <t>ريان حسين أحمد سعود</t>
  </si>
  <si>
    <t>261645914</t>
  </si>
  <si>
    <t>Nawaf Nasser Ahmed Ali</t>
  </si>
  <si>
    <t>نواف ناصر أحمد علي</t>
  </si>
  <si>
    <t>298828861</t>
  </si>
  <si>
    <t>Jaber Hassan Yousef Nawaf</t>
  </si>
  <si>
    <t>جابر حسن يوسف نواف</t>
  </si>
  <si>
    <t>336011808</t>
  </si>
  <si>
    <t>Majed Adnan Khalid Abdulmajid</t>
  </si>
  <si>
    <t>ماجد عدنان خالد عبدالمجيد</t>
  </si>
  <si>
    <t>373194755</t>
  </si>
  <si>
    <t>Muath Ziyad Mishari Tamim</t>
  </si>
  <si>
    <t>معاذ زياد مشاري تميم</t>
  </si>
  <si>
    <t>410377702</t>
  </si>
  <si>
    <t>Jaber Badr Jihad Adel</t>
  </si>
  <si>
    <t>جابر بدر جهاد عادل</t>
  </si>
  <si>
    <t>447560649</t>
  </si>
  <si>
    <t>Marzouq Rashid Mishari Adel</t>
  </si>
  <si>
    <t>مرزوق راشد مشاري عادل</t>
  </si>
  <si>
    <t>484743596</t>
  </si>
  <si>
    <t>Majed Basheer Thamer Ziyad</t>
  </si>
  <si>
    <t>ماجد بشير ثامر زياد</t>
  </si>
  <si>
    <t>521926543</t>
  </si>
  <si>
    <t>Rashid Ziyad Saqr Abdulmajid</t>
  </si>
  <si>
    <t>راشد زياد صقر عبدالمجيد</t>
  </si>
  <si>
    <t>559109490</t>
  </si>
  <si>
    <t>Yasser Abdulmajid Rashid Tamim</t>
  </si>
  <si>
    <t>ياسر عبدالمجيد راشد تميم</t>
  </si>
  <si>
    <t>596292437</t>
  </si>
  <si>
    <t>Abdulmajid Abdulmalik Mansour Fawaz</t>
  </si>
  <si>
    <t>عبدالمجيد عبدالملك منصور فواز</t>
  </si>
  <si>
    <t>633475384</t>
  </si>
  <si>
    <t>Hassan Mazen Faris Adel</t>
  </si>
  <si>
    <t>حسن مازن فارس عادل</t>
  </si>
  <si>
    <t>670658331</t>
  </si>
  <si>
    <t>Tariq Abdullah Sami Abdulaziz</t>
  </si>
  <si>
    <t>طارق عبدالله سامي عبدالعزيز</t>
  </si>
  <si>
    <t>707841278</t>
  </si>
  <si>
    <t>Rami Saqr Mishari Hassan</t>
  </si>
  <si>
    <t>رامي صقر مشاري حسن</t>
  </si>
  <si>
    <t>745024225</t>
  </si>
  <si>
    <t>Hamad Fawaz Fahad Munther</t>
  </si>
  <si>
    <t>حمد فواز فهد منذر</t>
  </si>
  <si>
    <t>635475384</t>
  </si>
  <si>
    <t>Khalid Nayef Hamad Adnan</t>
  </si>
  <si>
    <t>خالد نايف حمد عدنان</t>
  </si>
  <si>
    <t>672658331</t>
  </si>
  <si>
    <t>Bandar Yasser Badr Ibrahim</t>
  </si>
  <si>
    <t>بندر ياسر بدر إبراهيم</t>
  </si>
  <si>
    <t>709841278</t>
  </si>
  <si>
    <t>Iyad Salman Rakan Badr</t>
  </si>
  <si>
    <t>إياد سلمان راكان بدر</t>
  </si>
  <si>
    <t>747024225</t>
  </si>
  <si>
    <t>Ibrahim Adel Marwan Majed</t>
  </si>
  <si>
    <t>إبراهيم عادل مروان ماجد</t>
  </si>
  <si>
    <t>336072239</t>
  </si>
  <si>
    <t>Bandar Iyad Waleed Adnan</t>
  </si>
  <si>
    <t>بندر إياد وليد عدنان</t>
  </si>
  <si>
    <t>373255186</t>
  </si>
  <si>
    <t>Sami Yazeed Munther Saleh</t>
  </si>
  <si>
    <t>سامي يزيد منذر صالح</t>
  </si>
  <si>
    <t>410438133</t>
  </si>
  <si>
    <t>Thamer Saif Nayef Hamad</t>
  </si>
  <si>
    <t>ثامر سيف نايف حمد</t>
  </si>
  <si>
    <t>447621080</t>
  </si>
  <si>
    <t>Bandar Hussam Rashid Ayman</t>
  </si>
  <si>
    <t>بندر حسام راشد أيمن</t>
  </si>
  <si>
    <t>484804027</t>
  </si>
  <si>
    <t>Yazeed Waleed Ali Saad</t>
  </si>
  <si>
    <t>يزيد وليد علي سعد</t>
  </si>
  <si>
    <t>521986974</t>
  </si>
  <si>
    <t>Yousef Salem Badr Abdullah</t>
  </si>
  <si>
    <t>يوسف سالم بدر عبدالله</t>
  </si>
  <si>
    <t>559169921</t>
  </si>
  <si>
    <t>Abdulaziz Marwan Salem Nayef</t>
  </si>
  <si>
    <t>عبدالعزيز مروان سالم نايف</t>
  </si>
  <si>
    <t>596352868</t>
  </si>
  <si>
    <t>Yousef Marzouq Badr Hussam</t>
  </si>
  <si>
    <t>يوسف مرزوق بدر حسام</t>
  </si>
  <si>
    <t>633535815</t>
  </si>
  <si>
    <t>Rayan Yazeed Muath Nasser</t>
  </si>
  <si>
    <t>ريان يزيد معاذ ناصر</t>
  </si>
  <si>
    <t>670718762</t>
  </si>
  <si>
    <t>Munther Hadi Ayman Mohannad</t>
  </si>
  <si>
    <t>منذر هادي أيمن مهند</t>
  </si>
  <si>
    <t>707901709</t>
  </si>
  <si>
    <t>Badr Tariq Bassam Rayan</t>
  </si>
  <si>
    <t>بدر طارق بسام ريان</t>
  </si>
  <si>
    <t>745084656</t>
  </si>
  <si>
    <t>Marzouq Rayan Anas Saif</t>
  </si>
  <si>
    <t>مرزوق ريان أنس سيف</t>
  </si>
  <si>
    <t>782267603</t>
  </si>
  <si>
    <t>Ziyad Thamer Sultan Bassam</t>
  </si>
  <si>
    <t>زياد ثامر سلطان بسام</t>
  </si>
  <si>
    <t>819450550</t>
  </si>
  <si>
    <t>Ziyad Mohannad Saif Jassim</t>
  </si>
  <si>
    <t>زياد مهند سيف جاسم</t>
  </si>
  <si>
    <t>856633497</t>
  </si>
  <si>
    <t>Mohammed Omar Tamim Hassan</t>
  </si>
  <si>
    <t>محمد عمر تميم حسن</t>
  </si>
  <si>
    <t>893816444</t>
  </si>
  <si>
    <t>Ibrahim Jassim Yousef Saqr</t>
  </si>
  <si>
    <t>إبراهيم جاسم يوسف صقر</t>
  </si>
  <si>
    <t>930999391</t>
  </si>
  <si>
    <t>Abdulmalik Abdulmalik Saif Jihad</t>
  </si>
  <si>
    <t>عبدالملك عبدالملك سيف جهاد</t>
  </si>
  <si>
    <t>968182338</t>
  </si>
  <si>
    <t>Munther Mansour Marwan Waleed</t>
  </si>
  <si>
    <t>منذر منصور مروان وليد</t>
  </si>
  <si>
    <t>005365285</t>
  </si>
  <si>
    <t>Saleh Abdullah Bassam Nawaf</t>
  </si>
  <si>
    <t>صالح عبدالله بسام نواف</t>
  </si>
  <si>
    <t>042548232</t>
  </si>
  <si>
    <t>Khalid Tamim Adnan Nayef</t>
  </si>
  <si>
    <t>خالد تميم عدنان نايف</t>
  </si>
  <si>
    <t>079731179</t>
  </si>
  <si>
    <t>Salman Ayman Ziyad Salem</t>
  </si>
  <si>
    <t>سلمان أيمن زياد سالم</t>
  </si>
  <si>
    <t>116914126</t>
  </si>
  <si>
    <t>Saqr Marwan Rami Jihad</t>
  </si>
  <si>
    <t>صقر مروان رامي جهاد</t>
  </si>
  <si>
    <t>154097073</t>
  </si>
  <si>
    <t>Saud Hazem Faisal Muath</t>
  </si>
  <si>
    <t>سعود حازم فيصل معاذ</t>
  </si>
  <si>
    <t>191280020</t>
  </si>
  <si>
    <t>Hamed Bandar Rayan Saad</t>
  </si>
  <si>
    <t>حامد بندر ريان سعد</t>
  </si>
  <si>
    <t>228462967</t>
  </si>
  <si>
    <t>Tariq Abdulmajid Adnan Hussam</t>
  </si>
  <si>
    <t>طارق عبدالمجيد عدنان حسام</t>
  </si>
  <si>
    <t>265645914</t>
  </si>
  <si>
    <t>Bandar Abdulrahman Mishari Basheer</t>
  </si>
  <si>
    <t>بندر عبدالرحمن مشاري بشير</t>
  </si>
  <si>
    <t>302828861</t>
  </si>
  <si>
    <t>Khalid Abdulaziz Bassam Faris</t>
  </si>
  <si>
    <t>خالد عبدالعزيز بسام فارس</t>
  </si>
  <si>
    <t>340011808</t>
  </si>
  <si>
    <t>Mazen Salman Munther Abdulrahman</t>
  </si>
  <si>
    <t>مازن سلمان منذر عبدالرحمن</t>
  </si>
  <si>
    <t>377194755</t>
  </si>
  <si>
    <t>Sultan Bandar Rakan Abdulrahman</t>
  </si>
  <si>
    <t>سلطان بندر راكان عبدالرحمن</t>
  </si>
  <si>
    <t>414377702</t>
  </si>
  <si>
    <t>Anas Tariq Hassan Rashid</t>
  </si>
  <si>
    <t>أنس طارق حسن راشد</t>
  </si>
  <si>
    <t>451560649</t>
  </si>
  <si>
    <t>Munther Jaber Saqr Yasser</t>
  </si>
  <si>
    <t>منذر جابر صقر ياسر</t>
  </si>
  <si>
    <t>488743596</t>
  </si>
  <si>
    <t>Marzouq Mazen Saqr Abdulmalik</t>
  </si>
  <si>
    <t>مرزوق مازن صقر عبدالملك</t>
  </si>
  <si>
    <t>525926543</t>
  </si>
  <si>
    <t>Saqr Hassan Badr Hadi</t>
  </si>
  <si>
    <t>صقر حسن بدر هادي</t>
  </si>
  <si>
    <t>563109490</t>
  </si>
  <si>
    <t>Ahmed Mohannad Omar Ziyad</t>
  </si>
  <si>
    <t>أحمد مهند عمر زياد</t>
  </si>
  <si>
    <t>600292437</t>
  </si>
  <si>
    <t>Majed Sami Basheer Yazeed</t>
  </si>
  <si>
    <t>ماجد سامي بشير يزيد</t>
  </si>
  <si>
    <t>637475384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</si>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</sst>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#,##0.##;[Red]\-#,##0.##;\–"/>
  </numFmts>
  <fonts count="5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b/>
      <sz val="10"/>
      <color rgb="FFFFFFFF"/>
      <name val="Aptos"/>
    </font>
    <font>
      <sz val="10"/>
      <color rgb="FF202A35"/>
      <name val="Aptos"/>
    </font>
    <font>
      <b/>
      <sz val="10"/>
      <color rgb="FF17365D"/>
      <name val="Aptos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00B050"/>
        <bgColor rgb="FF008080"/>
      </patternFill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7E0E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6" borderId="9" xfId="0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/>
    </xf>
    <xf numFmtId="165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 wrapText="1"/>
    </xf>
    <xf numFmtId="165" fontId="3" fillId="7" borderId="10" xfId="0" applyNumberFormat="1" applyFont="1" applyFill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4" xfId="0" applyBorder="1"/>
    <xf numFmtId="0" fontId="3" fillId="7" borderId="10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90"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  <dxf>
      <fill>
        <patternFill>
          <bgColor rgb="FFFFCCCC"/>
        </patternFill>
      </fill>
    </dxf>
    <dxf>
      <fill>
        <patternFill>
          <bgColor theme="9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  <pageSetUpPr fitToPage="1"/>
  </sheetPr>
  <dimension ref="A1:AE46"/>
  <sheetViews>
    <sheetView showGridLines="0" zoomScale="85" zoomScaleNormal="95" workbookViewId="0">
      <pane xSplit="4" ySplit="1" topLeftCell="V2" activePane="bottomRight" state="frozen"/>
      <selection pane="topRight" activeCell="E1" sqref="E1"/>
      <selection pane="bottomLeft" activeCell="A2" sqref="A2"/>
      <selection pane="bottomRight" activeCell="E1" sqref="E1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2.54296875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46021</v>
      </c>
      <c r="AC1" s="4" t="s">
        <v>153</v>
      </c>
      <c r="AD1" s="4" t="s">
        <v>154</v>
      </c>
      <c r="AE1" s="4" t="s">
        <v>155</v>
      </c>
    </row>
    <row r="2" spans="1:31" ht="21" customHeight="1" x14ac:dyDescent="0.35">
      <c r="A2" s="6">
        <v>1</v>
      </c>
      <c r="B2" s="6" t="s">
        <v>156</v>
      </c>
      <c r="C2" s="6" t="s">
        <v>157</v>
      </c>
      <c r="D2" s="7" t="s">
        <v>158</v>
      </c>
      <c r="E2" s="8" t="s">
        <v>159</v>
      </c>
      <c r="F2" s="8" t="s">
        <v>159</v>
      </c>
      <c r="G2" s="8" t="s">
        <v>159</v>
      </c>
      <c r="H2" s="8" t="s">
        <v>159</v>
      </c>
      <c r="I2" s="8" t="s">
        <v>159</v>
      </c>
      <c r="J2" s="8" t="s">
        <v>159</v>
      </c>
      <c r="K2" s="8" t="s">
        <v>159</v>
      </c>
      <c r="L2" s="8" t="s">
        <v>159</v>
      </c>
      <c r="M2" s="8" t="s">
        <v>159</v>
      </c>
      <c r="N2" s="8" t="s">
        <v>159</v>
      </c>
      <c r="O2" s="8" t="s">
        <v>159</v>
      </c>
      <c r="P2" s="8" t="s">
        <v>160</v>
      </c>
      <c r="Q2" s="8" t="s">
        <v>159</v>
      </c>
      <c r="R2" s="8" t="s">
        <v>159</v>
      </c>
      <c r="S2" s="8" t="s">
        <v>159</v>
      </c>
      <c r="T2" s="8" t="s">
        <v>159</v>
      </c>
      <c r="U2" s="8" t="s">
        <v>160</v>
      </c>
      <c r="V2" s="8" t="s">
        <v>159</v>
      </c>
      <c r="W2" s="8" t="s">
        <v>159</v>
      </c>
      <c r="X2" s="8" t="s">
        <v>159</v>
      </c>
      <c r="Y2" s="8" t="s">
        <v>159</v>
      </c>
      <c r="Z2" s="8" t="s">
        <v>159</v>
      </c>
      <c r="AA2" s="8" t="s">
        <v>159</v>
      </c>
      <c r="AB2" s="8" t="s">
        <v>159</v>
      </c>
      <c r="AC2" s="9">
        <f t="shared" ref="AC2:AC40" si="0">COUNTIF(E2:AB2,"Absent")</f>
        <v>2</v>
      </c>
      <c r="AD2" s="9">
        <f t="shared" ref="AD2:AD40" si="1">COUNTIF(E2:AB2,"Present")</f>
        <v>22</v>
      </c>
      <c r="AE2" s="10">
        <f t="shared" ref="AE2:AE40" si="2">(AD2*5)+(AC2*-5)</f>
        <v>100</v>
      </c>
    </row>
    <row r="3" spans="1:31" ht="21" customHeight="1" x14ac:dyDescent="0.35">
      <c r="A3" s="11">
        <v>2</v>
      </c>
      <c r="B3" s="11" t="s">
        <v>161</v>
      </c>
      <c r="C3" s="11" t="s">
        <v>162</v>
      </c>
      <c r="D3" s="12" t="s">
        <v>163</v>
      </c>
      <c r="E3" s="13" t="s">
        <v>159</v>
      </c>
      <c r="F3" s="13" t="s">
        <v>159</v>
      </c>
      <c r="G3" s="13" t="s">
        <v>159</v>
      </c>
      <c r="H3" s="13" t="s">
        <v>159</v>
      </c>
      <c r="I3" s="13" t="s">
        <v>159</v>
      </c>
      <c r="J3" s="13" t="s">
        <v>159</v>
      </c>
      <c r="K3" s="13" t="s">
        <v>159</v>
      </c>
      <c r="L3" s="13" t="s">
        <v>160</v>
      </c>
      <c r="M3" s="13" t="s">
        <v>159</v>
      </c>
      <c r="N3" s="13" t="s">
        <v>159</v>
      </c>
      <c r="O3" s="13" t="s">
        <v>159</v>
      </c>
      <c r="P3" s="13" t="s">
        <v>159</v>
      </c>
      <c r="Q3" s="13" t="s">
        <v>159</v>
      </c>
      <c r="R3" s="13" t="s">
        <v>160</v>
      </c>
      <c r="S3" s="13" t="s">
        <v>159</v>
      </c>
      <c r="T3" s="13" t="s">
        <v>159</v>
      </c>
      <c r="U3" s="13" t="s">
        <v>160</v>
      </c>
      <c r="V3" s="13" t="s">
        <v>159</v>
      </c>
      <c r="W3" s="13" t="s">
        <v>159</v>
      </c>
      <c r="X3" s="13" t="s">
        <v>160</v>
      </c>
      <c r="Y3" s="13" t="s">
        <v>160</v>
      </c>
      <c r="Z3" s="13" t="s">
        <v>159</v>
      </c>
      <c r="AA3" s="13" t="s">
        <v>160</v>
      </c>
      <c r="AB3" s="13" t="s">
        <v>160</v>
      </c>
      <c r="AC3" s="9">
        <f t="shared" si="0"/>
        <v>7</v>
      </c>
      <c r="AD3" s="9">
        <f t="shared" si="1"/>
        <v>17</v>
      </c>
      <c r="AE3" s="10">
        <f t="shared" si="2"/>
        <v>50</v>
      </c>
    </row>
    <row r="4" spans="1:31" ht="21" customHeight="1" x14ac:dyDescent="0.35">
      <c r="A4" s="6">
        <v>3</v>
      </c>
      <c r="B4" s="6" t="s">
        <v>164</v>
      </c>
      <c r="C4" s="6" t="s">
        <v>165</v>
      </c>
      <c r="D4" s="7" t="s">
        <v>166</v>
      </c>
      <c r="E4" s="8" t="s">
        <v>159</v>
      </c>
      <c r="F4" s="8" t="s">
        <v>159</v>
      </c>
      <c r="G4" s="8" t="s">
        <v>160</v>
      </c>
      <c r="H4" s="8" t="s">
        <v>159</v>
      </c>
      <c r="I4" s="8" t="s">
        <v>159</v>
      </c>
      <c r="J4" s="8" t="s">
        <v>159</v>
      </c>
      <c r="K4" s="8" t="s">
        <v>159</v>
      </c>
      <c r="L4" s="8" t="s">
        <v>159</v>
      </c>
      <c r="M4" s="8" t="s">
        <v>160</v>
      </c>
      <c r="N4" s="8" t="s">
        <v>159</v>
      </c>
      <c r="O4" s="8" t="s">
        <v>159</v>
      </c>
      <c r="P4" s="8" t="s">
        <v>159</v>
      </c>
      <c r="Q4" s="8" t="s">
        <v>159</v>
      </c>
      <c r="R4" s="8" t="s">
        <v>159</v>
      </c>
      <c r="S4" s="8" t="s">
        <v>159</v>
      </c>
      <c r="T4" s="8" t="s">
        <v>159</v>
      </c>
      <c r="U4" s="8" t="s">
        <v>160</v>
      </c>
      <c r="V4" s="8" t="s">
        <v>159</v>
      </c>
      <c r="W4" s="8" t="s">
        <v>159</v>
      </c>
      <c r="X4" s="8" t="s">
        <v>160</v>
      </c>
      <c r="Y4" s="8" t="s">
        <v>159</v>
      </c>
      <c r="Z4" s="8" t="s">
        <v>159</v>
      </c>
      <c r="AA4" s="8" t="s">
        <v>159</v>
      </c>
      <c r="AB4" s="8" t="s">
        <v>159</v>
      </c>
      <c r="AC4" s="9">
        <f t="shared" si="0"/>
        <v>4</v>
      </c>
      <c r="AD4" s="9">
        <f t="shared" si="1"/>
        <v>20</v>
      </c>
      <c r="AE4" s="10">
        <f t="shared" si="2"/>
        <v>80</v>
      </c>
    </row>
    <row r="5" spans="1:31" ht="21" customHeight="1" x14ac:dyDescent="0.35">
      <c r="A5" s="11">
        <v>4</v>
      </c>
      <c r="B5" s="11" t="s">
        <v>167</v>
      </c>
      <c r="C5" s="11" t="s">
        <v>168</v>
      </c>
      <c r="D5" s="12" t="s">
        <v>169</v>
      </c>
      <c r="E5" s="13" t="s">
        <v>159</v>
      </c>
      <c r="F5" s="13" t="s">
        <v>159</v>
      </c>
      <c r="G5" s="13" t="s">
        <v>159</v>
      </c>
      <c r="H5" s="13" t="s">
        <v>159</v>
      </c>
      <c r="I5" s="13" t="s">
        <v>159</v>
      </c>
      <c r="J5" s="13" t="s">
        <v>160</v>
      </c>
      <c r="K5" s="13" t="s">
        <v>159</v>
      </c>
      <c r="L5" s="13" t="s">
        <v>159</v>
      </c>
      <c r="M5" s="13" t="s">
        <v>159</v>
      </c>
      <c r="N5" s="13" t="s">
        <v>159</v>
      </c>
      <c r="O5" s="13" t="s">
        <v>159</v>
      </c>
      <c r="P5" s="13" t="s">
        <v>159</v>
      </c>
      <c r="Q5" s="13" t="s">
        <v>159</v>
      </c>
      <c r="R5" s="13" t="s">
        <v>159</v>
      </c>
      <c r="S5" s="13" t="s">
        <v>159</v>
      </c>
      <c r="T5" s="13" t="s">
        <v>159</v>
      </c>
      <c r="U5" s="13" t="s">
        <v>159</v>
      </c>
      <c r="V5" s="13" t="s">
        <v>159</v>
      </c>
      <c r="W5" s="13" t="s">
        <v>159</v>
      </c>
      <c r="X5" s="13" t="s">
        <v>160</v>
      </c>
      <c r="Y5" s="13" t="s">
        <v>159</v>
      </c>
      <c r="Z5" s="13" t="s">
        <v>159</v>
      </c>
      <c r="AA5" s="13" t="s">
        <v>159</v>
      </c>
      <c r="AB5" s="13" t="s">
        <v>159</v>
      </c>
      <c r="AC5" s="9">
        <f t="shared" si="0"/>
        <v>2</v>
      </c>
      <c r="AD5" s="9">
        <f t="shared" si="1"/>
        <v>22</v>
      </c>
      <c r="AE5" s="10">
        <f t="shared" si="2"/>
        <v>100</v>
      </c>
    </row>
    <row r="6" spans="1:31" ht="21" customHeight="1" x14ac:dyDescent="0.35">
      <c r="A6" s="6">
        <v>5</v>
      </c>
      <c r="B6" s="6" t="s">
        <v>170</v>
      </c>
      <c r="C6" s="6" t="s">
        <v>171</v>
      </c>
      <c r="D6" s="7" t="s">
        <v>172</v>
      </c>
      <c r="E6" s="8" t="s">
        <v>159</v>
      </c>
      <c r="F6" s="8" t="s">
        <v>159</v>
      </c>
      <c r="G6" s="8" t="s">
        <v>159</v>
      </c>
      <c r="H6" s="8" t="s">
        <v>159</v>
      </c>
      <c r="I6" s="8" t="s">
        <v>160</v>
      </c>
      <c r="J6" s="8" t="s">
        <v>159</v>
      </c>
      <c r="K6" s="8" t="s">
        <v>159</v>
      </c>
      <c r="L6" s="8" t="s">
        <v>159</v>
      </c>
      <c r="M6" s="8" t="s">
        <v>159</v>
      </c>
      <c r="N6" s="8" t="s">
        <v>159</v>
      </c>
      <c r="O6" s="8" t="s">
        <v>159</v>
      </c>
      <c r="P6" s="8" t="s">
        <v>159</v>
      </c>
      <c r="Q6" s="8" t="s">
        <v>160</v>
      </c>
      <c r="R6" s="8" t="s">
        <v>159</v>
      </c>
      <c r="S6" s="8" t="s">
        <v>159</v>
      </c>
      <c r="T6" s="8" t="s">
        <v>159</v>
      </c>
      <c r="U6" s="8" t="s">
        <v>159</v>
      </c>
      <c r="V6" s="8" t="s">
        <v>159</v>
      </c>
      <c r="W6" s="8" t="s">
        <v>160</v>
      </c>
      <c r="X6" s="8" t="s">
        <v>160</v>
      </c>
      <c r="Y6" s="8" t="s">
        <v>160</v>
      </c>
      <c r="Z6" s="8" t="s">
        <v>160</v>
      </c>
      <c r="AA6" s="8" t="s">
        <v>159</v>
      </c>
      <c r="AB6" s="8" t="s">
        <v>160</v>
      </c>
      <c r="AC6" s="9">
        <f t="shared" si="0"/>
        <v>7</v>
      </c>
      <c r="AD6" s="9">
        <f t="shared" si="1"/>
        <v>17</v>
      </c>
      <c r="AE6" s="10">
        <f t="shared" si="2"/>
        <v>50</v>
      </c>
    </row>
    <row r="7" spans="1:31" ht="21" customHeight="1" x14ac:dyDescent="0.35">
      <c r="A7" s="11">
        <v>6</v>
      </c>
      <c r="B7" s="11" t="s">
        <v>173</v>
      </c>
      <c r="C7" s="11" t="s">
        <v>174</v>
      </c>
      <c r="D7" s="12" t="s">
        <v>175</v>
      </c>
      <c r="E7" s="13" t="s">
        <v>159</v>
      </c>
      <c r="F7" s="13" t="s">
        <v>160</v>
      </c>
      <c r="G7" s="13" t="s">
        <v>160</v>
      </c>
      <c r="H7" s="13" t="s">
        <v>159</v>
      </c>
      <c r="I7" s="13" t="s">
        <v>159</v>
      </c>
      <c r="J7" s="13" t="s">
        <v>159</v>
      </c>
      <c r="K7" s="13" t="s">
        <v>159</v>
      </c>
      <c r="L7" s="13" t="s">
        <v>159</v>
      </c>
      <c r="M7" s="13" t="s">
        <v>159</v>
      </c>
      <c r="N7" s="13" t="s">
        <v>160</v>
      </c>
      <c r="O7" s="13" t="s">
        <v>159</v>
      </c>
      <c r="P7" s="13" t="s">
        <v>159</v>
      </c>
      <c r="Q7" s="13" t="s">
        <v>160</v>
      </c>
      <c r="R7" s="13" t="s">
        <v>159</v>
      </c>
      <c r="S7" s="13" t="s">
        <v>159</v>
      </c>
      <c r="T7" s="13" t="s">
        <v>159</v>
      </c>
      <c r="U7" s="13" t="s">
        <v>159</v>
      </c>
      <c r="V7" s="13" t="s">
        <v>160</v>
      </c>
      <c r="W7" s="13" t="s">
        <v>159</v>
      </c>
      <c r="X7" s="13" t="s">
        <v>159</v>
      </c>
      <c r="Y7" s="13" t="s">
        <v>159</v>
      </c>
      <c r="Z7" s="13" t="s">
        <v>159</v>
      </c>
      <c r="AA7" s="13" t="s">
        <v>160</v>
      </c>
      <c r="AB7" s="13" t="s">
        <v>159</v>
      </c>
      <c r="AC7" s="9">
        <f t="shared" si="0"/>
        <v>6</v>
      </c>
      <c r="AD7" s="9">
        <f t="shared" si="1"/>
        <v>18</v>
      </c>
      <c r="AE7" s="10">
        <f t="shared" si="2"/>
        <v>60</v>
      </c>
    </row>
    <row r="8" spans="1:31" ht="21" customHeight="1" x14ac:dyDescent="0.35">
      <c r="A8" s="6">
        <v>7</v>
      </c>
      <c r="B8" s="6" t="s">
        <v>176</v>
      </c>
      <c r="C8" s="6" t="s">
        <v>177</v>
      </c>
      <c r="D8" s="7" t="s">
        <v>178</v>
      </c>
      <c r="E8" s="8" t="s">
        <v>159</v>
      </c>
      <c r="F8" s="8" t="s">
        <v>159</v>
      </c>
      <c r="G8" s="8" t="s">
        <v>159</v>
      </c>
      <c r="H8" s="8" t="s">
        <v>159</v>
      </c>
      <c r="I8" s="8" t="s">
        <v>159</v>
      </c>
      <c r="J8" s="8" t="s">
        <v>159</v>
      </c>
      <c r="K8" s="8" t="s">
        <v>159</v>
      </c>
      <c r="L8" s="8" t="s">
        <v>159</v>
      </c>
      <c r="M8" s="8" t="s">
        <v>159</v>
      </c>
      <c r="N8" s="8" t="s">
        <v>159</v>
      </c>
      <c r="O8" s="8" t="s">
        <v>160</v>
      </c>
      <c r="P8" s="8" t="s">
        <v>160</v>
      </c>
      <c r="Q8" s="8" t="s">
        <v>159</v>
      </c>
      <c r="R8" s="8" t="s">
        <v>159</v>
      </c>
      <c r="S8" s="8" t="s">
        <v>160</v>
      </c>
      <c r="T8" s="8" t="s">
        <v>159</v>
      </c>
      <c r="U8" s="8" t="s">
        <v>159</v>
      </c>
      <c r="V8" s="8" t="s">
        <v>159</v>
      </c>
      <c r="W8" s="8" t="s">
        <v>160</v>
      </c>
      <c r="X8" s="8" t="s">
        <v>159</v>
      </c>
      <c r="Y8" s="8" t="s">
        <v>159</v>
      </c>
      <c r="Z8" s="8" t="s">
        <v>159</v>
      </c>
      <c r="AA8" s="8" t="s">
        <v>160</v>
      </c>
      <c r="AB8" s="8" t="s">
        <v>160</v>
      </c>
      <c r="AC8" s="9">
        <f t="shared" si="0"/>
        <v>6</v>
      </c>
      <c r="AD8" s="9">
        <f t="shared" si="1"/>
        <v>18</v>
      </c>
      <c r="AE8" s="10">
        <f t="shared" si="2"/>
        <v>60</v>
      </c>
    </row>
    <row r="9" spans="1:31" ht="21" customHeight="1" x14ac:dyDescent="0.35">
      <c r="A9" s="11">
        <v>8</v>
      </c>
      <c r="B9" s="11" t="s">
        <v>179</v>
      </c>
      <c r="C9" s="11" t="s">
        <v>180</v>
      </c>
      <c r="D9" s="12" t="s">
        <v>181</v>
      </c>
      <c r="E9" s="13" t="s">
        <v>159</v>
      </c>
      <c r="F9" s="13" t="s">
        <v>159</v>
      </c>
      <c r="G9" s="13" t="s">
        <v>159</v>
      </c>
      <c r="H9" s="13" t="s">
        <v>159</v>
      </c>
      <c r="I9" s="13" t="s">
        <v>159</v>
      </c>
      <c r="J9" s="13" t="s">
        <v>159</v>
      </c>
      <c r="K9" s="13" t="s">
        <v>159</v>
      </c>
      <c r="L9" s="13" t="s">
        <v>159</v>
      </c>
      <c r="M9" s="13" t="s">
        <v>159</v>
      </c>
      <c r="N9" s="13" t="s">
        <v>159</v>
      </c>
      <c r="O9" s="13" t="s">
        <v>159</v>
      </c>
      <c r="P9" s="13" t="s">
        <v>159</v>
      </c>
      <c r="Q9" s="13" t="s">
        <v>159</v>
      </c>
      <c r="R9" s="13" t="s">
        <v>159</v>
      </c>
      <c r="S9" s="13" t="s">
        <v>159</v>
      </c>
      <c r="T9" s="13" t="s">
        <v>159</v>
      </c>
      <c r="U9" s="13" t="s">
        <v>160</v>
      </c>
      <c r="V9" s="13" t="s">
        <v>159</v>
      </c>
      <c r="W9" s="13" t="s">
        <v>159</v>
      </c>
      <c r="X9" s="13" t="s">
        <v>159</v>
      </c>
      <c r="Y9" s="13" t="s">
        <v>159</v>
      </c>
      <c r="Z9" s="13" t="s">
        <v>160</v>
      </c>
      <c r="AA9" s="13" t="s">
        <v>182</v>
      </c>
      <c r="AB9" s="13" t="s">
        <v>159</v>
      </c>
      <c r="AC9" s="9">
        <f t="shared" si="0"/>
        <v>2</v>
      </c>
      <c r="AD9" s="9">
        <f t="shared" si="1"/>
        <v>21</v>
      </c>
      <c r="AE9" s="10">
        <f t="shared" si="2"/>
        <v>95</v>
      </c>
    </row>
    <row r="10" spans="1:31" ht="21" customHeight="1" x14ac:dyDescent="0.35">
      <c r="A10" s="6">
        <v>9</v>
      </c>
      <c r="B10" s="6" t="s">
        <v>183</v>
      </c>
      <c r="C10" s="6" t="s">
        <v>184</v>
      </c>
      <c r="D10" s="7" t="s">
        <v>185</v>
      </c>
      <c r="E10" s="8" t="s">
        <v>159</v>
      </c>
      <c r="F10" s="8" t="s">
        <v>159</v>
      </c>
      <c r="G10" s="8" t="s">
        <v>160</v>
      </c>
      <c r="H10" s="8" t="s">
        <v>159</v>
      </c>
      <c r="I10" s="8" t="s">
        <v>159</v>
      </c>
      <c r="J10" s="8" t="s">
        <v>182</v>
      </c>
      <c r="K10" s="8" t="s">
        <v>159</v>
      </c>
      <c r="L10" s="8" t="s">
        <v>159</v>
      </c>
      <c r="M10" s="8" t="s">
        <v>159</v>
      </c>
      <c r="N10" s="8" t="s">
        <v>159</v>
      </c>
      <c r="O10" s="8" t="s">
        <v>160</v>
      </c>
      <c r="P10" s="8" t="s">
        <v>160</v>
      </c>
      <c r="Q10" s="8" t="s">
        <v>159</v>
      </c>
      <c r="R10" s="8" t="s">
        <v>159</v>
      </c>
      <c r="S10" s="8" t="s">
        <v>160</v>
      </c>
      <c r="T10" s="8" t="s">
        <v>159</v>
      </c>
      <c r="U10" s="8" t="s">
        <v>159</v>
      </c>
      <c r="V10" s="8" t="s">
        <v>159</v>
      </c>
      <c r="W10" s="8" t="s">
        <v>159</v>
      </c>
      <c r="X10" s="8" t="s">
        <v>159</v>
      </c>
      <c r="Y10" s="8" t="s">
        <v>160</v>
      </c>
      <c r="Z10" s="8" t="s">
        <v>159</v>
      </c>
      <c r="AA10" s="8" t="s">
        <v>160</v>
      </c>
      <c r="AB10" s="8" t="s">
        <v>159</v>
      </c>
      <c r="AC10" s="9">
        <f t="shared" si="0"/>
        <v>6</v>
      </c>
      <c r="AD10" s="9">
        <f t="shared" si="1"/>
        <v>17</v>
      </c>
      <c r="AE10" s="10">
        <f t="shared" si="2"/>
        <v>55</v>
      </c>
    </row>
    <row r="11" spans="1:31" ht="21" customHeight="1" x14ac:dyDescent="0.35">
      <c r="A11" s="11">
        <v>10</v>
      </c>
      <c r="B11" s="11" t="s">
        <v>186</v>
      </c>
      <c r="C11" s="11" t="s">
        <v>187</v>
      </c>
      <c r="D11" s="12" t="s">
        <v>188</v>
      </c>
      <c r="E11" s="13" t="s">
        <v>159</v>
      </c>
      <c r="F11" s="13" t="s">
        <v>159</v>
      </c>
      <c r="G11" s="13" t="s">
        <v>159</v>
      </c>
      <c r="H11" s="13" t="s">
        <v>159</v>
      </c>
      <c r="I11" s="13" t="s">
        <v>159</v>
      </c>
      <c r="J11" s="13" t="s">
        <v>159</v>
      </c>
      <c r="K11" s="13" t="s">
        <v>159</v>
      </c>
      <c r="L11" s="13" t="s">
        <v>159</v>
      </c>
      <c r="M11" s="13" t="s">
        <v>159</v>
      </c>
      <c r="N11" s="13" t="s">
        <v>159</v>
      </c>
      <c r="O11" s="13" t="s">
        <v>159</v>
      </c>
      <c r="P11" s="13" t="s">
        <v>159</v>
      </c>
      <c r="Q11" s="13" t="s">
        <v>159</v>
      </c>
      <c r="R11" s="13" t="s">
        <v>159</v>
      </c>
      <c r="S11" s="13" t="s">
        <v>160</v>
      </c>
      <c r="T11" s="13" t="s">
        <v>159</v>
      </c>
      <c r="U11" s="13" t="s">
        <v>159</v>
      </c>
      <c r="V11" s="13" t="s">
        <v>160</v>
      </c>
      <c r="W11" s="13" t="s">
        <v>160</v>
      </c>
      <c r="X11" s="13" t="s">
        <v>160</v>
      </c>
      <c r="Y11" s="13" t="s">
        <v>160</v>
      </c>
      <c r="Z11" s="13" t="s">
        <v>159</v>
      </c>
      <c r="AA11" s="13" t="s">
        <v>159</v>
      </c>
      <c r="AB11" s="13" t="s">
        <v>159</v>
      </c>
      <c r="AC11" s="9">
        <f t="shared" si="0"/>
        <v>5</v>
      </c>
      <c r="AD11" s="9">
        <f t="shared" si="1"/>
        <v>19</v>
      </c>
      <c r="AE11" s="10">
        <f t="shared" si="2"/>
        <v>70</v>
      </c>
    </row>
    <row r="12" spans="1:31" ht="21" customHeight="1" x14ac:dyDescent="0.35">
      <c r="A12" s="6">
        <v>11</v>
      </c>
      <c r="B12" s="6" t="s">
        <v>189</v>
      </c>
      <c r="C12" s="6" t="s">
        <v>190</v>
      </c>
      <c r="D12" s="7" t="s">
        <v>191</v>
      </c>
      <c r="E12" s="8" t="s">
        <v>159</v>
      </c>
      <c r="F12" s="8" t="s">
        <v>159</v>
      </c>
      <c r="G12" s="8" t="s">
        <v>159</v>
      </c>
      <c r="H12" s="8" t="s">
        <v>159</v>
      </c>
      <c r="I12" s="8" t="s">
        <v>159</v>
      </c>
      <c r="J12" s="8" t="s">
        <v>159</v>
      </c>
      <c r="K12" s="8" t="s">
        <v>159</v>
      </c>
      <c r="L12" s="8" t="s">
        <v>159</v>
      </c>
      <c r="M12" s="8" t="s">
        <v>159</v>
      </c>
      <c r="N12" s="8" t="s">
        <v>159</v>
      </c>
      <c r="O12" s="8" t="s">
        <v>159</v>
      </c>
      <c r="P12" s="8" t="s">
        <v>159</v>
      </c>
      <c r="Q12" s="8" t="s">
        <v>159</v>
      </c>
      <c r="R12" s="8" t="s">
        <v>159</v>
      </c>
      <c r="S12" s="8" t="s">
        <v>159</v>
      </c>
      <c r="T12" s="8" t="s">
        <v>159</v>
      </c>
      <c r="U12" s="8" t="s">
        <v>160</v>
      </c>
      <c r="V12" s="8" t="s">
        <v>159</v>
      </c>
      <c r="W12" s="8" t="s">
        <v>159</v>
      </c>
      <c r="X12" s="8" t="s">
        <v>182</v>
      </c>
      <c r="Y12" s="8" t="s">
        <v>159</v>
      </c>
      <c r="Z12" s="8" t="s">
        <v>159</v>
      </c>
      <c r="AA12" s="8" t="s">
        <v>159</v>
      </c>
      <c r="AB12" s="8" t="s">
        <v>160</v>
      </c>
      <c r="AC12" s="9">
        <f t="shared" si="0"/>
        <v>2</v>
      </c>
      <c r="AD12" s="9">
        <f t="shared" si="1"/>
        <v>21</v>
      </c>
      <c r="AE12" s="10">
        <f t="shared" si="2"/>
        <v>95</v>
      </c>
    </row>
    <row r="13" spans="1:31" ht="21" customHeight="1" x14ac:dyDescent="0.35">
      <c r="A13" s="11">
        <v>12</v>
      </c>
      <c r="B13" s="11" t="s">
        <v>192</v>
      </c>
      <c r="C13" s="11" t="s">
        <v>193</v>
      </c>
      <c r="D13" s="12" t="s">
        <v>194</v>
      </c>
      <c r="E13" s="13" t="s">
        <v>159</v>
      </c>
      <c r="F13" s="13" t="s">
        <v>159</v>
      </c>
      <c r="G13" s="13" t="s">
        <v>159</v>
      </c>
      <c r="H13" s="13" t="s">
        <v>159</v>
      </c>
      <c r="I13" s="13" t="s">
        <v>159</v>
      </c>
      <c r="J13" s="13" t="s">
        <v>160</v>
      </c>
      <c r="K13" s="13" t="s">
        <v>159</v>
      </c>
      <c r="L13" s="13" t="s">
        <v>160</v>
      </c>
      <c r="M13" s="13" t="s">
        <v>159</v>
      </c>
      <c r="N13" s="13" t="s">
        <v>159</v>
      </c>
      <c r="O13" s="13" t="s">
        <v>160</v>
      </c>
      <c r="P13" s="13" t="s">
        <v>160</v>
      </c>
      <c r="Q13" s="13" t="s">
        <v>159</v>
      </c>
      <c r="R13" s="13" t="s">
        <v>159</v>
      </c>
      <c r="S13" s="13" t="s">
        <v>159</v>
      </c>
      <c r="T13" s="13" t="s">
        <v>159</v>
      </c>
      <c r="U13" s="13" t="s">
        <v>159</v>
      </c>
      <c r="V13" s="13" t="s">
        <v>160</v>
      </c>
      <c r="W13" s="13" t="s">
        <v>159</v>
      </c>
      <c r="X13" s="13" t="s">
        <v>159</v>
      </c>
      <c r="Y13" s="13" t="s">
        <v>159</v>
      </c>
      <c r="Z13" s="13" t="s">
        <v>159</v>
      </c>
      <c r="AA13" s="13" t="s">
        <v>159</v>
      </c>
      <c r="AB13" s="13" t="s">
        <v>182</v>
      </c>
      <c r="AC13" s="9">
        <f t="shared" si="0"/>
        <v>5</v>
      </c>
      <c r="AD13" s="9">
        <f t="shared" si="1"/>
        <v>18</v>
      </c>
      <c r="AE13" s="10">
        <f t="shared" si="2"/>
        <v>65</v>
      </c>
    </row>
    <row r="14" spans="1:31" ht="21" customHeight="1" x14ac:dyDescent="0.35">
      <c r="A14" s="6">
        <v>13</v>
      </c>
      <c r="B14" s="6" t="s">
        <v>195</v>
      </c>
      <c r="C14" s="6" t="s">
        <v>196</v>
      </c>
      <c r="D14" s="7" t="s">
        <v>197</v>
      </c>
      <c r="E14" s="8" t="s">
        <v>159</v>
      </c>
      <c r="F14" s="8" t="s">
        <v>159</v>
      </c>
      <c r="G14" s="8" t="s">
        <v>160</v>
      </c>
      <c r="H14" s="8" t="s">
        <v>159</v>
      </c>
      <c r="I14" s="8" t="s">
        <v>160</v>
      </c>
      <c r="J14" s="8" t="s">
        <v>159</v>
      </c>
      <c r="K14" s="8" t="s">
        <v>159</v>
      </c>
      <c r="L14" s="8" t="s">
        <v>159</v>
      </c>
      <c r="M14" s="8" t="s">
        <v>159</v>
      </c>
      <c r="N14" s="8" t="s">
        <v>159</v>
      </c>
      <c r="O14" s="8" t="s">
        <v>159</v>
      </c>
      <c r="P14" s="8" t="s">
        <v>159</v>
      </c>
      <c r="Q14" s="8" t="s">
        <v>159</v>
      </c>
      <c r="R14" s="8" t="s">
        <v>160</v>
      </c>
      <c r="S14" s="8" t="s">
        <v>159</v>
      </c>
      <c r="T14" s="8" t="s">
        <v>160</v>
      </c>
      <c r="U14" s="8" t="s">
        <v>159</v>
      </c>
      <c r="V14" s="8" t="s">
        <v>159</v>
      </c>
      <c r="W14" s="8" t="s">
        <v>160</v>
      </c>
      <c r="X14" s="8" t="s">
        <v>159</v>
      </c>
      <c r="Y14" s="8" t="s">
        <v>182</v>
      </c>
      <c r="Z14" s="8" t="s">
        <v>159</v>
      </c>
      <c r="AA14" s="8" t="s">
        <v>160</v>
      </c>
      <c r="AB14" s="8" t="s">
        <v>160</v>
      </c>
      <c r="AC14" s="9">
        <f t="shared" si="0"/>
        <v>7</v>
      </c>
      <c r="AD14" s="9">
        <f t="shared" si="1"/>
        <v>16</v>
      </c>
      <c r="AE14" s="10">
        <f t="shared" si="2"/>
        <v>45</v>
      </c>
    </row>
    <row r="15" spans="1:31" ht="21" customHeight="1" x14ac:dyDescent="0.35">
      <c r="A15" s="11">
        <v>14</v>
      </c>
      <c r="B15" s="11" t="s">
        <v>198</v>
      </c>
      <c r="C15" s="11" t="s">
        <v>199</v>
      </c>
      <c r="D15" s="12" t="s">
        <v>200</v>
      </c>
      <c r="E15" s="13" t="s">
        <v>159</v>
      </c>
      <c r="F15" s="13" t="s">
        <v>159</v>
      </c>
      <c r="G15" s="13" t="s">
        <v>159</v>
      </c>
      <c r="H15" s="13" t="s">
        <v>159</v>
      </c>
      <c r="I15" s="13" t="s">
        <v>159</v>
      </c>
      <c r="J15" s="13" t="s">
        <v>159</v>
      </c>
      <c r="K15" s="13" t="s">
        <v>160</v>
      </c>
      <c r="L15" s="13" t="s">
        <v>159</v>
      </c>
      <c r="M15" s="13" t="s">
        <v>159</v>
      </c>
      <c r="N15" s="13" t="s">
        <v>159</v>
      </c>
      <c r="O15" s="13" t="s">
        <v>159</v>
      </c>
      <c r="P15" s="13" t="s">
        <v>159</v>
      </c>
      <c r="Q15" s="13" t="s">
        <v>160</v>
      </c>
      <c r="R15" s="13" t="s">
        <v>159</v>
      </c>
      <c r="S15" s="13" t="s">
        <v>160</v>
      </c>
      <c r="T15" s="13" t="s">
        <v>159</v>
      </c>
      <c r="U15" s="13" t="s">
        <v>159</v>
      </c>
      <c r="V15" s="13" t="s">
        <v>159</v>
      </c>
      <c r="W15" s="13" t="s">
        <v>160</v>
      </c>
      <c r="X15" s="13" t="s">
        <v>159</v>
      </c>
      <c r="Y15" s="13" t="s">
        <v>160</v>
      </c>
      <c r="Z15" s="13" t="s">
        <v>159</v>
      </c>
      <c r="AA15" s="13" t="s">
        <v>159</v>
      </c>
      <c r="AB15" s="13" t="s">
        <v>159</v>
      </c>
      <c r="AC15" s="9">
        <f t="shared" si="0"/>
        <v>5</v>
      </c>
      <c r="AD15" s="9">
        <f t="shared" si="1"/>
        <v>19</v>
      </c>
      <c r="AE15" s="10">
        <f t="shared" si="2"/>
        <v>70</v>
      </c>
    </row>
    <row r="16" spans="1:31" ht="21" customHeight="1" x14ac:dyDescent="0.35">
      <c r="A16" s="6">
        <v>15</v>
      </c>
      <c r="B16" s="6" t="s">
        <v>201</v>
      </c>
      <c r="C16" s="6" t="s">
        <v>202</v>
      </c>
      <c r="D16" s="7" t="s">
        <v>203</v>
      </c>
      <c r="E16" s="8" t="s">
        <v>182</v>
      </c>
      <c r="F16" s="8" t="s">
        <v>159</v>
      </c>
      <c r="G16" s="8" t="s">
        <v>160</v>
      </c>
      <c r="H16" s="8" t="s">
        <v>159</v>
      </c>
      <c r="I16" s="8" t="s">
        <v>160</v>
      </c>
      <c r="J16" s="8" t="s">
        <v>182</v>
      </c>
      <c r="K16" s="8" t="s">
        <v>159</v>
      </c>
      <c r="L16" s="8" t="s">
        <v>159</v>
      </c>
      <c r="M16" s="8" t="s">
        <v>159</v>
      </c>
      <c r="N16" s="8" t="s">
        <v>159</v>
      </c>
      <c r="O16" s="8" t="s">
        <v>159</v>
      </c>
      <c r="P16" s="8" t="s">
        <v>159</v>
      </c>
      <c r="Q16" s="8" t="s">
        <v>160</v>
      </c>
      <c r="R16" s="8" t="s">
        <v>159</v>
      </c>
      <c r="S16" s="8" t="s">
        <v>160</v>
      </c>
      <c r="T16" s="8" t="s">
        <v>159</v>
      </c>
      <c r="U16" s="8" t="s">
        <v>159</v>
      </c>
      <c r="V16" s="8" t="s">
        <v>159</v>
      </c>
      <c r="W16" s="8" t="s">
        <v>159</v>
      </c>
      <c r="X16" s="8" t="s">
        <v>182</v>
      </c>
      <c r="Y16" s="8" t="s">
        <v>159</v>
      </c>
      <c r="Z16" s="8" t="s">
        <v>159</v>
      </c>
      <c r="AA16" s="8" t="s">
        <v>159</v>
      </c>
      <c r="AB16" s="8" t="s">
        <v>159</v>
      </c>
      <c r="AC16" s="9">
        <f t="shared" si="0"/>
        <v>4</v>
      </c>
      <c r="AD16" s="9">
        <f t="shared" si="1"/>
        <v>17</v>
      </c>
      <c r="AE16" s="10">
        <f t="shared" si="2"/>
        <v>65</v>
      </c>
    </row>
    <row r="17" spans="1:31" ht="21" customHeight="1" x14ac:dyDescent="0.35">
      <c r="A17" s="11">
        <v>16</v>
      </c>
      <c r="B17" s="11" t="s">
        <v>204</v>
      </c>
      <c r="C17" s="11" t="s">
        <v>205</v>
      </c>
      <c r="D17" s="12" t="s">
        <v>206</v>
      </c>
      <c r="E17" s="13" t="s">
        <v>159</v>
      </c>
      <c r="F17" s="13" t="s">
        <v>159</v>
      </c>
      <c r="G17" s="13" t="s">
        <v>159</v>
      </c>
      <c r="H17" s="13" t="s">
        <v>159</v>
      </c>
      <c r="I17" s="13" t="s">
        <v>160</v>
      </c>
      <c r="J17" s="13" t="s">
        <v>159</v>
      </c>
      <c r="K17" s="13" t="s">
        <v>159</v>
      </c>
      <c r="L17" s="13" t="s">
        <v>159</v>
      </c>
      <c r="M17" s="13" t="s">
        <v>159</v>
      </c>
      <c r="N17" s="13" t="s">
        <v>159</v>
      </c>
      <c r="O17" s="13" t="s">
        <v>159</v>
      </c>
      <c r="P17" s="13" t="s">
        <v>159</v>
      </c>
      <c r="Q17" s="13" t="s">
        <v>159</v>
      </c>
      <c r="R17" s="13" t="s">
        <v>159</v>
      </c>
      <c r="S17" s="13" t="s">
        <v>160</v>
      </c>
      <c r="T17" s="13" t="s">
        <v>160</v>
      </c>
      <c r="U17" s="13" t="s">
        <v>159</v>
      </c>
      <c r="V17" s="13" t="s">
        <v>160</v>
      </c>
      <c r="W17" s="13" t="s">
        <v>159</v>
      </c>
      <c r="X17" s="13" t="s">
        <v>159</v>
      </c>
      <c r="Y17" s="13" t="s">
        <v>159</v>
      </c>
      <c r="Z17" s="13" t="s">
        <v>159</v>
      </c>
      <c r="AA17" s="13" t="s">
        <v>159</v>
      </c>
      <c r="AB17" s="13" t="s">
        <v>159</v>
      </c>
      <c r="AC17" s="9">
        <f t="shared" si="0"/>
        <v>4</v>
      </c>
      <c r="AD17" s="9">
        <f t="shared" si="1"/>
        <v>20</v>
      </c>
      <c r="AE17" s="10">
        <f t="shared" si="2"/>
        <v>80</v>
      </c>
    </row>
    <row r="18" spans="1:31" ht="21" customHeight="1" x14ac:dyDescent="0.35">
      <c r="A18" s="6">
        <v>17</v>
      </c>
      <c r="B18" s="6" t="s">
        <v>207</v>
      </c>
      <c r="C18" s="6" t="s">
        <v>208</v>
      </c>
      <c r="D18" s="7" t="s">
        <v>209</v>
      </c>
      <c r="E18" s="8" t="s">
        <v>159</v>
      </c>
      <c r="F18" s="8" t="s">
        <v>159</v>
      </c>
      <c r="G18" s="8" t="s">
        <v>159</v>
      </c>
      <c r="H18" s="8" t="s">
        <v>159</v>
      </c>
      <c r="I18" s="8" t="s">
        <v>159</v>
      </c>
      <c r="J18" s="8" t="s">
        <v>159</v>
      </c>
      <c r="K18" s="8" t="s">
        <v>159</v>
      </c>
      <c r="L18" s="8" t="s">
        <v>159</v>
      </c>
      <c r="M18" s="8" t="s">
        <v>159</v>
      </c>
      <c r="N18" s="8" t="s">
        <v>159</v>
      </c>
      <c r="O18" s="8" t="s">
        <v>160</v>
      </c>
      <c r="P18" s="8" t="s">
        <v>160</v>
      </c>
      <c r="Q18" s="8" t="s">
        <v>159</v>
      </c>
      <c r="R18" s="8" t="s">
        <v>159</v>
      </c>
      <c r="S18" s="8" t="s">
        <v>160</v>
      </c>
      <c r="T18" s="8" t="s">
        <v>160</v>
      </c>
      <c r="U18" s="8" t="s">
        <v>159</v>
      </c>
      <c r="V18" s="8" t="s">
        <v>159</v>
      </c>
      <c r="W18" s="8" t="s">
        <v>160</v>
      </c>
      <c r="X18" s="8" t="s">
        <v>160</v>
      </c>
      <c r="Y18" s="8" t="s">
        <v>159</v>
      </c>
      <c r="Z18" s="8" t="s">
        <v>159</v>
      </c>
      <c r="AA18" s="8" t="s">
        <v>159</v>
      </c>
      <c r="AB18" s="8" t="s">
        <v>159</v>
      </c>
      <c r="AC18" s="9">
        <f t="shared" si="0"/>
        <v>6</v>
      </c>
      <c r="AD18" s="9">
        <f t="shared" si="1"/>
        <v>18</v>
      </c>
      <c r="AE18" s="10">
        <f t="shared" si="2"/>
        <v>60</v>
      </c>
    </row>
    <row r="19" spans="1:31" ht="21" customHeight="1" x14ac:dyDescent="0.35">
      <c r="A19" s="11">
        <v>18</v>
      </c>
      <c r="B19" s="11" t="s">
        <v>210</v>
      </c>
      <c r="C19" s="11" t="s">
        <v>211</v>
      </c>
      <c r="D19" s="12" t="s">
        <v>212</v>
      </c>
      <c r="E19" s="13" t="s">
        <v>159</v>
      </c>
      <c r="F19" s="13" t="s">
        <v>159</v>
      </c>
      <c r="G19" s="13" t="s">
        <v>160</v>
      </c>
      <c r="H19" s="13" t="s">
        <v>159</v>
      </c>
      <c r="I19" s="13" t="s">
        <v>159</v>
      </c>
      <c r="J19" s="13" t="s">
        <v>159</v>
      </c>
      <c r="K19" s="13" t="s">
        <v>159</v>
      </c>
      <c r="L19" s="13" t="s">
        <v>159</v>
      </c>
      <c r="M19" s="13" t="s">
        <v>159</v>
      </c>
      <c r="N19" s="13" t="s">
        <v>159</v>
      </c>
      <c r="O19" s="13" t="s">
        <v>159</v>
      </c>
      <c r="P19" s="13" t="s">
        <v>159</v>
      </c>
      <c r="Q19" s="13" t="s">
        <v>159</v>
      </c>
      <c r="R19" s="13" t="s">
        <v>159</v>
      </c>
      <c r="S19" s="13" t="s">
        <v>159</v>
      </c>
      <c r="T19" s="13" t="s">
        <v>159</v>
      </c>
      <c r="U19" s="13" t="s">
        <v>160</v>
      </c>
      <c r="V19" s="13" t="s">
        <v>159</v>
      </c>
      <c r="W19" s="13" t="s">
        <v>160</v>
      </c>
      <c r="X19" s="13" t="s">
        <v>159</v>
      </c>
      <c r="Y19" s="13" t="s">
        <v>159</v>
      </c>
      <c r="Z19" s="13" t="s">
        <v>159</v>
      </c>
      <c r="AA19" s="13" t="s">
        <v>159</v>
      </c>
      <c r="AB19" s="13" t="s">
        <v>159</v>
      </c>
      <c r="AC19" s="9">
        <f t="shared" si="0"/>
        <v>3</v>
      </c>
      <c r="AD19" s="9">
        <f t="shared" si="1"/>
        <v>21</v>
      </c>
      <c r="AE19" s="10">
        <f t="shared" si="2"/>
        <v>90</v>
      </c>
    </row>
    <row r="20" spans="1:31" ht="21" customHeight="1" x14ac:dyDescent="0.35">
      <c r="A20" s="6">
        <v>19</v>
      </c>
      <c r="B20" s="6" t="s">
        <v>213</v>
      </c>
      <c r="C20" s="6" t="s">
        <v>214</v>
      </c>
      <c r="D20" s="7" t="s">
        <v>215</v>
      </c>
      <c r="E20" s="8" t="s">
        <v>159</v>
      </c>
      <c r="F20" s="8" t="s">
        <v>159</v>
      </c>
      <c r="G20" s="8" t="s">
        <v>159</v>
      </c>
      <c r="H20" s="8" t="s">
        <v>160</v>
      </c>
      <c r="I20" s="8" t="s">
        <v>159</v>
      </c>
      <c r="J20" s="8" t="s">
        <v>159</v>
      </c>
      <c r="K20" s="8" t="s">
        <v>159</v>
      </c>
      <c r="L20" s="8" t="s">
        <v>159</v>
      </c>
      <c r="M20" s="8" t="s">
        <v>160</v>
      </c>
      <c r="N20" s="8" t="s">
        <v>160</v>
      </c>
      <c r="O20" s="8" t="s">
        <v>159</v>
      </c>
      <c r="P20" s="8" t="s">
        <v>160</v>
      </c>
      <c r="Q20" s="8" t="s">
        <v>159</v>
      </c>
      <c r="R20" s="8" t="s">
        <v>160</v>
      </c>
      <c r="S20" s="8" t="s">
        <v>160</v>
      </c>
      <c r="T20" s="8" t="s">
        <v>160</v>
      </c>
      <c r="U20" s="8" t="s">
        <v>159</v>
      </c>
      <c r="V20" s="8" t="s">
        <v>159</v>
      </c>
      <c r="W20" s="8" t="s">
        <v>160</v>
      </c>
      <c r="X20" s="8" t="s">
        <v>160</v>
      </c>
      <c r="Y20" s="8" t="s">
        <v>159</v>
      </c>
      <c r="Z20" s="8" t="s">
        <v>159</v>
      </c>
      <c r="AA20" s="8" t="s">
        <v>159</v>
      </c>
      <c r="AB20" s="8" t="s">
        <v>160</v>
      </c>
      <c r="AC20" s="9">
        <f t="shared" si="0"/>
        <v>10</v>
      </c>
      <c r="AD20" s="9">
        <f t="shared" si="1"/>
        <v>14</v>
      </c>
      <c r="AE20" s="10">
        <f t="shared" si="2"/>
        <v>20</v>
      </c>
    </row>
    <row r="21" spans="1:31" ht="21" customHeight="1" x14ac:dyDescent="0.35">
      <c r="A21" s="11">
        <v>20</v>
      </c>
      <c r="B21" s="11" t="s">
        <v>216</v>
      </c>
      <c r="C21" s="11" t="s">
        <v>217</v>
      </c>
      <c r="D21" s="12" t="s">
        <v>218</v>
      </c>
      <c r="E21" s="13" t="s">
        <v>159</v>
      </c>
      <c r="F21" s="13" t="s">
        <v>159</v>
      </c>
      <c r="G21" s="13" t="s">
        <v>159</v>
      </c>
      <c r="H21" s="13" t="s">
        <v>160</v>
      </c>
      <c r="I21" s="13" t="s">
        <v>159</v>
      </c>
      <c r="J21" s="13" t="s">
        <v>159</v>
      </c>
      <c r="K21" s="13" t="s">
        <v>159</v>
      </c>
      <c r="L21" s="13" t="s">
        <v>159</v>
      </c>
      <c r="M21" s="13" t="s">
        <v>160</v>
      </c>
      <c r="N21" s="13" t="s">
        <v>160</v>
      </c>
      <c r="O21" s="13" t="s">
        <v>159</v>
      </c>
      <c r="P21" s="13" t="s">
        <v>160</v>
      </c>
      <c r="Q21" s="13" t="s">
        <v>159</v>
      </c>
      <c r="R21" s="13" t="s">
        <v>160</v>
      </c>
      <c r="S21" s="13" t="s">
        <v>160</v>
      </c>
      <c r="T21" s="13" t="s">
        <v>160</v>
      </c>
      <c r="U21" s="13" t="s">
        <v>159</v>
      </c>
      <c r="V21" s="13" t="s">
        <v>159</v>
      </c>
      <c r="W21" s="13" t="s">
        <v>160</v>
      </c>
      <c r="X21" s="13" t="s">
        <v>160</v>
      </c>
      <c r="Y21" s="13" t="s">
        <v>159</v>
      </c>
      <c r="Z21" s="13" t="s">
        <v>159</v>
      </c>
      <c r="AA21" s="13" t="s">
        <v>182</v>
      </c>
      <c r="AB21" s="13" t="s">
        <v>160</v>
      </c>
      <c r="AC21" s="9">
        <f t="shared" si="0"/>
        <v>10</v>
      </c>
      <c r="AD21" s="9">
        <f t="shared" si="1"/>
        <v>13</v>
      </c>
      <c r="AE21" s="10">
        <f t="shared" si="2"/>
        <v>15</v>
      </c>
    </row>
    <row r="22" spans="1:31" ht="21" customHeight="1" x14ac:dyDescent="0.35">
      <c r="A22" s="6">
        <v>21</v>
      </c>
      <c r="B22" s="6" t="s">
        <v>219</v>
      </c>
      <c r="C22" s="6" t="s">
        <v>220</v>
      </c>
      <c r="D22" s="7" t="s">
        <v>221</v>
      </c>
      <c r="E22" s="8" t="s">
        <v>159</v>
      </c>
      <c r="F22" s="8" t="s">
        <v>159</v>
      </c>
      <c r="G22" s="8" t="s">
        <v>159</v>
      </c>
      <c r="H22" s="8" t="s">
        <v>159</v>
      </c>
      <c r="I22" s="8" t="s">
        <v>160</v>
      </c>
      <c r="J22" s="8" t="s">
        <v>159</v>
      </c>
      <c r="K22" s="8" t="s">
        <v>159</v>
      </c>
      <c r="L22" s="8" t="s">
        <v>160</v>
      </c>
      <c r="M22" s="8" t="s">
        <v>159</v>
      </c>
      <c r="N22" s="8" t="s">
        <v>159</v>
      </c>
      <c r="O22" s="8" t="s">
        <v>159</v>
      </c>
      <c r="P22" s="8" t="s">
        <v>159</v>
      </c>
      <c r="Q22" s="8" t="s">
        <v>159</v>
      </c>
      <c r="R22" s="8" t="s">
        <v>159</v>
      </c>
      <c r="S22" s="8" t="s">
        <v>160</v>
      </c>
      <c r="T22" s="8" t="s">
        <v>159</v>
      </c>
      <c r="U22" s="8" t="s">
        <v>159</v>
      </c>
      <c r="V22" s="8" t="s">
        <v>160</v>
      </c>
      <c r="W22" s="8" t="s">
        <v>160</v>
      </c>
      <c r="X22" s="8" t="s">
        <v>159</v>
      </c>
      <c r="Y22" s="8" t="s">
        <v>159</v>
      </c>
      <c r="Z22" s="8" t="s">
        <v>160</v>
      </c>
      <c r="AA22" s="8" t="s">
        <v>160</v>
      </c>
      <c r="AB22" s="8" t="s">
        <v>159</v>
      </c>
      <c r="AC22" s="9">
        <f t="shared" si="0"/>
        <v>7</v>
      </c>
      <c r="AD22" s="9">
        <f t="shared" si="1"/>
        <v>17</v>
      </c>
      <c r="AE22" s="10">
        <f t="shared" si="2"/>
        <v>50</v>
      </c>
    </row>
    <row r="23" spans="1:31" ht="21" customHeight="1" x14ac:dyDescent="0.35">
      <c r="A23" s="11">
        <v>22</v>
      </c>
      <c r="B23" s="11" t="s">
        <v>222</v>
      </c>
      <c r="C23" s="11" t="s">
        <v>223</v>
      </c>
      <c r="D23" s="12" t="s">
        <v>224</v>
      </c>
      <c r="E23" s="13" t="s">
        <v>159</v>
      </c>
      <c r="F23" s="13" t="s">
        <v>160</v>
      </c>
      <c r="G23" s="13" t="s">
        <v>159</v>
      </c>
      <c r="H23" s="13" t="s">
        <v>159</v>
      </c>
      <c r="I23" s="13" t="s">
        <v>160</v>
      </c>
      <c r="J23" s="13" t="s">
        <v>160</v>
      </c>
      <c r="K23" s="13" t="s">
        <v>160</v>
      </c>
      <c r="L23" s="13" t="s">
        <v>160</v>
      </c>
      <c r="M23" s="13" t="s">
        <v>159</v>
      </c>
      <c r="N23" s="13" t="s">
        <v>160</v>
      </c>
      <c r="O23" s="13" t="s">
        <v>159</v>
      </c>
      <c r="P23" s="13" t="s">
        <v>160</v>
      </c>
      <c r="Q23" s="13" t="s">
        <v>160</v>
      </c>
      <c r="R23" s="13" t="s">
        <v>160</v>
      </c>
      <c r="S23" s="13" t="s">
        <v>160</v>
      </c>
      <c r="T23" s="13" t="s">
        <v>160</v>
      </c>
      <c r="U23" s="13" t="s">
        <v>159</v>
      </c>
      <c r="V23" s="13" t="s">
        <v>160</v>
      </c>
      <c r="W23" s="13" t="s">
        <v>160</v>
      </c>
      <c r="X23" s="13" t="s">
        <v>160</v>
      </c>
      <c r="Y23" s="13" t="s">
        <v>159</v>
      </c>
      <c r="Z23" s="13" t="s">
        <v>160</v>
      </c>
      <c r="AA23" s="13" t="s">
        <v>160</v>
      </c>
      <c r="AB23" s="13" t="s">
        <v>159</v>
      </c>
      <c r="AC23" s="9">
        <f t="shared" si="0"/>
        <v>16</v>
      </c>
      <c r="AD23" s="9">
        <f t="shared" si="1"/>
        <v>8</v>
      </c>
      <c r="AE23" s="10">
        <f t="shared" si="2"/>
        <v>-40</v>
      </c>
    </row>
    <row r="24" spans="1:31" ht="21" customHeight="1" x14ac:dyDescent="0.35">
      <c r="A24" s="6">
        <v>23</v>
      </c>
      <c r="B24" s="6" t="s">
        <v>225</v>
      </c>
      <c r="C24" s="6" t="s">
        <v>226</v>
      </c>
      <c r="D24" s="7" t="s">
        <v>227</v>
      </c>
      <c r="E24" s="8" t="s">
        <v>159</v>
      </c>
      <c r="F24" s="8" t="s">
        <v>159</v>
      </c>
      <c r="G24" s="8" t="s">
        <v>159</v>
      </c>
      <c r="H24" s="8" t="s">
        <v>159</v>
      </c>
      <c r="I24" s="8" t="s">
        <v>159</v>
      </c>
      <c r="J24" s="8" t="s">
        <v>159</v>
      </c>
      <c r="K24" s="8" t="s">
        <v>159</v>
      </c>
      <c r="L24" s="8" t="s">
        <v>159</v>
      </c>
      <c r="M24" s="8" t="s">
        <v>159</v>
      </c>
      <c r="N24" s="8" t="s">
        <v>159</v>
      </c>
      <c r="O24" s="8" t="s">
        <v>159</v>
      </c>
      <c r="P24" s="8" t="s">
        <v>160</v>
      </c>
      <c r="Q24" s="8" t="s">
        <v>160</v>
      </c>
      <c r="R24" s="8" t="s">
        <v>159</v>
      </c>
      <c r="S24" s="8" t="s">
        <v>160</v>
      </c>
      <c r="T24" s="8" t="s">
        <v>160</v>
      </c>
      <c r="U24" s="8" t="s">
        <v>159</v>
      </c>
      <c r="V24" s="8" t="s">
        <v>159</v>
      </c>
      <c r="W24" s="8" t="s">
        <v>160</v>
      </c>
      <c r="X24" s="8" t="s">
        <v>160</v>
      </c>
      <c r="Y24" s="8" t="s">
        <v>159</v>
      </c>
      <c r="Z24" s="8" t="s">
        <v>160</v>
      </c>
      <c r="AA24" s="8" t="s">
        <v>160</v>
      </c>
      <c r="AB24" s="8" t="s">
        <v>159</v>
      </c>
      <c r="AC24" s="9">
        <f t="shared" si="0"/>
        <v>8</v>
      </c>
      <c r="AD24" s="9">
        <f t="shared" si="1"/>
        <v>16</v>
      </c>
      <c r="AE24" s="10">
        <f t="shared" si="2"/>
        <v>40</v>
      </c>
    </row>
    <row r="25" spans="1:31" ht="21" customHeight="1" x14ac:dyDescent="0.35">
      <c r="A25" s="11">
        <v>24</v>
      </c>
      <c r="B25" s="11" t="s">
        <v>228</v>
      </c>
      <c r="C25" s="11" t="s">
        <v>229</v>
      </c>
      <c r="D25" s="12" t="s">
        <v>230</v>
      </c>
      <c r="E25" s="13" t="s">
        <v>159</v>
      </c>
      <c r="F25" s="13" t="s">
        <v>160</v>
      </c>
      <c r="G25" s="13" t="s">
        <v>159</v>
      </c>
      <c r="H25" s="13" t="s">
        <v>159</v>
      </c>
      <c r="I25" s="13" t="s">
        <v>159</v>
      </c>
      <c r="J25" s="13" t="s">
        <v>159</v>
      </c>
      <c r="K25" s="13" t="s">
        <v>159</v>
      </c>
      <c r="L25" s="13" t="s">
        <v>159</v>
      </c>
      <c r="M25" s="13" t="s">
        <v>159</v>
      </c>
      <c r="N25" s="13" t="s">
        <v>160</v>
      </c>
      <c r="O25" s="13" t="s">
        <v>159</v>
      </c>
      <c r="P25" s="13" t="s">
        <v>159</v>
      </c>
      <c r="Q25" s="13" t="s">
        <v>159</v>
      </c>
      <c r="R25" s="13" t="s">
        <v>159</v>
      </c>
      <c r="S25" s="13" t="s">
        <v>160</v>
      </c>
      <c r="T25" s="13" t="s">
        <v>159</v>
      </c>
      <c r="U25" s="13" t="s">
        <v>159</v>
      </c>
      <c r="V25" s="13" t="s">
        <v>159</v>
      </c>
      <c r="W25" s="13" t="s">
        <v>159</v>
      </c>
      <c r="X25" s="13" t="s">
        <v>159</v>
      </c>
      <c r="Y25" s="13" t="s">
        <v>159</v>
      </c>
      <c r="Z25" s="13" t="s">
        <v>159</v>
      </c>
      <c r="AA25" s="13" t="s">
        <v>159</v>
      </c>
      <c r="AB25" s="13" t="s">
        <v>159</v>
      </c>
      <c r="AC25" s="9">
        <f t="shared" si="0"/>
        <v>3</v>
      </c>
      <c r="AD25" s="9">
        <f t="shared" si="1"/>
        <v>21</v>
      </c>
      <c r="AE25" s="10">
        <f t="shared" si="2"/>
        <v>90</v>
      </c>
    </row>
    <row r="26" spans="1:31" ht="21" customHeight="1" x14ac:dyDescent="0.35">
      <c r="A26" s="6">
        <v>25</v>
      </c>
      <c r="B26" s="6" t="s">
        <v>231</v>
      </c>
      <c r="C26" s="6" t="s">
        <v>232</v>
      </c>
      <c r="D26" s="7" t="s">
        <v>233</v>
      </c>
      <c r="E26" s="8" t="s">
        <v>159</v>
      </c>
      <c r="F26" s="8" t="s">
        <v>160</v>
      </c>
      <c r="G26" s="8" t="s">
        <v>159</v>
      </c>
      <c r="H26" s="8" t="s">
        <v>159</v>
      </c>
      <c r="I26" s="8" t="s">
        <v>159</v>
      </c>
      <c r="J26" s="8" t="s">
        <v>159</v>
      </c>
      <c r="K26" s="8" t="s">
        <v>159</v>
      </c>
      <c r="L26" s="8" t="s">
        <v>159</v>
      </c>
      <c r="M26" s="8" t="s">
        <v>159</v>
      </c>
      <c r="N26" s="8" t="s">
        <v>159</v>
      </c>
      <c r="O26" s="8" t="s">
        <v>159</v>
      </c>
      <c r="P26" s="8" t="s">
        <v>159</v>
      </c>
      <c r="Q26" s="8" t="s">
        <v>159</v>
      </c>
      <c r="R26" s="8" t="s">
        <v>159</v>
      </c>
      <c r="S26" s="8" t="s">
        <v>159</v>
      </c>
      <c r="T26" s="8" t="s">
        <v>159</v>
      </c>
      <c r="U26" s="8" t="s">
        <v>160</v>
      </c>
      <c r="V26" s="8" t="s">
        <v>159</v>
      </c>
      <c r="W26" s="8" t="s">
        <v>160</v>
      </c>
      <c r="X26" s="8" t="s">
        <v>160</v>
      </c>
      <c r="Y26" s="8" t="s">
        <v>159</v>
      </c>
      <c r="Z26" s="8" t="s">
        <v>159</v>
      </c>
      <c r="AA26" s="8" t="s">
        <v>159</v>
      </c>
      <c r="AB26" s="8" t="s">
        <v>159</v>
      </c>
      <c r="AC26" s="9">
        <f t="shared" si="0"/>
        <v>4</v>
      </c>
      <c r="AD26" s="9">
        <f t="shared" si="1"/>
        <v>20</v>
      </c>
      <c r="AE26" s="10">
        <f t="shared" si="2"/>
        <v>80</v>
      </c>
    </row>
    <row r="27" spans="1:31" ht="21" customHeight="1" x14ac:dyDescent="0.35">
      <c r="A27" s="11">
        <v>26</v>
      </c>
      <c r="B27" s="11" t="s">
        <v>234</v>
      </c>
      <c r="C27" s="11" t="s">
        <v>235</v>
      </c>
      <c r="D27" s="12" t="s">
        <v>236</v>
      </c>
      <c r="E27" s="13" t="s">
        <v>159</v>
      </c>
      <c r="F27" s="13" t="s">
        <v>160</v>
      </c>
      <c r="G27" s="13" t="s">
        <v>182</v>
      </c>
      <c r="H27" s="13" t="s">
        <v>159</v>
      </c>
      <c r="I27" s="13" t="s">
        <v>159</v>
      </c>
      <c r="J27" s="13" t="s">
        <v>159</v>
      </c>
      <c r="K27" s="13" t="s">
        <v>159</v>
      </c>
      <c r="L27" s="13" t="s">
        <v>160</v>
      </c>
      <c r="M27" s="13" t="s">
        <v>159</v>
      </c>
      <c r="N27" s="13" t="s">
        <v>159</v>
      </c>
      <c r="O27" s="13" t="s">
        <v>159</v>
      </c>
      <c r="P27" s="13" t="s">
        <v>159</v>
      </c>
      <c r="Q27" s="13" t="s">
        <v>159</v>
      </c>
      <c r="R27" s="13" t="s">
        <v>160</v>
      </c>
      <c r="S27" s="13" t="s">
        <v>160</v>
      </c>
      <c r="T27" s="13" t="s">
        <v>159</v>
      </c>
      <c r="U27" s="13" t="s">
        <v>159</v>
      </c>
      <c r="V27" s="13" t="s">
        <v>159</v>
      </c>
      <c r="W27" s="13" t="s">
        <v>160</v>
      </c>
      <c r="X27" s="13" t="s">
        <v>160</v>
      </c>
      <c r="Y27" s="13" t="s">
        <v>159</v>
      </c>
      <c r="Z27" s="13" t="s">
        <v>159</v>
      </c>
      <c r="AA27" s="13" t="s">
        <v>159</v>
      </c>
      <c r="AB27" s="13" t="s">
        <v>159</v>
      </c>
      <c r="AC27" s="9">
        <f t="shared" si="0"/>
        <v>6</v>
      </c>
      <c r="AD27" s="9">
        <f t="shared" si="1"/>
        <v>17</v>
      </c>
      <c r="AE27" s="10">
        <f t="shared" si="2"/>
        <v>55</v>
      </c>
    </row>
    <row r="28" spans="1:31" ht="21" customHeight="1" x14ac:dyDescent="0.35">
      <c r="A28" s="6">
        <v>27</v>
      </c>
      <c r="B28" s="6" t="s">
        <v>237</v>
      </c>
      <c r="C28" s="6" t="s">
        <v>238</v>
      </c>
      <c r="D28" s="7" t="s">
        <v>239</v>
      </c>
      <c r="E28" s="8" t="s">
        <v>159</v>
      </c>
      <c r="F28" s="8" t="s">
        <v>160</v>
      </c>
      <c r="G28" s="8" t="s">
        <v>159</v>
      </c>
      <c r="H28" s="8" t="s">
        <v>159</v>
      </c>
      <c r="I28" s="8" t="s">
        <v>159</v>
      </c>
      <c r="J28" s="8" t="s">
        <v>160</v>
      </c>
      <c r="K28" s="8" t="s">
        <v>160</v>
      </c>
      <c r="L28" s="8" t="s">
        <v>160</v>
      </c>
      <c r="M28" s="8" t="s">
        <v>159</v>
      </c>
      <c r="N28" s="8" t="s">
        <v>159</v>
      </c>
      <c r="O28" s="8" t="s">
        <v>160</v>
      </c>
      <c r="P28" s="8" t="s">
        <v>160</v>
      </c>
      <c r="Q28" s="8" t="s">
        <v>159</v>
      </c>
      <c r="R28" s="8" t="s">
        <v>160</v>
      </c>
      <c r="S28" s="8" t="s">
        <v>160</v>
      </c>
      <c r="T28" s="8" t="s">
        <v>160</v>
      </c>
      <c r="U28" s="8" t="s">
        <v>159</v>
      </c>
      <c r="V28" s="8" t="s">
        <v>159</v>
      </c>
      <c r="W28" s="8" t="s">
        <v>160</v>
      </c>
      <c r="X28" s="8" t="s">
        <v>160</v>
      </c>
      <c r="Y28" s="8" t="s">
        <v>159</v>
      </c>
      <c r="Z28" s="8" t="s">
        <v>160</v>
      </c>
      <c r="AA28" s="8" t="s">
        <v>160</v>
      </c>
      <c r="AB28" s="8" t="s">
        <v>159</v>
      </c>
      <c r="AC28" s="9">
        <f t="shared" si="0"/>
        <v>13</v>
      </c>
      <c r="AD28" s="9">
        <f t="shared" si="1"/>
        <v>11</v>
      </c>
      <c r="AE28" s="10">
        <f t="shared" si="2"/>
        <v>-10</v>
      </c>
    </row>
    <row r="29" spans="1:31" ht="21" customHeight="1" x14ac:dyDescent="0.35">
      <c r="A29" s="11">
        <v>28</v>
      </c>
      <c r="B29" s="11" t="s">
        <v>240</v>
      </c>
      <c r="C29" s="11" t="s">
        <v>241</v>
      </c>
      <c r="D29" s="12" t="s">
        <v>242</v>
      </c>
      <c r="E29" s="13" t="s">
        <v>160</v>
      </c>
      <c r="F29" s="13" t="s">
        <v>159</v>
      </c>
      <c r="G29" s="13" t="s">
        <v>160</v>
      </c>
      <c r="H29" s="13" t="s">
        <v>159</v>
      </c>
      <c r="I29" s="13" t="s">
        <v>159</v>
      </c>
      <c r="J29" s="13" t="s">
        <v>159</v>
      </c>
      <c r="K29" s="13" t="s">
        <v>160</v>
      </c>
      <c r="L29" s="13" t="s">
        <v>160</v>
      </c>
      <c r="M29" s="13" t="s">
        <v>159</v>
      </c>
      <c r="N29" s="13" t="s">
        <v>159</v>
      </c>
      <c r="O29" s="13" t="s">
        <v>160</v>
      </c>
      <c r="P29" s="13" t="s">
        <v>160</v>
      </c>
      <c r="Q29" s="13" t="s">
        <v>159</v>
      </c>
      <c r="R29" s="13" t="s">
        <v>160</v>
      </c>
      <c r="S29" s="13" t="s">
        <v>160</v>
      </c>
      <c r="T29" s="13" t="s">
        <v>159</v>
      </c>
      <c r="U29" s="13" t="s">
        <v>159</v>
      </c>
      <c r="V29" s="13" t="s">
        <v>159</v>
      </c>
      <c r="W29" s="13" t="s">
        <v>160</v>
      </c>
      <c r="X29" s="13" t="s">
        <v>159</v>
      </c>
      <c r="Y29" s="13" t="s">
        <v>159</v>
      </c>
      <c r="Z29" s="13" t="s">
        <v>182</v>
      </c>
      <c r="AA29" s="13" t="s">
        <v>159</v>
      </c>
      <c r="AB29" s="13" t="s">
        <v>159</v>
      </c>
      <c r="AC29" s="9">
        <f t="shared" si="0"/>
        <v>9</v>
      </c>
      <c r="AD29" s="9">
        <f t="shared" si="1"/>
        <v>14</v>
      </c>
      <c r="AE29" s="10">
        <f t="shared" si="2"/>
        <v>25</v>
      </c>
    </row>
    <row r="30" spans="1:31" ht="21" customHeight="1" x14ac:dyDescent="0.35">
      <c r="A30" s="6">
        <v>29</v>
      </c>
      <c r="B30" s="6" t="s">
        <v>243</v>
      </c>
      <c r="C30" s="6" t="s">
        <v>244</v>
      </c>
      <c r="D30" s="7" t="s">
        <v>245</v>
      </c>
      <c r="E30" s="8" t="s">
        <v>160</v>
      </c>
      <c r="F30" s="8" t="s">
        <v>160</v>
      </c>
      <c r="G30" s="8" t="s">
        <v>159</v>
      </c>
      <c r="H30" s="8" t="s">
        <v>160</v>
      </c>
      <c r="I30" s="8" t="s">
        <v>159</v>
      </c>
      <c r="J30" s="8" t="s">
        <v>160</v>
      </c>
      <c r="K30" s="8" t="s">
        <v>159</v>
      </c>
      <c r="L30" s="8" t="s">
        <v>159</v>
      </c>
      <c r="M30" s="8" t="s">
        <v>159</v>
      </c>
      <c r="N30" s="8" t="s">
        <v>159</v>
      </c>
      <c r="O30" s="8" t="s">
        <v>159</v>
      </c>
      <c r="P30" s="8" t="s">
        <v>159</v>
      </c>
      <c r="Q30" s="8" t="s">
        <v>159</v>
      </c>
      <c r="R30" s="8" t="s">
        <v>159</v>
      </c>
      <c r="S30" s="8" t="s">
        <v>160</v>
      </c>
      <c r="T30" s="8" t="s">
        <v>159</v>
      </c>
      <c r="U30" s="8" t="s">
        <v>159</v>
      </c>
      <c r="V30" s="8" t="s">
        <v>160</v>
      </c>
      <c r="W30" s="8" t="s">
        <v>160</v>
      </c>
      <c r="X30" s="8" t="s">
        <v>160</v>
      </c>
      <c r="Y30" s="8" t="s">
        <v>159</v>
      </c>
      <c r="Z30" s="8" t="s">
        <v>159</v>
      </c>
      <c r="AA30" s="8" t="s">
        <v>160</v>
      </c>
      <c r="AB30" s="8" t="s">
        <v>159</v>
      </c>
      <c r="AC30" s="9">
        <f t="shared" si="0"/>
        <v>9</v>
      </c>
      <c r="AD30" s="9">
        <f t="shared" si="1"/>
        <v>15</v>
      </c>
      <c r="AE30" s="10">
        <f t="shared" si="2"/>
        <v>30</v>
      </c>
    </row>
    <row r="31" spans="1:31" ht="21" customHeight="1" x14ac:dyDescent="0.35">
      <c r="A31" s="11">
        <v>30</v>
      </c>
      <c r="B31" s="11" t="s">
        <v>246</v>
      </c>
      <c r="C31" s="11" t="s">
        <v>247</v>
      </c>
      <c r="D31" s="12" t="s">
        <v>248</v>
      </c>
      <c r="E31" s="13" t="s">
        <v>159</v>
      </c>
      <c r="F31" s="13" t="s">
        <v>160</v>
      </c>
      <c r="G31" s="13" t="s">
        <v>160</v>
      </c>
      <c r="H31" s="13" t="s">
        <v>159</v>
      </c>
      <c r="I31" s="13" t="s">
        <v>159</v>
      </c>
      <c r="J31" s="13" t="s">
        <v>159</v>
      </c>
      <c r="K31" s="13" t="s">
        <v>159</v>
      </c>
      <c r="L31" s="13" t="s">
        <v>159</v>
      </c>
      <c r="M31" s="13" t="s">
        <v>159</v>
      </c>
      <c r="N31" s="13" t="s">
        <v>159</v>
      </c>
      <c r="O31" s="13" t="s">
        <v>159</v>
      </c>
      <c r="P31" s="13" t="s">
        <v>159</v>
      </c>
      <c r="Q31" s="13" t="s">
        <v>159</v>
      </c>
      <c r="R31" s="13" t="s">
        <v>159</v>
      </c>
      <c r="S31" s="13" t="s">
        <v>160</v>
      </c>
      <c r="T31" s="13" t="s">
        <v>159</v>
      </c>
      <c r="U31" s="13" t="s">
        <v>160</v>
      </c>
      <c r="V31" s="13" t="s">
        <v>159</v>
      </c>
      <c r="W31" s="13" t="s">
        <v>159</v>
      </c>
      <c r="X31" s="13" t="s">
        <v>160</v>
      </c>
      <c r="Y31" s="13" t="s">
        <v>159</v>
      </c>
      <c r="Z31" s="13" t="s">
        <v>159</v>
      </c>
      <c r="AA31" s="13" t="s">
        <v>159</v>
      </c>
      <c r="AB31" s="13" t="s">
        <v>160</v>
      </c>
      <c r="AC31" s="9">
        <f t="shared" si="0"/>
        <v>6</v>
      </c>
      <c r="AD31" s="9">
        <f t="shared" si="1"/>
        <v>18</v>
      </c>
      <c r="AE31" s="10">
        <f t="shared" si="2"/>
        <v>60</v>
      </c>
    </row>
    <row r="32" spans="1:31" ht="21" customHeight="1" x14ac:dyDescent="0.35">
      <c r="A32" s="6">
        <v>31</v>
      </c>
      <c r="B32" s="6" t="s">
        <v>249</v>
      </c>
      <c r="C32" s="6" t="s">
        <v>250</v>
      </c>
      <c r="D32" s="7" t="s">
        <v>251</v>
      </c>
      <c r="E32" s="8" t="s">
        <v>159</v>
      </c>
      <c r="F32" s="8" t="s">
        <v>160</v>
      </c>
      <c r="G32" s="8" t="s">
        <v>159</v>
      </c>
      <c r="H32" s="8" t="s">
        <v>159</v>
      </c>
      <c r="I32" s="8" t="s">
        <v>159</v>
      </c>
      <c r="J32" s="8" t="s">
        <v>159</v>
      </c>
      <c r="K32" s="8" t="s">
        <v>159</v>
      </c>
      <c r="L32" s="8" t="s">
        <v>159</v>
      </c>
      <c r="M32" s="8" t="s">
        <v>159</v>
      </c>
      <c r="N32" s="8" t="s">
        <v>159</v>
      </c>
      <c r="O32" s="8" t="s">
        <v>160</v>
      </c>
      <c r="P32" s="8" t="s">
        <v>159</v>
      </c>
      <c r="Q32" s="8" t="s">
        <v>159</v>
      </c>
      <c r="R32" s="8" t="s">
        <v>159</v>
      </c>
      <c r="S32" s="8" t="s">
        <v>160</v>
      </c>
      <c r="T32" s="8" t="s">
        <v>159</v>
      </c>
      <c r="U32" s="8" t="s">
        <v>160</v>
      </c>
      <c r="V32" s="8" t="s">
        <v>159</v>
      </c>
      <c r="W32" s="8" t="s">
        <v>160</v>
      </c>
      <c r="X32" s="8" t="s">
        <v>159</v>
      </c>
      <c r="Y32" s="8" t="s">
        <v>159</v>
      </c>
      <c r="Z32" s="8" t="s">
        <v>159</v>
      </c>
      <c r="AA32" s="8" t="s">
        <v>160</v>
      </c>
      <c r="AB32" s="8" t="s">
        <v>159</v>
      </c>
      <c r="AC32" s="9">
        <f t="shared" si="0"/>
        <v>6</v>
      </c>
      <c r="AD32" s="9">
        <f t="shared" si="1"/>
        <v>18</v>
      </c>
      <c r="AE32" s="10">
        <f t="shared" si="2"/>
        <v>60</v>
      </c>
    </row>
    <row r="33" spans="1:31" ht="21" customHeight="1" x14ac:dyDescent="0.35">
      <c r="A33" s="11">
        <v>32</v>
      </c>
      <c r="B33" s="11" t="s">
        <v>252</v>
      </c>
      <c r="C33" s="11" t="s">
        <v>253</v>
      </c>
      <c r="D33" s="12" t="s">
        <v>254</v>
      </c>
      <c r="E33" s="13" t="s">
        <v>159</v>
      </c>
      <c r="F33" s="13" t="s">
        <v>160</v>
      </c>
      <c r="G33" s="13" t="s">
        <v>159</v>
      </c>
      <c r="H33" s="13" t="s">
        <v>159</v>
      </c>
      <c r="I33" s="13" t="s">
        <v>159</v>
      </c>
      <c r="J33" s="13" t="s">
        <v>159</v>
      </c>
      <c r="K33" s="13" t="s">
        <v>159</v>
      </c>
      <c r="L33" s="13" t="s">
        <v>159</v>
      </c>
      <c r="M33" s="13" t="s">
        <v>159</v>
      </c>
      <c r="N33" s="13" t="s">
        <v>159</v>
      </c>
      <c r="O33" s="13" t="s">
        <v>159</v>
      </c>
      <c r="P33" s="13" t="s">
        <v>159</v>
      </c>
      <c r="Q33" s="13" t="s">
        <v>159</v>
      </c>
      <c r="R33" s="13" t="s">
        <v>159</v>
      </c>
      <c r="S33" s="13" t="s">
        <v>159</v>
      </c>
      <c r="T33" s="13" t="s">
        <v>159</v>
      </c>
      <c r="U33" s="13" t="s">
        <v>160</v>
      </c>
      <c r="V33" s="13" t="s">
        <v>159</v>
      </c>
      <c r="W33" s="13" t="s">
        <v>160</v>
      </c>
      <c r="X33" s="13" t="s">
        <v>159</v>
      </c>
      <c r="Y33" s="13" t="s">
        <v>159</v>
      </c>
      <c r="Z33" s="13" t="s">
        <v>160</v>
      </c>
      <c r="AA33" s="13" t="s">
        <v>159</v>
      </c>
      <c r="AB33" s="13" t="s">
        <v>159</v>
      </c>
      <c r="AC33" s="9">
        <f t="shared" si="0"/>
        <v>4</v>
      </c>
      <c r="AD33" s="9">
        <f t="shared" si="1"/>
        <v>20</v>
      </c>
      <c r="AE33" s="10">
        <f t="shared" si="2"/>
        <v>80</v>
      </c>
    </row>
    <row r="34" spans="1:31" ht="21" customHeight="1" x14ac:dyDescent="0.35">
      <c r="A34" s="6">
        <v>33</v>
      </c>
      <c r="B34" s="6" t="s">
        <v>255</v>
      </c>
      <c r="C34" s="6" t="s">
        <v>256</v>
      </c>
      <c r="D34" s="7" t="s">
        <v>257</v>
      </c>
      <c r="E34" s="8" t="s">
        <v>159</v>
      </c>
      <c r="F34" s="8" t="s">
        <v>182</v>
      </c>
      <c r="G34" s="8" t="s">
        <v>159</v>
      </c>
      <c r="H34" s="8" t="s">
        <v>159</v>
      </c>
      <c r="I34" s="8" t="s">
        <v>160</v>
      </c>
      <c r="J34" s="8" t="s">
        <v>160</v>
      </c>
      <c r="K34" s="8" t="s">
        <v>159</v>
      </c>
      <c r="L34" s="8" t="s">
        <v>159</v>
      </c>
      <c r="M34" s="8" t="s">
        <v>160</v>
      </c>
      <c r="N34" s="8" t="s">
        <v>159</v>
      </c>
      <c r="O34" s="8" t="s">
        <v>159</v>
      </c>
      <c r="P34" s="8" t="s">
        <v>160</v>
      </c>
      <c r="Q34" s="8" t="s">
        <v>159</v>
      </c>
      <c r="R34" s="8" t="s">
        <v>159</v>
      </c>
      <c r="S34" s="8" t="s">
        <v>160</v>
      </c>
      <c r="T34" s="8" t="s">
        <v>160</v>
      </c>
      <c r="U34" s="8" t="s">
        <v>159</v>
      </c>
      <c r="V34" s="8" t="s">
        <v>159</v>
      </c>
      <c r="W34" s="8" t="s">
        <v>160</v>
      </c>
      <c r="X34" s="8" t="s">
        <v>160</v>
      </c>
      <c r="Y34" s="8" t="s">
        <v>159</v>
      </c>
      <c r="Z34" s="8" t="s">
        <v>159</v>
      </c>
      <c r="AA34" s="8" t="s">
        <v>160</v>
      </c>
      <c r="AB34" s="8" t="s">
        <v>160</v>
      </c>
      <c r="AC34" s="9">
        <f t="shared" si="0"/>
        <v>10</v>
      </c>
      <c r="AD34" s="9">
        <f t="shared" si="1"/>
        <v>13</v>
      </c>
      <c r="AE34" s="10">
        <f t="shared" si="2"/>
        <v>15</v>
      </c>
    </row>
    <row r="35" spans="1:31" ht="21" customHeight="1" x14ac:dyDescent="0.35">
      <c r="A35" s="11">
        <v>34</v>
      </c>
      <c r="B35" s="11" t="s">
        <v>258</v>
      </c>
      <c r="C35" s="11" t="s">
        <v>259</v>
      </c>
      <c r="D35" s="12" t="s">
        <v>260</v>
      </c>
      <c r="E35" s="13" t="s">
        <v>159</v>
      </c>
      <c r="F35" s="13" t="s">
        <v>159</v>
      </c>
      <c r="G35" s="13" t="s">
        <v>160</v>
      </c>
      <c r="H35" s="13" t="s">
        <v>159</v>
      </c>
      <c r="I35" s="13" t="s">
        <v>160</v>
      </c>
      <c r="J35" s="13" t="s">
        <v>159</v>
      </c>
      <c r="K35" s="13" t="s">
        <v>160</v>
      </c>
      <c r="L35" s="13" t="s">
        <v>160</v>
      </c>
      <c r="M35" s="13" t="s">
        <v>159</v>
      </c>
      <c r="N35" s="13" t="s">
        <v>160</v>
      </c>
      <c r="O35" s="13" t="s">
        <v>160</v>
      </c>
      <c r="P35" s="13" t="s">
        <v>160</v>
      </c>
      <c r="Q35" s="13" t="s">
        <v>160</v>
      </c>
      <c r="R35" s="13" t="s">
        <v>159</v>
      </c>
      <c r="S35" s="13" t="s">
        <v>160</v>
      </c>
      <c r="T35" s="13" t="s">
        <v>160</v>
      </c>
      <c r="U35" s="13" t="s">
        <v>159</v>
      </c>
      <c r="V35" s="13" t="s">
        <v>160</v>
      </c>
      <c r="W35" s="13" t="s">
        <v>159</v>
      </c>
      <c r="X35" s="13" t="s">
        <v>160</v>
      </c>
      <c r="Y35" s="13" t="s">
        <v>159</v>
      </c>
      <c r="Z35" s="13" t="s">
        <v>159</v>
      </c>
      <c r="AA35" s="13" t="s">
        <v>159</v>
      </c>
      <c r="AB35" s="13" t="s">
        <v>160</v>
      </c>
      <c r="AC35" s="9">
        <f t="shared" si="0"/>
        <v>13</v>
      </c>
      <c r="AD35" s="9">
        <f t="shared" si="1"/>
        <v>11</v>
      </c>
      <c r="AE35" s="10">
        <f t="shared" si="2"/>
        <v>-10</v>
      </c>
    </row>
    <row r="36" spans="1:31" ht="21" customHeight="1" x14ac:dyDescent="0.35">
      <c r="A36" s="6">
        <v>35</v>
      </c>
      <c r="B36" s="6" t="s">
        <v>261</v>
      </c>
      <c r="C36" s="6" t="s">
        <v>262</v>
      </c>
      <c r="D36" s="7" t="s">
        <v>263</v>
      </c>
      <c r="E36" s="8" t="s">
        <v>159</v>
      </c>
      <c r="F36" s="8" t="s">
        <v>160</v>
      </c>
      <c r="G36" s="8" t="s">
        <v>159</v>
      </c>
      <c r="H36" s="8" t="s">
        <v>159</v>
      </c>
      <c r="I36" s="8" t="s">
        <v>160</v>
      </c>
      <c r="J36" s="8" t="s">
        <v>159</v>
      </c>
      <c r="K36" s="8" t="s">
        <v>159</v>
      </c>
      <c r="L36" s="8" t="s">
        <v>159</v>
      </c>
      <c r="M36" s="8" t="s">
        <v>159</v>
      </c>
      <c r="N36" s="8" t="s">
        <v>159</v>
      </c>
      <c r="O36" s="8" t="s">
        <v>159</v>
      </c>
      <c r="P36" s="8" t="s">
        <v>159</v>
      </c>
      <c r="Q36" s="8" t="s">
        <v>159</v>
      </c>
      <c r="R36" s="8" t="s">
        <v>159</v>
      </c>
      <c r="S36" s="8" t="s">
        <v>159</v>
      </c>
      <c r="T36" s="8" t="s">
        <v>159</v>
      </c>
      <c r="U36" s="8" t="s">
        <v>159</v>
      </c>
      <c r="V36" s="8" t="s">
        <v>159</v>
      </c>
      <c r="W36" s="8" t="s">
        <v>159</v>
      </c>
      <c r="X36" s="8" t="s">
        <v>160</v>
      </c>
      <c r="Y36" s="8" t="s">
        <v>159</v>
      </c>
      <c r="Z36" s="8" t="s">
        <v>159</v>
      </c>
      <c r="AA36" s="8" t="s">
        <v>160</v>
      </c>
      <c r="AB36" s="8" t="s">
        <v>159</v>
      </c>
      <c r="AC36" s="9">
        <f t="shared" si="0"/>
        <v>4</v>
      </c>
      <c r="AD36" s="9">
        <f t="shared" si="1"/>
        <v>20</v>
      </c>
      <c r="AE36" s="10">
        <f t="shared" si="2"/>
        <v>80</v>
      </c>
    </row>
    <row r="37" spans="1:31" ht="21" customHeight="1" x14ac:dyDescent="0.35">
      <c r="A37" s="11">
        <v>36</v>
      </c>
      <c r="B37" s="11" t="s">
        <v>264</v>
      </c>
      <c r="C37" s="14" t="s">
        <v>265</v>
      </c>
      <c r="D37" s="12" t="s">
        <v>266</v>
      </c>
      <c r="E37" s="13" t="s">
        <v>159</v>
      </c>
      <c r="F37" s="13" t="s">
        <v>159</v>
      </c>
      <c r="G37" s="15" t="s">
        <v>159</v>
      </c>
      <c r="H37" s="13" t="s">
        <v>159</v>
      </c>
      <c r="I37" s="13" t="s">
        <v>159</v>
      </c>
      <c r="J37" s="13" t="s">
        <v>159</v>
      </c>
      <c r="K37" s="13" t="s">
        <v>159</v>
      </c>
      <c r="L37" s="13" t="s">
        <v>159</v>
      </c>
      <c r="M37" s="13" t="s">
        <v>159</v>
      </c>
      <c r="N37" s="13" t="s">
        <v>159</v>
      </c>
      <c r="O37" s="13" t="s">
        <v>159</v>
      </c>
      <c r="P37" s="13" t="s">
        <v>159</v>
      </c>
      <c r="Q37" s="13" t="s">
        <v>159</v>
      </c>
      <c r="R37" s="13" t="s">
        <v>159</v>
      </c>
      <c r="S37" s="13" t="s">
        <v>160</v>
      </c>
      <c r="T37" s="13" t="s">
        <v>159</v>
      </c>
      <c r="U37" s="13" t="s">
        <v>159</v>
      </c>
      <c r="V37" s="13" t="s">
        <v>160</v>
      </c>
      <c r="W37" s="13" t="s">
        <v>160</v>
      </c>
      <c r="X37" s="13" t="s">
        <v>159</v>
      </c>
      <c r="Y37" s="13" t="s">
        <v>159</v>
      </c>
      <c r="Z37" s="13" t="s">
        <v>159</v>
      </c>
      <c r="AA37" s="13" t="s">
        <v>159</v>
      </c>
      <c r="AB37" s="13" t="s">
        <v>159</v>
      </c>
      <c r="AC37" s="9">
        <f t="shared" si="0"/>
        <v>3</v>
      </c>
      <c r="AD37" s="9">
        <f t="shared" si="1"/>
        <v>21</v>
      </c>
      <c r="AE37" s="10">
        <f t="shared" si="2"/>
        <v>90</v>
      </c>
    </row>
    <row r="38" spans="1:31" ht="21" customHeight="1" x14ac:dyDescent="0.35">
      <c r="A38" s="6">
        <v>37</v>
      </c>
      <c r="B38" s="6" t="s">
        <v>267</v>
      </c>
      <c r="C38" s="6" t="s">
        <v>268</v>
      </c>
      <c r="D38" s="7" t="s">
        <v>269</v>
      </c>
      <c r="E38" s="8" t="s">
        <v>159</v>
      </c>
      <c r="F38" s="8" t="s">
        <v>182</v>
      </c>
      <c r="G38" s="8" t="s">
        <v>159</v>
      </c>
      <c r="H38" s="8" t="s">
        <v>159</v>
      </c>
      <c r="I38" s="8" t="s">
        <v>159</v>
      </c>
      <c r="J38" s="8" t="s">
        <v>159</v>
      </c>
      <c r="K38" s="8" t="s">
        <v>160</v>
      </c>
      <c r="L38" s="8" t="s">
        <v>159</v>
      </c>
      <c r="M38" s="8" t="s">
        <v>159</v>
      </c>
      <c r="N38" s="8" t="s">
        <v>159</v>
      </c>
      <c r="O38" s="8" t="s">
        <v>159</v>
      </c>
      <c r="P38" s="8" t="s">
        <v>159</v>
      </c>
      <c r="Q38" s="8" t="s">
        <v>159</v>
      </c>
      <c r="R38" s="8" t="s">
        <v>159</v>
      </c>
      <c r="S38" s="8" t="s">
        <v>160</v>
      </c>
      <c r="T38" s="8" t="s">
        <v>159</v>
      </c>
      <c r="U38" s="8" t="s">
        <v>160</v>
      </c>
      <c r="V38" s="8" t="s">
        <v>159</v>
      </c>
      <c r="W38" s="8" t="s">
        <v>160</v>
      </c>
      <c r="X38" s="8" t="s">
        <v>182</v>
      </c>
      <c r="Y38" s="8" t="s">
        <v>159</v>
      </c>
      <c r="Z38" s="8" t="s">
        <v>160</v>
      </c>
      <c r="AA38" s="8" t="s">
        <v>159</v>
      </c>
      <c r="AB38" s="8" t="s">
        <v>182</v>
      </c>
      <c r="AC38" s="9">
        <f t="shared" si="0"/>
        <v>5</v>
      </c>
      <c r="AD38" s="9">
        <f t="shared" si="1"/>
        <v>16</v>
      </c>
      <c r="AE38" s="10">
        <f t="shared" si="2"/>
        <v>55</v>
      </c>
    </row>
    <row r="39" spans="1:31" ht="21" customHeight="1" x14ac:dyDescent="0.35">
      <c r="A39" s="11">
        <v>38</v>
      </c>
      <c r="B39" s="11" t="s">
        <v>270</v>
      </c>
      <c r="C39" s="11" t="s">
        <v>271</v>
      </c>
      <c r="D39" s="12" t="s">
        <v>272</v>
      </c>
      <c r="E39" s="15" t="s">
        <v>159</v>
      </c>
      <c r="F39" s="15" t="s">
        <v>160</v>
      </c>
      <c r="G39" s="15" t="s">
        <v>182</v>
      </c>
      <c r="H39" s="15" t="s">
        <v>159</v>
      </c>
      <c r="I39" s="15" t="s">
        <v>160</v>
      </c>
      <c r="J39" s="15" t="s">
        <v>159</v>
      </c>
      <c r="K39" s="15" t="s">
        <v>160</v>
      </c>
      <c r="L39" s="15" t="s">
        <v>160</v>
      </c>
      <c r="M39" s="15" t="s">
        <v>159</v>
      </c>
      <c r="N39" s="15" t="s">
        <v>159</v>
      </c>
      <c r="O39" s="15" t="s">
        <v>160</v>
      </c>
      <c r="P39" s="15" t="s">
        <v>160</v>
      </c>
      <c r="Q39" s="15" t="s">
        <v>159</v>
      </c>
      <c r="R39" s="15" t="s">
        <v>160</v>
      </c>
      <c r="S39" s="22" t="s">
        <v>273</v>
      </c>
      <c r="T39" s="23"/>
      <c r="U39" s="13" t="s">
        <v>160</v>
      </c>
      <c r="V39" s="13" t="s">
        <v>160</v>
      </c>
      <c r="W39" s="13" t="s">
        <v>160</v>
      </c>
      <c r="X39" s="13" t="s">
        <v>160</v>
      </c>
      <c r="Y39" s="13" t="s">
        <v>160</v>
      </c>
      <c r="Z39" s="13" t="s">
        <v>160</v>
      </c>
      <c r="AA39" s="13" t="s">
        <v>159</v>
      </c>
      <c r="AB39" s="13" t="s">
        <v>159</v>
      </c>
      <c r="AC39" s="9">
        <f t="shared" si="0"/>
        <v>13</v>
      </c>
      <c r="AD39" s="9">
        <f t="shared" si="1"/>
        <v>8</v>
      </c>
      <c r="AE39" s="10">
        <f t="shared" si="2"/>
        <v>-25</v>
      </c>
    </row>
    <row r="40" spans="1:31" ht="21" customHeight="1" x14ac:dyDescent="0.35">
      <c r="A40" s="6">
        <v>39</v>
      </c>
      <c r="B40" s="1"/>
      <c r="C40" s="1"/>
      <c r="D40" s="1"/>
      <c r="E40" s="8" t="s">
        <v>159</v>
      </c>
      <c r="F40" s="8" t="s">
        <v>159</v>
      </c>
      <c r="G40" s="8" t="s">
        <v>159</v>
      </c>
      <c r="H40" s="8" t="s">
        <v>159</v>
      </c>
      <c r="I40" s="8" t="s">
        <v>159</v>
      </c>
      <c r="J40" s="8" t="s">
        <v>159</v>
      </c>
      <c r="K40" s="8" t="s">
        <v>160</v>
      </c>
      <c r="L40" s="8" t="s">
        <v>159</v>
      </c>
      <c r="M40" s="8" t="s">
        <v>159</v>
      </c>
      <c r="N40" s="8" t="s">
        <v>182</v>
      </c>
      <c r="O40" s="8" t="s">
        <v>160</v>
      </c>
      <c r="P40" s="8" t="s">
        <v>159</v>
      </c>
      <c r="Q40" s="8" t="s">
        <v>159</v>
      </c>
      <c r="R40" s="8" t="s">
        <v>159</v>
      </c>
      <c r="S40" s="8" t="s">
        <v>159</v>
      </c>
      <c r="T40" s="8" t="s">
        <v>160</v>
      </c>
      <c r="U40" s="8" t="s">
        <v>160</v>
      </c>
      <c r="V40" s="8" t="s">
        <v>159</v>
      </c>
      <c r="W40" s="8" t="s">
        <v>160</v>
      </c>
      <c r="X40" s="8" t="s">
        <v>159</v>
      </c>
      <c r="Y40" s="8" t="s">
        <v>160</v>
      </c>
      <c r="Z40" s="8" t="s">
        <v>160</v>
      </c>
      <c r="AA40" s="8" t="s">
        <v>159</v>
      </c>
      <c r="AB40" s="8" t="s">
        <v>160</v>
      </c>
      <c r="AC40" s="9">
        <f t="shared" si="0"/>
        <v>8</v>
      </c>
      <c r="AD40" s="9">
        <f t="shared" si="1"/>
        <v>15</v>
      </c>
      <c r="AE40" s="10">
        <f t="shared" si="2"/>
        <v>35</v>
      </c>
    </row>
    <row r="41" spans="1:31" ht="21" customHeight="1" x14ac:dyDescent="0.35">
      <c r="A41" s="1"/>
      <c r="B41" s="1"/>
      <c r="C41" s="1"/>
      <c r="D41" s="1"/>
      <c r="E41" s="15" t="s">
        <v>160</v>
      </c>
      <c r="F41" s="15" t="s">
        <v>159</v>
      </c>
      <c r="G41" s="15" t="s">
        <v>159</v>
      </c>
      <c r="H41" s="15" t="s">
        <v>159</v>
      </c>
      <c r="I41" s="15" t="s">
        <v>159</v>
      </c>
      <c r="J41" s="15" t="s">
        <v>159</v>
      </c>
      <c r="K41" s="15" t="s">
        <v>159</v>
      </c>
      <c r="L41" s="15" t="s">
        <v>182</v>
      </c>
      <c r="M41" s="15" t="s">
        <v>160</v>
      </c>
      <c r="N41" s="15" t="s">
        <v>159</v>
      </c>
      <c r="O41" s="15" t="s">
        <v>160</v>
      </c>
      <c r="P41" s="15" t="s">
        <v>159</v>
      </c>
      <c r="Q41" s="15" t="s">
        <v>159</v>
      </c>
      <c r="R41" s="15" t="s">
        <v>159</v>
      </c>
      <c r="S41" s="15" t="s">
        <v>159</v>
      </c>
      <c r="T41" s="15" t="s">
        <v>160</v>
      </c>
      <c r="U41" s="15" t="s">
        <v>159</v>
      </c>
      <c r="V41" s="15" t="s">
        <v>159</v>
      </c>
      <c r="W41" s="15" t="s">
        <v>160</v>
      </c>
      <c r="X41" s="15" t="s">
        <v>159</v>
      </c>
      <c r="Y41" s="15" t="s">
        <v>160</v>
      </c>
      <c r="Z41" s="15" t="s">
        <v>159</v>
      </c>
      <c r="AA41" s="15" t="s">
        <v>182</v>
      </c>
      <c r="AB41" s="15" t="s">
        <v>160</v>
      </c>
      <c r="AC41" s="16" t="s">
        <v>159</v>
      </c>
      <c r="AD41" s="16" t="s">
        <v>159</v>
      </c>
      <c r="AE41" s="16" t="s">
        <v>159</v>
      </c>
    </row>
    <row r="42" spans="1:31" ht="21" customHeight="1" x14ac:dyDescent="0.35">
      <c r="A42" s="1"/>
      <c r="B42" s="1"/>
      <c r="C42" s="1"/>
      <c r="D42" s="1"/>
      <c r="E42" s="8" t="s">
        <v>160</v>
      </c>
      <c r="F42" s="8" t="s">
        <v>159</v>
      </c>
      <c r="G42" s="8" t="s">
        <v>182</v>
      </c>
      <c r="H42" s="8" t="s">
        <v>160</v>
      </c>
      <c r="I42" s="8" t="s">
        <v>159</v>
      </c>
      <c r="J42" s="8" t="s">
        <v>159</v>
      </c>
      <c r="K42" s="8" t="s">
        <v>160</v>
      </c>
      <c r="L42" s="8" t="s">
        <v>159</v>
      </c>
      <c r="M42" s="8" t="s">
        <v>159</v>
      </c>
      <c r="N42" s="8" t="s">
        <v>159</v>
      </c>
      <c r="O42" s="8" t="s">
        <v>159</v>
      </c>
      <c r="P42" s="8" t="s">
        <v>159</v>
      </c>
      <c r="Q42" s="8" t="s">
        <v>159</v>
      </c>
      <c r="R42" s="8" t="s">
        <v>160</v>
      </c>
      <c r="S42" s="8" t="s">
        <v>159</v>
      </c>
      <c r="T42" s="8" t="s">
        <v>160</v>
      </c>
      <c r="U42" s="8" t="s">
        <v>159</v>
      </c>
      <c r="V42" s="8" t="s">
        <v>159</v>
      </c>
      <c r="W42" s="8" t="s">
        <v>159</v>
      </c>
      <c r="X42" s="8" t="s">
        <v>159</v>
      </c>
      <c r="Y42" s="8" t="s">
        <v>159</v>
      </c>
      <c r="Z42" s="8" t="s">
        <v>159</v>
      </c>
      <c r="AA42" s="8" t="s">
        <v>160</v>
      </c>
      <c r="AB42" s="8" t="s">
        <v>160</v>
      </c>
      <c r="AC42" s="16" t="s">
        <v>159</v>
      </c>
      <c r="AD42" s="16" t="s">
        <v>159</v>
      </c>
      <c r="AE42" s="16" t="s">
        <v>159</v>
      </c>
    </row>
    <row r="43" spans="1:31" ht="21" customHeight="1" x14ac:dyDescent="0.35">
      <c r="A43" s="1"/>
      <c r="B43" s="1"/>
      <c r="C43" s="1"/>
      <c r="D43" s="1"/>
      <c r="E43" s="15" t="s">
        <v>159</v>
      </c>
      <c r="F43" s="15" t="s">
        <v>159</v>
      </c>
      <c r="G43" s="15" t="s">
        <v>160</v>
      </c>
      <c r="H43" s="15" t="s">
        <v>159</v>
      </c>
      <c r="I43" s="15" t="s">
        <v>159</v>
      </c>
      <c r="J43" s="15" t="s">
        <v>159</v>
      </c>
      <c r="K43" s="15" t="s">
        <v>159</v>
      </c>
      <c r="L43" s="15" t="s">
        <v>159</v>
      </c>
      <c r="M43" s="15" t="s">
        <v>160</v>
      </c>
      <c r="N43" s="15" t="s">
        <v>160</v>
      </c>
      <c r="O43" s="15" t="s">
        <v>159</v>
      </c>
      <c r="P43" s="15" t="s">
        <v>159</v>
      </c>
      <c r="Q43" s="15" t="s">
        <v>159</v>
      </c>
      <c r="R43" s="15" t="s">
        <v>159</v>
      </c>
      <c r="S43" s="15" t="s">
        <v>159</v>
      </c>
      <c r="T43" s="15" t="s">
        <v>160</v>
      </c>
      <c r="U43" s="15" t="s">
        <v>160</v>
      </c>
      <c r="V43" s="15" t="s">
        <v>159</v>
      </c>
      <c r="W43" s="15" t="s">
        <v>182</v>
      </c>
      <c r="X43" s="15" t="s">
        <v>159</v>
      </c>
      <c r="Y43" s="15" t="s">
        <v>159</v>
      </c>
      <c r="Z43" s="15" t="s">
        <v>159</v>
      </c>
      <c r="AA43" s="15" t="s">
        <v>182</v>
      </c>
      <c r="AB43" s="15" t="s">
        <v>160</v>
      </c>
      <c r="AC43" s="16" t="s">
        <v>159</v>
      </c>
      <c r="AD43" s="16" t="s">
        <v>182</v>
      </c>
      <c r="AE43" s="16" t="s">
        <v>159</v>
      </c>
    </row>
    <row r="44" spans="1:31" ht="21" customHeight="1" x14ac:dyDescent="0.35">
      <c r="A44" s="1"/>
      <c r="B44" s="1"/>
      <c r="C44" s="1"/>
      <c r="D44" s="1"/>
      <c r="E44" s="8" t="s">
        <v>160</v>
      </c>
      <c r="F44" s="8" t="s">
        <v>159</v>
      </c>
      <c r="G44" s="8" t="s">
        <v>159</v>
      </c>
      <c r="H44" s="8" t="s">
        <v>159</v>
      </c>
      <c r="I44" s="8" t="s">
        <v>159</v>
      </c>
      <c r="J44" s="8" t="s">
        <v>159</v>
      </c>
      <c r="K44" s="8" t="s">
        <v>159</v>
      </c>
      <c r="L44" s="8" t="s">
        <v>159</v>
      </c>
      <c r="M44" s="8" t="s">
        <v>160</v>
      </c>
      <c r="N44" s="8" t="s">
        <v>159</v>
      </c>
      <c r="O44" s="8" t="s">
        <v>159</v>
      </c>
      <c r="P44" s="8" t="s">
        <v>159</v>
      </c>
      <c r="Q44" s="8" t="s">
        <v>159</v>
      </c>
      <c r="R44" s="8" t="s">
        <v>159</v>
      </c>
      <c r="S44" s="8" t="s">
        <v>159</v>
      </c>
      <c r="T44" s="8" t="s">
        <v>159</v>
      </c>
      <c r="U44" s="8" t="s">
        <v>159</v>
      </c>
      <c r="V44" s="8" t="s">
        <v>160</v>
      </c>
      <c r="W44" s="8" t="s">
        <v>159</v>
      </c>
      <c r="X44" s="8" t="s">
        <v>160</v>
      </c>
      <c r="Y44" s="8" t="s">
        <v>160</v>
      </c>
      <c r="Z44" s="8" t="s">
        <v>159</v>
      </c>
      <c r="AA44" s="8" t="s">
        <v>159</v>
      </c>
      <c r="AB44" s="8" t="s">
        <v>160</v>
      </c>
      <c r="AC44" s="16" t="s">
        <v>160</v>
      </c>
      <c r="AD44" s="16" t="s">
        <v>160</v>
      </c>
      <c r="AE44" s="16" t="s">
        <v>159</v>
      </c>
    </row>
    <row r="45" spans="1:31" ht="21" customHeight="1" x14ac:dyDescent="0.35">
      <c r="A45" s="25" t="s">
        <v>274</v>
      </c>
      <c r="B45" s="23"/>
      <c r="C45" s="17" t="s">
        <v>275</v>
      </c>
      <c r="D45" s="2"/>
      <c r="E45" s="15" t="s">
        <v>160</v>
      </c>
      <c r="F45" s="15" t="s">
        <v>159</v>
      </c>
      <c r="G45" s="15" t="s">
        <v>160</v>
      </c>
      <c r="H45" s="15" t="s">
        <v>160</v>
      </c>
      <c r="I45" s="15" t="s">
        <v>160</v>
      </c>
      <c r="J45" s="15" t="s">
        <v>182</v>
      </c>
      <c r="K45" s="15" t="s">
        <v>160</v>
      </c>
      <c r="L45" s="15" t="s">
        <v>182</v>
      </c>
      <c r="M45" s="15" t="s">
        <v>160</v>
      </c>
      <c r="N45" s="15" t="s">
        <v>160</v>
      </c>
      <c r="O45" s="15" t="s">
        <v>160</v>
      </c>
      <c r="P45" s="15" t="s">
        <v>160</v>
      </c>
      <c r="Q45" s="15" t="s">
        <v>160</v>
      </c>
      <c r="R45" s="15" t="s">
        <v>160</v>
      </c>
      <c r="S45" s="15" t="s">
        <v>159</v>
      </c>
      <c r="T45" s="15" t="s">
        <v>159</v>
      </c>
      <c r="U45" s="15" t="s">
        <v>159</v>
      </c>
      <c r="V45" s="15" t="s">
        <v>159</v>
      </c>
      <c r="W45" s="15" t="s">
        <v>182</v>
      </c>
      <c r="X45" s="15" t="s">
        <v>159</v>
      </c>
      <c r="Y45" s="15" t="s">
        <v>160</v>
      </c>
      <c r="Z45" s="15" t="s">
        <v>159</v>
      </c>
      <c r="AA45" s="15" t="s">
        <v>182</v>
      </c>
      <c r="AB45" s="15" t="s">
        <v>160</v>
      </c>
      <c r="AC45" s="16" t="s">
        <v>182</v>
      </c>
      <c r="AD45" s="16" t="s">
        <v>159</v>
      </c>
      <c r="AE45" s="16" t="s">
        <v>159</v>
      </c>
    </row>
    <row r="46" spans="1:31" ht="21" customHeight="1" x14ac:dyDescent="0.35">
      <c r="A46" s="24" t="s">
        <v>276</v>
      </c>
      <c r="B46" s="23"/>
      <c r="C46" s="1"/>
      <c r="D46" s="1"/>
      <c r="E46" s="8" t="s">
        <v>159</v>
      </c>
      <c r="F46" s="8" t="s">
        <v>159</v>
      </c>
      <c r="G46" s="8" t="s">
        <v>159</v>
      </c>
      <c r="H46" s="8" t="s">
        <v>159</v>
      </c>
      <c r="I46" s="8" t="s">
        <v>159</v>
      </c>
      <c r="J46" s="8" t="s">
        <v>159</v>
      </c>
      <c r="K46" s="8" t="s">
        <v>159</v>
      </c>
      <c r="L46" s="8" t="s">
        <v>160</v>
      </c>
      <c r="M46" s="8" t="s">
        <v>159</v>
      </c>
      <c r="N46" s="8" t="s">
        <v>159</v>
      </c>
      <c r="O46" s="8" t="s">
        <v>159</v>
      </c>
      <c r="P46" s="8" t="s">
        <v>159</v>
      </c>
      <c r="Q46" s="8" t="s">
        <v>159</v>
      </c>
      <c r="R46" s="8" t="s">
        <v>159</v>
      </c>
      <c r="S46" s="8" t="s">
        <v>159</v>
      </c>
      <c r="T46" s="8" t="s">
        <v>159</v>
      </c>
      <c r="U46" s="8" t="s">
        <v>159</v>
      </c>
      <c r="V46" s="8" t="s">
        <v>160</v>
      </c>
      <c r="W46" s="8" t="s">
        <v>160</v>
      </c>
      <c r="X46" s="8" t="s">
        <v>159</v>
      </c>
      <c r="Y46" s="8" t="s">
        <v>159</v>
      </c>
      <c r="Z46" s="8" t="s">
        <v>159</v>
      </c>
      <c r="AA46" s="8" t="s">
        <v>159</v>
      </c>
      <c r="AB46" s="8" t="s">
        <v>159</v>
      </c>
      <c r="AC46" s="16" t="s">
        <v>159</v>
      </c>
      <c r="AD46" s="16" t="s">
        <v>160</v>
      </c>
      <c r="AE46" s="16" t="s">
        <v>159</v>
      </c>
    </row>
  </sheetData>
  <autoFilter ref="A1:AE46" xr:uid="{00000000-0009-0000-0000-000000000000}"/>
  <mergeCells count="3">
    <mergeCell ref="S39:T39"/>
    <mergeCell ref="A46:B46"/>
    <mergeCell ref="A45:B45"/>
  </mergeCells>
  <conditionalFormatting sqref="A2:A40">
    <cfRule type="cellIs" dxfId="89" priority="8" operator="equal">
      <formula>"Present"</formula>
    </cfRule>
    <cfRule type="cellIs" dxfId="88" priority="9" operator="equal">
      <formula>"Absent"</formula>
    </cfRule>
  </conditionalFormatting>
  <conditionalFormatting sqref="A1:AE1">
    <cfRule type="cellIs" dxfId="87" priority="2" operator="equal">
      <formula>"Present"</formula>
    </cfRule>
    <cfRule type="cellIs" dxfId="86" priority="3" operator="equal">
      <formula>"Absent"</formula>
    </cfRule>
  </conditionalFormatting>
  <conditionalFormatting sqref="E2:H36 E37:F37 H37">
    <cfRule type="cellIs" dxfId="85" priority="10" operator="equal">
      <formula>"Present"</formula>
    </cfRule>
    <cfRule type="cellIs" dxfId="84" priority="11" operator="equal">
      <formula>"Absent"</formula>
    </cfRule>
  </conditionalFormatting>
  <conditionalFormatting sqref="E2:AB46">
    <cfRule type="cellIs" dxfId="83" priority="12" operator="equal">
      <formula>"Present"</formula>
    </cfRule>
    <cfRule type="cellIs" dxfId="82" priority="12" operator="equal">
      <formula>"Absent"</formula>
    </cfRule>
    <cfRule type="cellIs" dxfId="81" priority="13" operator="equal">
      <formula>"Late"</formula>
    </cfRule>
  </conditionalFormatting>
  <conditionalFormatting sqref="I2:M37 M38">
    <cfRule type="cellIs" dxfId="80" priority="6" operator="equal">
      <formula>"Present"</formula>
    </cfRule>
    <cfRule type="cellIs" dxfId="79" priority="7" operator="equal">
      <formula>"Absent"</formula>
    </cfRule>
  </conditionalFormatting>
  <conditionalFormatting sqref="N2:AC2 N3:U38 V3:AB39 AC3:AC40 U39">
    <cfRule type="cellIs" dxfId="78" priority="4" operator="equal">
      <formula>"Present"</formula>
    </cfRule>
    <cfRule type="cellIs" dxfId="77" priority="5" operator="equal">
      <formula>"Absent"</formula>
    </cfRule>
  </conditionalFormatting>
  <dataValidations count="2">
    <dataValidation type="list" allowBlank="1" showInputMessage="1" showErrorMessage="1" sqref="E2:AC36 E37:F37 H37:AC37 M38:AC38 U39:AC39 AC40" xr:uid="{00000000-0002-0000-0000-000000000000}">
      <formula1>"Present,Absent,Excused absence"</formula1>
      <formula2>0</formula2>
    </dataValidation>
    <dataValidation type="list" allowBlank="1" showInputMessage="1" showErrorMessage="1" sqref="A1:AE1" xr:uid="{00000000-0002-0000-0000-000001000000}">
      <formula1>$A$1:$AE$1</formula1>
      <formula2>0</formula2>
    </dataValidation>
  </dataValidations>
  <pageMargins left="0.25" right="0.25" top="0.5" bottom="0.5" header="0.3" footer="0.3"/>
  <pageSetup fitToHeight="0" orientation="landscape" horizontalDpi="300" verticalDpi="300"/>
  <headerFooter>
    <oddHeader>&amp;L&amp;"Arial,Regular"&amp;1 #</oddHeader>
    <oddFooter>&amp;L&amp;"Arial,Regular"&amp;10 #Saudi Aramco: 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  <pageSetUpPr fitToPage="1"/>
  </sheetPr>
  <dimension ref="A1:AE42"/>
  <sheetViews>
    <sheetView showGridLines="0" zoomScale="85" zoomScaleNormal="95" workbookViewId="0">
      <pane xSplit="4" ySplit="1" topLeftCell="V2" activePane="bottomRight" state="frozen"/>
      <selection pane="topRight" activeCell="E1" sqref="E1"/>
      <selection pane="bottomLeft" activeCell="A2" sqref="A2"/>
      <selection pane="bottomRight" activeCell="AC2" sqref="AC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5" width="14.26953125" customWidth="1"/>
    <col min="6" max="7" width="14.08984375" customWidth="1"/>
    <col min="8" max="8" width="14.7265625" customWidth="1"/>
    <col min="9" max="9" width="16.08984375" customWidth="1"/>
    <col min="10" max="10" width="14.90625" customWidth="1"/>
    <col min="11" max="23" width="13" customWidth="1"/>
    <col min="24" max="24" width="14.81640625" customWidth="1"/>
    <col min="25" max="26" width="13" customWidth="1"/>
    <col min="27" max="27" width="14.90625" customWidth="1"/>
    <col min="28" max="28" width="15.36328125" customWidth="1"/>
    <col min="29" max="31" width="14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46022</v>
      </c>
      <c r="AC1" s="4" t="s">
        <v>153</v>
      </c>
      <c r="AD1" s="4" t="s">
        <v>154</v>
      </c>
      <c r="AE1" s="4" t="s">
        <v>155</v>
      </c>
    </row>
    <row r="2" spans="1:31" ht="21" customHeight="1" x14ac:dyDescent="0.35">
      <c r="A2" s="6">
        <v>1</v>
      </c>
      <c r="B2" s="6" t="s">
        <v>278</v>
      </c>
      <c r="C2" s="6" t="s">
        <v>279</v>
      </c>
      <c r="D2" s="7" t="s">
        <v>280</v>
      </c>
      <c r="E2" s="8" t="s">
        <v>159</v>
      </c>
      <c r="F2" s="8" t="s">
        <v>160</v>
      </c>
      <c r="G2" s="8" t="s">
        <v>159</v>
      </c>
      <c r="H2" s="8" t="s">
        <v>159</v>
      </c>
      <c r="I2" s="8" t="s">
        <v>159</v>
      </c>
      <c r="J2" s="8" t="s">
        <v>182</v>
      </c>
      <c r="K2" s="8" t="s">
        <v>159</v>
      </c>
      <c r="L2" s="8" t="s">
        <v>160</v>
      </c>
      <c r="M2" s="8" t="s">
        <v>159</v>
      </c>
      <c r="N2" s="8" t="s">
        <v>159</v>
      </c>
      <c r="O2" s="8" t="s">
        <v>160</v>
      </c>
      <c r="P2" s="8" t="s">
        <v>159</v>
      </c>
      <c r="Q2" s="8" t="s">
        <v>159</v>
      </c>
      <c r="R2" s="8" t="s">
        <v>160</v>
      </c>
      <c r="S2" s="8" t="s">
        <v>160</v>
      </c>
      <c r="T2" s="8" t="s">
        <v>159</v>
      </c>
      <c r="U2" s="8" t="s">
        <v>160</v>
      </c>
      <c r="V2" s="8" t="s">
        <v>160</v>
      </c>
      <c r="W2" s="8" t="s">
        <v>160</v>
      </c>
      <c r="X2" s="8" t="s">
        <v>159</v>
      </c>
      <c r="Y2" s="8" t="s">
        <v>159</v>
      </c>
      <c r="Z2" s="8" t="s">
        <v>160</v>
      </c>
      <c r="AA2" s="8" t="s">
        <v>182</v>
      </c>
      <c r="AB2" s="8" t="s">
        <v>182</v>
      </c>
      <c r="AC2" s="9">
        <f t="shared" ref="AC2:AC41" si="0">COUNTIF(E2:AB2,"Absent")</f>
        <v>9</v>
      </c>
      <c r="AD2" s="9">
        <f t="shared" ref="AD2:AD41" si="1">COUNTIF(E2:AB2,"Present")</f>
        <v>12</v>
      </c>
      <c r="AE2" s="10">
        <f t="shared" ref="AE2:AE41" si="2">(AD2*5)+(AC2*-5)</f>
        <v>15</v>
      </c>
    </row>
    <row r="3" spans="1:31" ht="21" customHeight="1" x14ac:dyDescent="0.35">
      <c r="A3" s="11">
        <v>2</v>
      </c>
      <c r="B3" s="11" t="s">
        <v>281</v>
      </c>
      <c r="C3" s="11" t="s">
        <v>282</v>
      </c>
      <c r="D3" s="12" t="s">
        <v>283</v>
      </c>
      <c r="E3" s="13" t="s">
        <v>182</v>
      </c>
      <c r="F3" s="13" t="s">
        <v>159</v>
      </c>
      <c r="G3" s="13" t="s">
        <v>159</v>
      </c>
      <c r="H3" s="13" t="s">
        <v>159</v>
      </c>
      <c r="I3" s="13" t="s">
        <v>159</v>
      </c>
      <c r="J3" s="13" t="s">
        <v>159</v>
      </c>
      <c r="K3" s="13" t="s">
        <v>159</v>
      </c>
      <c r="L3" s="13" t="s">
        <v>159</v>
      </c>
      <c r="M3" s="13" t="s">
        <v>159</v>
      </c>
      <c r="N3" s="13" t="s">
        <v>159</v>
      </c>
      <c r="O3" s="13" t="s">
        <v>159</v>
      </c>
      <c r="P3" s="13" t="s">
        <v>159</v>
      </c>
      <c r="Q3" s="13" t="s">
        <v>159</v>
      </c>
      <c r="R3" s="13" t="s">
        <v>159</v>
      </c>
      <c r="S3" s="13" t="s">
        <v>159</v>
      </c>
      <c r="T3" s="13" t="s">
        <v>159</v>
      </c>
      <c r="U3" s="13" t="s">
        <v>159</v>
      </c>
      <c r="V3" s="13" t="s">
        <v>160</v>
      </c>
      <c r="W3" s="13" t="s">
        <v>160</v>
      </c>
      <c r="X3" s="13" t="s">
        <v>159</v>
      </c>
      <c r="Y3" s="13" t="s">
        <v>159</v>
      </c>
      <c r="Z3" s="13" t="s">
        <v>159</v>
      </c>
      <c r="AA3" s="13" t="s">
        <v>160</v>
      </c>
      <c r="AB3" s="13" t="s">
        <v>159</v>
      </c>
      <c r="AC3" s="9">
        <f t="shared" si="0"/>
        <v>3</v>
      </c>
      <c r="AD3" s="9">
        <f t="shared" si="1"/>
        <v>20</v>
      </c>
      <c r="AE3" s="10">
        <f t="shared" si="2"/>
        <v>85</v>
      </c>
    </row>
    <row r="4" spans="1:31" ht="21" customHeight="1" x14ac:dyDescent="0.35">
      <c r="A4" s="6">
        <v>3</v>
      </c>
      <c r="B4" s="6" t="s">
        <v>284</v>
      </c>
      <c r="C4" s="6" t="s">
        <v>285</v>
      </c>
      <c r="D4" s="7" t="s">
        <v>286</v>
      </c>
      <c r="E4" s="8" t="s">
        <v>159</v>
      </c>
      <c r="F4" s="8" t="s">
        <v>159</v>
      </c>
      <c r="G4" s="8" t="s">
        <v>159</v>
      </c>
      <c r="H4" s="8" t="s">
        <v>182</v>
      </c>
      <c r="I4" s="8" t="s">
        <v>159</v>
      </c>
      <c r="J4" s="8" t="s">
        <v>159</v>
      </c>
      <c r="K4" s="8" t="s">
        <v>160</v>
      </c>
      <c r="L4" s="8" t="s">
        <v>159</v>
      </c>
      <c r="M4" s="8" t="s">
        <v>159</v>
      </c>
      <c r="N4" s="8" t="s">
        <v>160</v>
      </c>
      <c r="O4" s="8" t="s">
        <v>160</v>
      </c>
      <c r="P4" s="8" t="s">
        <v>159</v>
      </c>
      <c r="Q4" s="8" t="s">
        <v>159</v>
      </c>
      <c r="R4" s="8" t="s">
        <v>160</v>
      </c>
      <c r="S4" s="8" t="s">
        <v>160</v>
      </c>
      <c r="T4" s="8" t="s">
        <v>160</v>
      </c>
      <c r="U4" s="8" t="s">
        <v>160</v>
      </c>
      <c r="V4" s="8" t="s">
        <v>159</v>
      </c>
      <c r="W4" s="8" t="s">
        <v>160</v>
      </c>
      <c r="X4" s="8" t="s">
        <v>159</v>
      </c>
      <c r="Y4" s="8" t="s">
        <v>159</v>
      </c>
      <c r="Z4" s="8" t="s">
        <v>160</v>
      </c>
      <c r="AA4" s="8" t="s">
        <v>160</v>
      </c>
      <c r="AB4" s="8" t="s">
        <v>159</v>
      </c>
      <c r="AC4" s="9">
        <f t="shared" si="0"/>
        <v>10</v>
      </c>
      <c r="AD4" s="9">
        <f t="shared" si="1"/>
        <v>13</v>
      </c>
      <c r="AE4" s="10">
        <f t="shared" si="2"/>
        <v>15</v>
      </c>
    </row>
    <row r="5" spans="1:31" ht="21" customHeight="1" x14ac:dyDescent="0.35">
      <c r="A5" s="11">
        <v>4</v>
      </c>
      <c r="B5" s="11" t="s">
        <v>287</v>
      </c>
      <c r="C5" s="11" t="s">
        <v>288</v>
      </c>
      <c r="D5" s="12" t="s">
        <v>289</v>
      </c>
      <c r="E5" s="13" t="s">
        <v>160</v>
      </c>
      <c r="F5" s="13" t="s">
        <v>159</v>
      </c>
      <c r="G5" s="13" t="s">
        <v>159</v>
      </c>
      <c r="H5" s="13" t="s">
        <v>159</v>
      </c>
      <c r="I5" s="13" t="s">
        <v>159</v>
      </c>
      <c r="J5" s="13" t="s">
        <v>159</v>
      </c>
      <c r="K5" s="13" t="s">
        <v>160</v>
      </c>
      <c r="L5" s="13" t="s">
        <v>160</v>
      </c>
      <c r="M5" s="13" t="s">
        <v>159</v>
      </c>
      <c r="N5" s="13" t="s">
        <v>159</v>
      </c>
      <c r="O5" s="13" t="s">
        <v>159</v>
      </c>
      <c r="P5" s="13" t="s">
        <v>160</v>
      </c>
      <c r="Q5" s="13" t="s">
        <v>159</v>
      </c>
      <c r="R5" s="13" t="s">
        <v>160</v>
      </c>
      <c r="S5" s="13" t="s">
        <v>160</v>
      </c>
      <c r="T5" s="13" t="s">
        <v>159</v>
      </c>
      <c r="U5" s="13" t="s">
        <v>159</v>
      </c>
      <c r="V5" s="13" t="s">
        <v>160</v>
      </c>
      <c r="W5" s="13" t="s">
        <v>159</v>
      </c>
      <c r="X5" s="13" t="s">
        <v>159</v>
      </c>
      <c r="Y5" s="13" t="s">
        <v>159</v>
      </c>
      <c r="Z5" s="13" t="s">
        <v>159</v>
      </c>
      <c r="AA5" s="13" t="s">
        <v>159</v>
      </c>
      <c r="AB5" s="13" t="s">
        <v>160</v>
      </c>
      <c r="AC5" s="9">
        <f t="shared" si="0"/>
        <v>8</v>
      </c>
      <c r="AD5" s="9">
        <f t="shared" si="1"/>
        <v>16</v>
      </c>
      <c r="AE5" s="10">
        <f t="shared" si="2"/>
        <v>40</v>
      </c>
    </row>
    <row r="6" spans="1:31" ht="21" customHeight="1" x14ac:dyDescent="0.35">
      <c r="A6" s="6">
        <v>5</v>
      </c>
      <c r="B6" s="6" t="s">
        <v>290</v>
      </c>
      <c r="C6" s="6" t="s">
        <v>291</v>
      </c>
      <c r="D6" s="7" t="s">
        <v>292</v>
      </c>
      <c r="E6" s="8" t="s">
        <v>160</v>
      </c>
      <c r="F6" s="8" t="s">
        <v>160</v>
      </c>
      <c r="G6" s="8" t="s">
        <v>160</v>
      </c>
      <c r="H6" s="8" t="s">
        <v>159</v>
      </c>
      <c r="I6" s="8" t="s">
        <v>159</v>
      </c>
      <c r="J6" s="8" t="s">
        <v>159</v>
      </c>
      <c r="K6" s="8" t="s">
        <v>159</v>
      </c>
      <c r="L6" s="8" t="s">
        <v>159</v>
      </c>
      <c r="M6" s="8" t="s">
        <v>160</v>
      </c>
      <c r="N6" s="8" t="s">
        <v>159</v>
      </c>
      <c r="O6" s="8" t="s">
        <v>159</v>
      </c>
      <c r="P6" s="8" t="s">
        <v>159</v>
      </c>
      <c r="Q6" s="8" t="s">
        <v>159</v>
      </c>
      <c r="R6" s="8" t="s">
        <v>159</v>
      </c>
      <c r="S6" s="8" t="s">
        <v>160</v>
      </c>
      <c r="T6" s="8" t="s">
        <v>159</v>
      </c>
      <c r="U6" s="8" t="s">
        <v>160</v>
      </c>
      <c r="V6" s="8" t="s">
        <v>159</v>
      </c>
      <c r="W6" s="8" t="s">
        <v>160</v>
      </c>
      <c r="X6" s="8" t="s">
        <v>159</v>
      </c>
      <c r="Y6" s="8" t="s">
        <v>159</v>
      </c>
      <c r="Z6" s="8" t="s">
        <v>160</v>
      </c>
      <c r="AA6" s="8" t="s">
        <v>159</v>
      </c>
      <c r="AB6" s="8" t="s">
        <v>159</v>
      </c>
      <c r="AC6" s="9">
        <f t="shared" si="0"/>
        <v>8</v>
      </c>
      <c r="AD6" s="9">
        <f t="shared" si="1"/>
        <v>16</v>
      </c>
      <c r="AE6" s="10">
        <f t="shared" si="2"/>
        <v>40</v>
      </c>
    </row>
    <row r="7" spans="1:31" ht="21" customHeight="1" x14ac:dyDescent="0.35">
      <c r="A7" s="11">
        <v>6</v>
      </c>
      <c r="B7" s="11" t="s">
        <v>293</v>
      </c>
      <c r="C7" s="11" t="s">
        <v>294</v>
      </c>
      <c r="D7" s="12" t="s">
        <v>295</v>
      </c>
      <c r="E7" s="13" t="s">
        <v>159</v>
      </c>
      <c r="F7" s="13" t="s">
        <v>159</v>
      </c>
      <c r="G7" s="13" t="s">
        <v>159</v>
      </c>
      <c r="H7" s="13" t="s">
        <v>159</v>
      </c>
      <c r="I7" s="13" t="s">
        <v>182</v>
      </c>
      <c r="J7" s="13" t="s">
        <v>182</v>
      </c>
      <c r="K7" s="13" t="s">
        <v>160</v>
      </c>
      <c r="L7" s="13" t="s">
        <v>159</v>
      </c>
      <c r="M7" s="13" t="s">
        <v>159</v>
      </c>
      <c r="N7" s="13" t="s">
        <v>159</v>
      </c>
      <c r="O7" s="13" t="s">
        <v>159</v>
      </c>
      <c r="P7" s="13" t="s">
        <v>159</v>
      </c>
      <c r="Q7" s="13" t="s">
        <v>159</v>
      </c>
      <c r="R7" s="13" t="s">
        <v>159</v>
      </c>
      <c r="S7" s="13" t="s">
        <v>159</v>
      </c>
      <c r="T7" s="13" t="s">
        <v>159</v>
      </c>
      <c r="U7" s="13" t="s">
        <v>159</v>
      </c>
      <c r="V7" s="13" t="s">
        <v>160</v>
      </c>
      <c r="W7" s="13" t="s">
        <v>160</v>
      </c>
      <c r="X7" s="13" t="s">
        <v>160</v>
      </c>
      <c r="Y7" s="13" t="s">
        <v>159</v>
      </c>
      <c r="Z7" s="13" t="s">
        <v>159</v>
      </c>
      <c r="AA7" s="13" t="s">
        <v>159</v>
      </c>
      <c r="AB7" s="13" t="s">
        <v>159</v>
      </c>
      <c r="AC7" s="9">
        <f t="shared" si="0"/>
        <v>4</v>
      </c>
      <c r="AD7" s="9">
        <f t="shared" si="1"/>
        <v>18</v>
      </c>
      <c r="AE7" s="10">
        <f t="shared" si="2"/>
        <v>70</v>
      </c>
    </row>
    <row r="8" spans="1:31" ht="21" customHeight="1" x14ac:dyDescent="0.35">
      <c r="A8" s="6">
        <v>7</v>
      </c>
      <c r="B8" s="6" t="s">
        <v>296</v>
      </c>
      <c r="C8" s="6" t="s">
        <v>297</v>
      </c>
      <c r="D8" s="7" t="s">
        <v>298</v>
      </c>
      <c r="E8" s="8" t="s">
        <v>160</v>
      </c>
      <c r="F8" s="8" t="s">
        <v>159</v>
      </c>
      <c r="G8" s="8" t="s">
        <v>159</v>
      </c>
      <c r="H8" s="8" t="s">
        <v>159</v>
      </c>
      <c r="I8" s="8" t="s">
        <v>159</v>
      </c>
      <c r="J8" s="8" t="s">
        <v>159</v>
      </c>
      <c r="K8" s="8" t="s">
        <v>160</v>
      </c>
      <c r="L8" s="8" t="s">
        <v>159</v>
      </c>
      <c r="M8" s="8" t="s">
        <v>159</v>
      </c>
      <c r="N8" s="8" t="s">
        <v>159</v>
      </c>
      <c r="O8" s="8" t="s">
        <v>159</v>
      </c>
      <c r="P8" s="8" t="s">
        <v>159</v>
      </c>
      <c r="Q8" s="8" t="s">
        <v>159</v>
      </c>
      <c r="R8" s="8" t="s">
        <v>160</v>
      </c>
      <c r="S8" s="8" t="s">
        <v>159</v>
      </c>
      <c r="T8" s="8" t="s">
        <v>159</v>
      </c>
      <c r="U8" s="8" t="s">
        <v>159</v>
      </c>
      <c r="V8" s="8" t="s">
        <v>159</v>
      </c>
      <c r="W8" s="8" t="s">
        <v>160</v>
      </c>
      <c r="X8" s="8" t="s">
        <v>159</v>
      </c>
      <c r="Y8" s="8" t="s">
        <v>159</v>
      </c>
      <c r="Z8" s="8" t="s">
        <v>159</v>
      </c>
      <c r="AA8" s="8" t="s">
        <v>159</v>
      </c>
      <c r="AB8" s="8" t="s">
        <v>159</v>
      </c>
      <c r="AC8" s="9">
        <f t="shared" si="0"/>
        <v>4</v>
      </c>
      <c r="AD8" s="9">
        <f t="shared" si="1"/>
        <v>20</v>
      </c>
      <c r="AE8" s="10">
        <f t="shared" si="2"/>
        <v>80</v>
      </c>
    </row>
    <row r="9" spans="1:31" ht="21" customHeight="1" x14ac:dyDescent="0.35">
      <c r="A9" s="11">
        <v>8</v>
      </c>
      <c r="B9" s="11" t="s">
        <v>299</v>
      </c>
      <c r="C9" s="11" t="s">
        <v>300</v>
      </c>
      <c r="D9" s="12" t="s">
        <v>301</v>
      </c>
      <c r="E9" s="13" t="s">
        <v>182</v>
      </c>
      <c r="F9" s="13" t="s">
        <v>182</v>
      </c>
      <c r="G9" s="13" t="s">
        <v>159</v>
      </c>
      <c r="H9" s="13" t="s">
        <v>182</v>
      </c>
      <c r="I9" s="13" t="s">
        <v>182</v>
      </c>
      <c r="J9" s="13" t="s">
        <v>182</v>
      </c>
      <c r="K9" s="13" t="s">
        <v>160</v>
      </c>
      <c r="L9" s="13" t="s">
        <v>160</v>
      </c>
      <c r="M9" s="13" t="s">
        <v>159</v>
      </c>
      <c r="N9" s="13" t="s">
        <v>159</v>
      </c>
      <c r="O9" s="13" t="s">
        <v>160</v>
      </c>
      <c r="P9" s="13" t="s">
        <v>159</v>
      </c>
      <c r="Q9" s="13" t="s">
        <v>160</v>
      </c>
      <c r="R9" s="13" t="s">
        <v>159</v>
      </c>
      <c r="S9" s="13" t="s">
        <v>160</v>
      </c>
      <c r="T9" s="13" t="s">
        <v>160</v>
      </c>
      <c r="U9" s="13" t="s">
        <v>160</v>
      </c>
      <c r="V9" s="13" t="s">
        <v>160</v>
      </c>
      <c r="W9" s="13" t="s">
        <v>160</v>
      </c>
      <c r="X9" s="13" t="s">
        <v>160</v>
      </c>
      <c r="Y9" s="13" t="s">
        <v>160</v>
      </c>
      <c r="Z9" s="13" t="s">
        <v>159</v>
      </c>
      <c r="AA9" s="13" t="s">
        <v>159</v>
      </c>
      <c r="AB9" s="13" t="s">
        <v>159</v>
      </c>
      <c r="AC9" s="9">
        <f t="shared" si="0"/>
        <v>11</v>
      </c>
      <c r="AD9" s="9">
        <f t="shared" si="1"/>
        <v>8</v>
      </c>
      <c r="AE9" s="10">
        <f t="shared" si="2"/>
        <v>-15</v>
      </c>
    </row>
    <row r="10" spans="1:31" ht="21" customHeight="1" x14ac:dyDescent="0.35">
      <c r="A10" s="6">
        <v>9</v>
      </c>
      <c r="B10" s="6" t="s">
        <v>302</v>
      </c>
      <c r="C10" s="6" t="s">
        <v>303</v>
      </c>
      <c r="D10" s="7" t="s">
        <v>304</v>
      </c>
      <c r="E10" s="8" t="s">
        <v>159</v>
      </c>
      <c r="F10" s="8" t="s">
        <v>159</v>
      </c>
      <c r="G10" s="8" t="s">
        <v>160</v>
      </c>
      <c r="H10" s="8" t="s">
        <v>159</v>
      </c>
      <c r="I10" s="8" t="s">
        <v>159</v>
      </c>
      <c r="J10" s="8" t="s">
        <v>159</v>
      </c>
      <c r="K10" s="8" t="s">
        <v>160</v>
      </c>
      <c r="L10" s="8" t="s">
        <v>159</v>
      </c>
      <c r="M10" s="8" t="s">
        <v>159</v>
      </c>
      <c r="N10" s="8" t="s">
        <v>160</v>
      </c>
      <c r="O10" s="8" t="s">
        <v>159</v>
      </c>
      <c r="P10" s="8" t="s">
        <v>160</v>
      </c>
      <c r="Q10" s="8" t="s">
        <v>159</v>
      </c>
      <c r="R10" s="8" t="s">
        <v>159</v>
      </c>
      <c r="S10" s="8" t="s">
        <v>160</v>
      </c>
      <c r="T10" s="8" t="s">
        <v>159</v>
      </c>
      <c r="U10" s="8" t="s">
        <v>160</v>
      </c>
      <c r="V10" s="8" t="s">
        <v>159</v>
      </c>
      <c r="W10" s="8" t="s">
        <v>159</v>
      </c>
      <c r="X10" s="8" t="s">
        <v>159</v>
      </c>
      <c r="Y10" s="8" t="s">
        <v>160</v>
      </c>
      <c r="Z10" s="8" t="s">
        <v>159</v>
      </c>
      <c r="AA10" s="8" t="s">
        <v>159</v>
      </c>
      <c r="AB10" s="8" t="s">
        <v>159</v>
      </c>
      <c r="AC10" s="9">
        <f t="shared" si="0"/>
        <v>7</v>
      </c>
      <c r="AD10" s="9">
        <f t="shared" si="1"/>
        <v>17</v>
      </c>
      <c r="AE10" s="10">
        <f t="shared" si="2"/>
        <v>50</v>
      </c>
    </row>
    <row r="11" spans="1:31" ht="21" customHeight="1" x14ac:dyDescent="0.35">
      <c r="A11" s="11">
        <v>10</v>
      </c>
      <c r="B11" s="11" t="s">
        <v>305</v>
      </c>
      <c r="C11" s="11" t="s">
        <v>306</v>
      </c>
      <c r="D11" s="12" t="s">
        <v>307</v>
      </c>
      <c r="E11" s="13" t="s">
        <v>159</v>
      </c>
      <c r="F11" s="13" t="s">
        <v>159</v>
      </c>
      <c r="G11" s="13" t="s">
        <v>159</v>
      </c>
      <c r="H11" s="13" t="s">
        <v>160</v>
      </c>
      <c r="I11" s="13" t="s">
        <v>159</v>
      </c>
      <c r="J11" s="13" t="s">
        <v>159</v>
      </c>
      <c r="K11" s="13" t="s">
        <v>160</v>
      </c>
      <c r="L11" s="13" t="s">
        <v>159</v>
      </c>
      <c r="M11" s="13" t="s">
        <v>159</v>
      </c>
      <c r="N11" s="13" t="s">
        <v>160</v>
      </c>
      <c r="O11" s="13" t="s">
        <v>159</v>
      </c>
      <c r="P11" s="13" t="s">
        <v>159</v>
      </c>
      <c r="Q11" s="13" t="s">
        <v>159</v>
      </c>
      <c r="R11" s="13" t="s">
        <v>160</v>
      </c>
      <c r="S11" s="13" t="s">
        <v>160</v>
      </c>
      <c r="T11" s="13" t="s">
        <v>159</v>
      </c>
      <c r="U11" s="13" t="s">
        <v>160</v>
      </c>
      <c r="V11" s="13" t="s">
        <v>159</v>
      </c>
      <c r="W11" s="13" t="s">
        <v>160</v>
      </c>
      <c r="X11" s="13" t="s">
        <v>182</v>
      </c>
      <c r="Y11" s="13" t="s">
        <v>159</v>
      </c>
      <c r="Z11" s="13" t="s">
        <v>159</v>
      </c>
      <c r="AA11" s="13" t="s">
        <v>159</v>
      </c>
      <c r="AB11" s="13" t="s">
        <v>160</v>
      </c>
      <c r="AC11" s="9">
        <f t="shared" si="0"/>
        <v>8</v>
      </c>
      <c r="AD11" s="9">
        <f t="shared" si="1"/>
        <v>15</v>
      </c>
      <c r="AE11" s="10">
        <f t="shared" si="2"/>
        <v>35</v>
      </c>
    </row>
    <row r="12" spans="1:31" ht="21" customHeight="1" x14ac:dyDescent="0.35">
      <c r="A12" s="6">
        <v>11</v>
      </c>
      <c r="B12" s="6" t="s">
        <v>308</v>
      </c>
      <c r="C12" s="6" t="s">
        <v>309</v>
      </c>
      <c r="D12" s="7" t="s">
        <v>310</v>
      </c>
      <c r="E12" s="8" t="s">
        <v>160</v>
      </c>
      <c r="F12" s="8" t="s">
        <v>160</v>
      </c>
      <c r="G12" s="8" t="s">
        <v>159</v>
      </c>
      <c r="H12" s="8" t="s">
        <v>160</v>
      </c>
      <c r="I12" s="8" t="s">
        <v>160</v>
      </c>
      <c r="J12" s="8" t="s">
        <v>160</v>
      </c>
      <c r="K12" s="8" t="s">
        <v>160</v>
      </c>
      <c r="L12" s="8" t="s">
        <v>160</v>
      </c>
      <c r="M12" s="8" t="s">
        <v>160</v>
      </c>
      <c r="N12" s="8" t="s">
        <v>160</v>
      </c>
      <c r="O12" s="8" t="s">
        <v>159</v>
      </c>
      <c r="P12" s="8" t="s">
        <v>159</v>
      </c>
      <c r="Q12" s="8" t="s">
        <v>160</v>
      </c>
      <c r="R12" s="8" t="s">
        <v>159</v>
      </c>
      <c r="S12" s="8" t="s">
        <v>160</v>
      </c>
      <c r="T12" s="8" t="s">
        <v>160</v>
      </c>
      <c r="U12" s="8" t="s">
        <v>160</v>
      </c>
      <c r="V12" s="8" t="s">
        <v>160</v>
      </c>
      <c r="W12" s="8" t="s">
        <v>160</v>
      </c>
      <c r="X12" s="8" t="s">
        <v>182</v>
      </c>
      <c r="Y12" s="8" t="s">
        <v>159</v>
      </c>
      <c r="Z12" s="8" t="s">
        <v>159</v>
      </c>
      <c r="AA12" s="8" t="s">
        <v>160</v>
      </c>
      <c r="AB12" s="8" t="s">
        <v>160</v>
      </c>
      <c r="AC12" s="9">
        <f t="shared" si="0"/>
        <v>17</v>
      </c>
      <c r="AD12" s="9">
        <f t="shared" si="1"/>
        <v>6</v>
      </c>
      <c r="AE12" s="10">
        <f t="shared" si="2"/>
        <v>-55</v>
      </c>
    </row>
    <row r="13" spans="1:31" ht="21" customHeight="1" x14ac:dyDescent="0.35">
      <c r="A13" s="11">
        <v>12</v>
      </c>
      <c r="B13" s="11" t="s">
        <v>311</v>
      </c>
      <c r="C13" s="11" t="s">
        <v>312</v>
      </c>
      <c r="D13" s="12" t="s">
        <v>313</v>
      </c>
      <c r="E13" s="13" t="s">
        <v>159</v>
      </c>
      <c r="F13" s="13" t="s">
        <v>159</v>
      </c>
      <c r="G13" s="13" t="s">
        <v>159</v>
      </c>
      <c r="H13" s="13" t="s">
        <v>159</v>
      </c>
      <c r="I13" s="13" t="s">
        <v>160</v>
      </c>
      <c r="J13" s="13" t="s">
        <v>159</v>
      </c>
      <c r="K13" s="13" t="s">
        <v>160</v>
      </c>
      <c r="L13" s="13" t="s">
        <v>159</v>
      </c>
      <c r="M13" s="13" t="s">
        <v>159</v>
      </c>
      <c r="N13" s="13" t="s">
        <v>159</v>
      </c>
      <c r="O13" s="13" t="s">
        <v>159</v>
      </c>
      <c r="P13" s="13" t="s">
        <v>159</v>
      </c>
      <c r="Q13" s="13" t="s">
        <v>159</v>
      </c>
      <c r="R13" s="13" t="s">
        <v>159</v>
      </c>
      <c r="S13" s="13" t="s">
        <v>159</v>
      </c>
      <c r="T13" s="13" t="s">
        <v>159</v>
      </c>
      <c r="U13" s="13" t="s">
        <v>160</v>
      </c>
      <c r="V13" s="13" t="s">
        <v>160</v>
      </c>
      <c r="W13" s="13" t="s">
        <v>159</v>
      </c>
      <c r="X13" s="13" t="s">
        <v>160</v>
      </c>
      <c r="Y13" s="13" t="s">
        <v>160</v>
      </c>
      <c r="Z13" s="13" t="s">
        <v>160</v>
      </c>
      <c r="AA13" s="13" t="s">
        <v>159</v>
      </c>
      <c r="AB13" s="13" t="s">
        <v>160</v>
      </c>
      <c r="AC13" s="9">
        <f t="shared" si="0"/>
        <v>8</v>
      </c>
      <c r="AD13" s="9">
        <f t="shared" si="1"/>
        <v>16</v>
      </c>
      <c r="AE13" s="10">
        <f t="shared" si="2"/>
        <v>40</v>
      </c>
    </row>
    <row r="14" spans="1:31" ht="21" customHeight="1" x14ac:dyDescent="0.35">
      <c r="A14" s="6">
        <v>13</v>
      </c>
      <c r="B14" s="6" t="s">
        <v>314</v>
      </c>
      <c r="C14" s="6" t="s">
        <v>315</v>
      </c>
      <c r="D14" s="7" t="s">
        <v>316</v>
      </c>
      <c r="E14" s="8" t="s">
        <v>160</v>
      </c>
      <c r="F14" s="8" t="s">
        <v>182</v>
      </c>
      <c r="G14" s="8" t="s">
        <v>160</v>
      </c>
      <c r="H14" s="8" t="s">
        <v>160</v>
      </c>
      <c r="I14" s="8" t="s">
        <v>182</v>
      </c>
      <c r="J14" s="8" t="s">
        <v>182</v>
      </c>
      <c r="K14" s="8" t="s">
        <v>160</v>
      </c>
      <c r="L14" s="8" t="s">
        <v>160</v>
      </c>
      <c r="M14" s="8" t="s">
        <v>160</v>
      </c>
      <c r="N14" s="8" t="s">
        <v>160</v>
      </c>
      <c r="O14" s="8" t="s">
        <v>160</v>
      </c>
      <c r="P14" s="8" t="s">
        <v>160</v>
      </c>
      <c r="Q14" s="8" t="s">
        <v>160</v>
      </c>
      <c r="R14" s="8" t="s">
        <v>160</v>
      </c>
      <c r="S14" s="8" t="s">
        <v>159</v>
      </c>
      <c r="T14" s="8" t="s">
        <v>159</v>
      </c>
      <c r="U14" s="8" t="s">
        <v>160</v>
      </c>
      <c r="V14" s="8" t="s">
        <v>160</v>
      </c>
      <c r="W14" s="8" t="s">
        <v>160</v>
      </c>
      <c r="X14" s="8" t="s">
        <v>159</v>
      </c>
      <c r="Y14" s="8" t="s">
        <v>159</v>
      </c>
      <c r="Z14" s="8" t="s">
        <v>159</v>
      </c>
      <c r="AA14" s="8" t="s">
        <v>159</v>
      </c>
      <c r="AB14" s="8" t="s">
        <v>159</v>
      </c>
      <c r="AC14" s="9">
        <f t="shared" si="0"/>
        <v>14</v>
      </c>
      <c r="AD14" s="9">
        <f t="shared" si="1"/>
        <v>7</v>
      </c>
      <c r="AE14" s="10">
        <f t="shared" si="2"/>
        <v>-35</v>
      </c>
    </row>
    <row r="15" spans="1:31" ht="21" customHeight="1" x14ac:dyDescent="0.35">
      <c r="A15" s="11">
        <v>14</v>
      </c>
      <c r="B15" s="11" t="s">
        <v>317</v>
      </c>
      <c r="C15" s="11" t="s">
        <v>318</v>
      </c>
      <c r="D15" s="12" t="s">
        <v>319</v>
      </c>
      <c r="E15" s="13" t="s">
        <v>159</v>
      </c>
      <c r="F15" s="13" t="s">
        <v>160</v>
      </c>
      <c r="G15" s="13" t="s">
        <v>159</v>
      </c>
      <c r="H15" s="13" t="s">
        <v>159</v>
      </c>
      <c r="I15" s="13" t="s">
        <v>160</v>
      </c>
      <c r="J15" s="13" t="s">
        <v>159</v>
      </c>
      <c r="K15" s="13" t="s">
        <v>160</v>
      </c>
      <c r="L15" s="13" t="s">
        <v>160</v>
      </c>
      <c r="M15" s="13" t="s">
        <v>160</v>
      </c>
      <c r="N15" s="13" t="s">
        <v>160</v>
      </c>
      <c r="O15" s="13" t="s">
        <v>160</v>
      </c>
      <c r="P15" s="13" t="s">
        <v>160</v>
      </c>
      <c r="Q15" s="13" t="s">
        <v>160</v>
      </c>
      <c r="R15" s="13" t="s">
        <v>160</v>
      </c>
      <c r="S15" s="13" t="s">
        <v>159</v>
      </c>
      <c r="T15" s="13" t="s">
        <v>159</v>
      </c>
      <c r="U15" s="13" t="s">
        <v>160</v>
      </c>
      <c r="V15" s="13" t="s">
        <v>159</v>
      </c>
      <c r="W15" s="13" t="s">
        <v>160</v>
      </c>
      <c r="X15" s="13" t="s">
        <v>160</v>
      </c>
      <c r="Y15" s="13" t="s">
        <v>159</v>
      </c>
      <c r="Z15" s="13" t="s">
        <v>160</v>
      </c>
      <c r="AA15" s="13" t="s">
        <v>160</v>
      </c>
      <c r="AB15" s="13" t="s">
        <v>159</v>
      </c>
      <c r="AC15" s="9">
        <f t="shared" si="0"/>
        <v>15</v>
      </c>
      <c r="AD15" s="9">
        <f t="shared" si="1"/>
        <v>9</v>
      </c>
      <c r="AE15" s="10">
        <f t="shared" si="2"/>
        <v>-30</v>
      </c>
    </row>
    <row r="16" spans="1:31" ht="21" customHeight="1" x14ac:dyDescent="0.35">
      <c r="A16" s="6">
        <v>15</v>
      </c>
      <c r="B16" s="6" t="s">
        <v>320</v>
      </c>
      <c r="C16" s="6" t="s">
        <v>321</v>
      </c>
      <c r="D16" s="7" t="s">
        <v>322</v>
      </c>
      <c r="E16" s="8" t="s">
        <v>182</v>
      </c>
      <c r="F16" s="8" t="s">
        <v>159</v>
      </c>
      <c r="G16" s="8" t="s">
        <v>160</v>
      </c>
      <c r="H16" s="8" t="s">
        <v>159</v>
      </c>
      <c r="I16" s="8" t="s">
        <v>159</v>
      </c>
      <c r="J16" s="8" t="s">
        <v>159</v>
      </c>
      <c r="K16" s="8" t="s">
        <v>160</v>
      </c>
      <c r="L16" s="8" t="s">
        <v>159</v>
      </c>
      <c r="M16" s="8" t="s">
        <v>160</v>
      </c>
      <c r="N16" s="8" t="s">
        <v>159</v>
      </c>
      <c r="O16" s="8" t="s">
        <v>159</v>
      </c>
      <c r="P16" s="8" t="s">
        <v>159</v>
      </c>
      <c r="Q16" s="8" t="s">
        <v>159</v>
      </c>
      <c r="R16" s="8" t="s">
        <v>159</v>
      </c>
      <c r="S16" s="8" t="s">
        <v>160</v>
      </c>
      <c r="T16" s="8" t="s">
        <v>159</v>
      </c>
      <c r="U16" s="8" t="s">
        <v>160</v>
      </c>
      <c r="V16" s="8" t="s">
        <v>160</v>
      </c>
      <c r="W16" s="8" t="s">
        <v>160</v>
      </c>
      <c r="X16" s="8" t="s">
        <v>160</v>
      </c>
      <c r="Y16" s="8" t="s">
        <v>159</v>
      </c>
      <c r="Z16" s="8" t="s">
        <v>159</v>
      </c>
      <c r="AA16" s="8" t="s">
        <v>159</v>
      </c>
      <c r="AB16" s="8" t="s">
        <v>160</v>
      </c>
      <c r="AC16" s="9">
        <f t="shared" si="0"/>
        <v>9</v>
      </c>
      <c r="AD16" s="9">
        <f t="shared" si="1"/>
        <v>14</v>
      </c>
      <c r="AE16" s="10">
        <f t="shared" si="2"/>
        <v>25</v>
      </c>
    </row>
    <row r="17" spans="1:31" ht="21" customHeight="1" x14ac:dyDescent="0.35">
      <c r="A17" s="11">
        <v>16</v>
      </c>
      <c r="B17" s="11" t="s">
        <v>323</v>
      </c>
      <c r="C17" s="11" t="s">
        <v>324</v>
      </c>
      <c r="D17" s="12" t="s">
        <v>325</v>
      </c>
      <c r="E17" s="13" t="s">
        <v>160</v>
      </c>
      <c r="F17" s="13" t="s">
        <v>159</v>
      </c>
      <c r="G17" s="13" t="s">
        <v>159</v>
      </c>
      <c r="H17" s="13" t="s">
        <v>160</v>
      </c>
      <c r="I17" s="13" t="s">
        <v>160</v>
      </c>
      <c r="J17" s="13" t="s">
        <v>160</v>
      </c>
      <c r="K17" s="13" t="s">
        <v>160</v>
      </c>
      <c r="L17" s="13" t="s">
        <v>159</v>
      </c>
      <c r="M17" s="13" t="s">
        <v>160</v>
      </c>
      <c r="N17" s="13" t="s">
        <v>160</v>
      </c>
      <c r="O17" s="13" t="s">
        <v>160</v>
      </c>
      <c r="P17" s="13" t="s">
        <v>160</v>
      </c>
      <c r="Q17" s="13" t="s">
        <v>160</v>
      </c>
      <c r="R17" s="13" t="s">
        <v>160</v>
      </c>
      <c r="S17" s="13" t="s">
        <v>160</v>
      </c>
      <c r="T17" s="13" t="s">
        <v>160</v>
      </c>
      <c r="U17" s="13" t="s">
        <v>160</v>
      </c>
      <c r="V17" s="13" t="s">
        <v>160</v>
      </c>
      <c r="W17" s="13" t="s">
        <v>160</v>
      </c>
      <c r="X17" s="13" t="s">
        <v>160</v>
      </c>
      <c r="Y17" s="13" t="s">
        <v>160</v>
      </c>
      <c r="Z17" s="13" t="s">
        <v>160</v>
      </c>
      <c r="AA17" s="13" t="s">
        <v>159</v>
      </c>
      <c r="AB17" s="13" t="s">
        <v>159</v>
      </c>
      <c r="AC17" s="9">
        <f t="shared" si="0"/>
        <v>19</v>
      </c>
      <c r="AD17" s="9">
        <f t="shared" si="1"/>
        <v>5</v>
      </c>
      <c r="AE17" s="10">
        <f t="shared" si="2"/>
        <v>-70</v>
      </c>
    </row>
    <row r="18" spans="1:31" ht="21" customHeight="1" x14ac:dyDescent="0.35">
      <c r="A18" s="6">
        <v>17</v>
      </c>
      <c r="B18" s="6" t="s">
        <v>326</v>
      </c>
      <c r="C18" s="6" t="s">
        <v>327</v>
      </c>
      <c r="D18" s="7" t="s">
        <v>328</v>
      </c>
      <c r="E18" s="8" t="s">
        <v>159</v>
      </c>
      <c r="F18" s="8" t="s">
        <v>159</v>
      </c>
      <c r="G18" s="8" t="s">
        <v>182</v>
      </c>
      <c r="H18" s="8" t="s">
        <v>159</v>
      </c>
      <c r="I18" s="8" t="s">
        <v>182</v>
      </c>
      <c r="J18" s="8" t="s">
        <v>182</v>
      </c>
      <c r="K18" s="8" t="s">
        <v>160</v>
      </c>
      <c r="L18" s="8" t="s">
        <v>159</v>
      </c>
      <c r="M18" s="8" t="s">
        <v>160</v>
      </c>
      <c r="N18" s="8" t="s">
        <v>159</v>
      </c>
      <c r="O18" s="8" t="s">
        <v>159</v>
      </c>
      <c r="P18" s="8" t="s">
        <v>159</v>
      </c>
      <c r="Q18" s="8" t="s">
        <v>159</v>
      </c>
      <c r="R18" s="8" t="s">
        <v>159</v>
      </c>
      <c r="S18" s="8" t="s">
        <v>160</v>
      </c>
      <c r="T18" s="8" t="s">
        <v>159</v>
      </c>
      <c r="U18" s="8" t="s">
        <v>159</v>
      </c>
      <c r="V18" s="8" t="s">
        <v>159</v>
      </c>
      <c r="W18" s="8" t="s">
        <v>159</v>
      </c>
      <c r="X18" s="8" t="s">
        <v>160</v>
      </c>
      <c r="Y18" s="8" t="s">
        <v>159</v>
      </c>
      <c r="Z18" s="8" t="s">
        <v>159</v>
      </c>
      <c r="AA18" s="8" t="s">
        <v>159</v>
      </c>
      <c r="AB18" s="8" t="s">
        <v>159</v>
      </c>
      <c r="AC18" s="9">
        <f t="shared" si="0"/>
        <v>4</v>
      </c>
      <c r="AD18" s="9">
        <f t="shared" si="1"/>
        <v>17</v>
      </c>
      <c r="AE18" s="10">
        <f t="shared" si="2"/>
        <v>65</v>
      </c>
    </row>
    <row r="19" spans="1:31" ht="21" customHeight="1" x14ac:dyDescent="0.35">
      <c r="A19" s="11">
        <v>18</v>
      </c>
      <c r="B19" s="11" t="s">
        <v>329</v>
      </c>
      <c r="C19" s="11" t="s">
        <v>330</v>
      </c>
      <c r="D19" s="12" t="s">
        <v>331</v>
      </c>
      <c r="E19" s="13" t="s">
        <v>182</v>
      </c>
      <c r="F19" s="13" t="s">
        <v>159</v>
      </c>
      <c r="G19" s="13" t="s">
        <v>159</v>
      </c>
      <c r="H19" s="13" t="s">
        <v>182</v>
      </c>
      <c r="I19" s="13" t="s">
        <v>182</v>
      </c>
      <c r="J19" s="13" t="s">
        <v>182</v>
      </c>
      <c r="K19" s="13" t="s">
        <v>160</v>
      </c>
      <c r="L19" s="13" t="s">
        <v>160</v>
      </c>
      <c r="M19" s="13" t="s">
        <v>160</v>
      </c>
      <c r="N19" s="13" t="s">
        <v>160</v>
      </c>
      <c r="O19" s="13" t="s">
        <v>160</v>
      </c>
      <c r="P19" s="13" t="s">
        <v>160</v>
      </c>
      <c r="Q19" s="13" t="s">
        <v>160</v>
      </c>
      <c r="R19" s="13" t="s">
        <v>160</v>
      </c>
      <c r="S19" s="13" t="s">
        <v>160</v>
      </c>
      <c r="T19" s="13" t="s">
        <v>160</v>
      </c>
      <c r="U19" s="13" t="s">
        <v>160</v>
      </c>
      <c r="V19" s="13" t="s">
        <v>160</v>
      </c>
      <c r="W19" s="13" t="s">
        <v>160</v>
      </c>
      <c r="X19" s="13" t="s">
        <v>159</v>
      </c>
      <c r="Y19" s="13" t="s">
        <v>182</v>
      </c>
      <c r="Z19" s="13" t="s">
        <v>159</v>
      </c>
      <c r="AA19" s="13" t="s">
        <v>159</v>
      </c>
      <c r="AB19" s="13" t="s">
        <v>159</v>
      </c>
      <c r="AC19" s="9">
        <f t="shared" si="0"/>
        <v>13</v>
      </c>
      <c r="AD19" s="9">
        <f t="shared" si="1"/>
        <v>6</v>
      </c>
      <c r="AE19" s="10">
        <f t="shared" si="2"/>
        <v>-35</v>
      </c>
    </row>
    <row r="20" spans="1:31" ht="21" customHeight="1" x14ac:dyDescent="0.35">
      <c r="A20" s="6">
        <v>19</v>
      </c>
      <c r="B20" s="6" t="s">
        <v>332</v>
      </c>
      <c r="C20" s="6" t="s">
        <v>333</v>
      </c>
      <c r="D20" s="7" t="s">
        <v>334</v>
      </c>
      <c r="E20" s="8" t="s">
        <v>159</v>
      </c>
      <c r="F20" s="8" t="s">
        <v>182</v>
      </c>
      <c r="G20" s="8" t="s">
        <v>160</v>
      </c>
      <c r="H20" s="8" t="s">
        <v>159</v>
      </c>
      <c r="I20" s="8" t="s">
        <v>159</v>
      </c>
      <c r="J20" s="8" t="s">
        <v>159</v>
      </c>
      <c r="K20" s="8" t="s">
        <v>160</v>
      </c>
      <c r="L20" s="8" t="s">
        <v>159</v>
      </c>
      <c r="M20" s="8" t="s">
        <v>159</v>
      </c>
      <c r="N20" s="8" t="s">
        <v>159</v>
      </c>
      <c r="O20" s="8" t="s">
        <v>159</v>
      </c>
      <c r="P20" s="8" t="s">
        <v>159</v>
      </c>
      <c r="Q20" s="8" t="s">
        <v>159</v>
      </c>
      <c r="R20" s="8" t="s">
        <v>159</v>
      </c>
      <c r="S20" s="8" t="s">
        <v>160</v>
      </c>
      <c r="T20" s="8" t="s">
        <v>159</v>
      </c>
      <c r="U20" s="8" t="s">
        <v>160</v>
      </c>
      <c r="V20" s="8" t="s">
        <v>160</v>
      </c>
      <c r="W20" s="8" t="s">
        <v>160</v>
      </c>
      <c r="X20" s="8" t="s">
        <v>159</v>
      </c>
      <c r="Y20" s="8" t="s">
        <v>159</v>
      </c>
      <c r="Z20" s="8" t="s">
        <v>159</v>
      </c>
      <c r="AA20" s="8" t="s">
        <v>160</v>
      </c>
      <c r="AB20" s="8" t="s">
        <v>159</v>
      </c>
      <c r="AC20" s="9">
        <f t="shared" si="0"/>
        <v>7</v>
      </c>
      <c r="AD20" s="9">
        <f t="shared" si="1"/>
        <v>16</v>
      </c>
      <c r="AE20" s="10">
        <f t="shared" si="2"/>
        <v>45</v>
      </c>
    </row>
    <row r="21" spans="1:31" ht="21" customHeight="1" x14ac:dyDescent="0.35">
      <c r="A21" s="11">
        <v>20</v>
      </c>
      <c r="B21" s="11" t="s">
        <v>335</v>
      </c>
      <c r="C21" s="11" t="s">
        <v>336</v>
      </c>
      <c r="D21" s="12" t="s">
        <v>337</v>
      </c>
      <c r="E21" s="13" t="s">
        <v>159</v>
      </c>
      <c r="F21" s="13" t="s">
        <v>159</v>
      </c>
      <c r="G21" s="13" t="s">
        <v>159</v>
      </c>
      <c r="H21" s="13" t="s">
        <v>159</v>
      </c>
      <c r="I21" s="13" t="s">
        <v>159</v>
      </c>
      <c r="J21" s="13" t="s">
        <v>159</v>
      </c>
      <c r="K21" s="13" t="s">
        <v>159</v>
      </c>
      <c r="L21" s="13" t="s">
        <v>159</v>
      </c>
      <c r="M21" s="13" t="s">
        <v>159</v>
      </c>
      <c r="N21" s="13" t="s">
        <v>160</v>
      </c>
      <c r="O21" s="13" t="s">
        <v>159</v>
      </c>
      <c r="P21" s="13" t="s">
        <v>159</v>
      </c>
      <c r="Q21" s="13" t="s">
        <v>159</v>
      </c>
      <c r="R21" s="13" t="s">
        <v>159</v>
      </c>
      <c r="S21" s="13" t="s">
        <v>159</v>
      </c>
      <c r="T21" s="13" t="s">
        <v>159</v>
      </c>
      <c r="U21" s="13" t="s">
        <v>159</v>
      </c>
      <c r="V21" s="13" t="s">
        <v>159</v>
      </c>
      <c r="W21" s="13" t="s">
        <v>159</v>
      </c>
      <c r="X21" s="13" t="s">
        <v>160</v>
      </c>
      <c r="Y21" s="13" t="s">
        <v>159</v>
      </c>
      <c r="Z21" s="13" t="s">
        <v>159</v>
      </c>
      <c r="AA21" s="13" t="s">
        <v>159</v>
      </c>
      <c r="AB21" s="13" t="s">
        <v>160</v>
      </c>
      <c r="AC21" s="9">
        <f t="shared" si="0"/>
        <v>3</v>
      </c>
      <c r="AD21" s="9">
        <f t="shared" si="1"/>
        <v>21</v>
      </c>
      <c r="AE21" s="10">
        <f t="shared" si="2"/>
        <v>90</v>
      </c>
    </row>
    <row r="22" spans="1:31" ht="21" customHeight="1" x14ac:dyDescent="0.35">
      <c r="A22" s="6">
        <v>21</v>
      </c>
      <c r="B22" s="6" t="s">
        <v>338</v>
      </c>
      <c r="C22" s="6" t="s">
        <v>339</v>
      </c>
      <c r="D22" s="7" t="s">
        <v>340</v>
      </c>
      <c r="E22" s="8" t="s">
        <v>159</v>
      </c>
      <c r="F22" s="8" t="s">
        <v>159</v>
      </c>
      <c r="G22" s="8" t="s">
        <v>160</v>
      </c>
      <c r="H22" s="8" t="s">
        <v>159</v>
      </c>
      <c r="I22" s="8" t="s">
        <v>159</v>
      </c>
      <c r="J22" s="8" t="s">
        <v>160</v>
      </c>
      <c r="K22" s="8" t="s">
        <v>160</v>
      </c>
      <c r="L22" s="8" t="s">
        <v>160</v>
      </c>
      <c r="M22" s="8" t="s">
        <v>159</v>
      </c>
      <c r="N22" s="8" t="s">
        <v>159</v>
      </c>
      <c r="O22" s="8" t="s">
        <v>159</v>
      </c>
      <c r="P22" s="8" t="s">
        <v>160</v>
      </c>
      <c r="Q22" s="8" t="s">
        <v>160</v>
      </c>
      <c r="R22" s="8" t="s">
        <v>160</v>
      </c>
      <c r="S22" s="8" t="s">
        <v>160</v>
      </c>
      <c r="T22" s="8" t="s">
        <v>160</v>
      </c>
      <c r="U22" s="8" t="s">
        <v>160</v>
      </c>
      <c r="V22" s="8" t="s">
        <v>160</v>
      </c>
      <c r="W22" s="8" t="s">
        <v>160</v>
      </c>
      <c r="X22" s="8" t="s">
        <v>159</v>
      </c>
      <c r="Y22" s="8" t="s">
        <v>160</v>
      </c>
      <c r="Z22" s="8" t="s">
        <v>159</v>
      </c>
      <c r="AA22" s="8" t="s">
        <v>159</v>
      </c>
      <c r="AB22" s="8" t="s">
        <v>159</v>
      </c>
      <c r="AC22" s="9">
        <f t="shared" si="0"/>
        <v>13</v>
      </c>
      <c r="AD22" s="9">
        <f t="shared" si="1"/>
        <v>11</v>
      </c>
      <c r="AE22" s="10">
        <f t="shared" si="2"/>
        <v>-10</v>
      </c>
    </row>
    <row r="23" spans="1:31" ht="21" customHeight="1" x14ac:dyDescent="0.35">
      <c r="A23" s="11">
        <v>22</v>
      </c>
      <c r="B23" s="11" t="s">
        <v>341</v>
      </c>
      <c r="C23" s="11" t="s">
        <v>342</v>
      </c>
      <c r="D23" s="12" t="s">
        <v>343</v>
      </c>
      <c r="E23" s="13" t="s">
        <v>159</v>
      </c>
      <c r="F23" s="13" t="s">
        <v>159</v>
      </c>
      <c r="G23" s="13" t="s">
        <v>160</v>
      </c>
      <c r="H23" s="13" t="s">
        <v>159</v>
      </c>
      <c r="I23" s="13" t="s">
        <v>182</v>
      </c>
      <c r="J23" s="13" t="s">
        <v>182</v>
      </c>
      <c r="K23" s="13" t="s">
        <v>160</v>
      </c>
      <c r="L23" s="13" t="s">
        <v>160</v>
      </c>
      <c r="M23" s="13" t="s">
        <v>160</v>
      </c>
      <c r="N23" s="13" t="s">
        <v>160</v>
      </c>
      <c r="O23" s="13" t="s">
        <v>159</v>
      </c>
      <c r="P23" s="13" t="s">
        <v>160</v>
      </c>
      <c r="Q23" s="13" t="s">
        <v>159</v>
      </c>
      <c r="R23" s="13" t="s">
        <v>160</v>
      </c>
      <c r="S23" s="13" t="s">
        <v>160</v>
      </c>
      <c r="T23" s="13" t="s">
        <v>160</v>
      </c>
      <c r="U23" s="13" t="s">
        <v>160</v>
      </c>
      <c r="V23" s="13" t="s">
        <v>159</v>
      </c>
      <c r="W23" s="13" t="s">
        <v>159</v>
      </c>
      <c r="X23" s="13" t="s">
        <v>159</v>
      </c>
      <c r="Y23" s="13" t="s">
        <v>159</v>
      </c>
      <c r="Z23" s="13" t="s">
        <v>159</v>
      </c>
      <c r="AA23" s="13" t="s">
        <v>159</v>
      </c>
      <c r="AB23" s="13" t="s">
        <v>160</v>
      </c>
      <c r="AC23" s="9">
        <f t="shared" si="0"/>
        <v>11</v>
      </c>
      <c r="AD23" s="9">
        <f t="shared" si="1"/>
        <v>11</v>
      </c>
      <c r="AE23" s="10">
        <f t="shared" si="2"/>
        <v>0</v>
      </c>
    </row>
    <row r="24" spans="1:31" ht="21" customHeight="1" x14ac:dyDescent="0.35">
      <c r="A24" s="6">
        <v>23</v>
      </c>
      <c r="B24" s="6" t="s">
        <v>344</v>
      </c>
      <c r="C24" s="6" t="s">
        <v>345</v>
      </c>
      <c r="D24" s="7" t="s">
        <v>346</v>
      </c>
      <c r="E24" s="8" t="s">
        <v>159</v>
      </c>
      <c r="F24" s="8" t="s">
        <v>160</v>
      </c>
      <c r="G24" s="8" t="s">
        <v>159</v>
      </c>
      <c r="H24" s="8" t="s">
        <v>159</v>
      </c>
      <c r="I24" s="8" t="s">
        <v>159</v>
      </c>
      <c r="J24" s="8" t="s">
        <v>159</v>
      </c>
      <c r="K24" s="8" t="s">
        <v>159</v>
      </c>
      <c r="L24" s="8" t="s">
        <v>160</v>
      </c>
      <c r="M24" s="8" t="s">
        <v>159</v>
      </c>
      <c r="N24" s="8" t="s">
        <v>160</v>
      </c>
      <c r="O24" s="8" t="s">
        <v>160</v>
      </c>
      <c r="P24" s="8" t="s">
        <v>160</v>
      </c>
      <c r="Q24" s="8" t="s">
        <v>159</v>
      </c>
      <c r="R24" s="8" t="s">
        <v>160</v>
      </c>
      <c r="S24" s="8" t="s">
        <v>160</v>
      </c>
      <c r="T24" s="8" t="s">
        <v>160</v>
      </c>
      <c r="U24" s="8" t="s">
        <v>160</v>
      </c>
      <c r="V24" s="8" t="s">
        <v>160</v>
      </c>
      <c r="W24" s="8" t="s">
        <v>160</v>
      </c>
      <c r="X24" s="8" t="s">
        <v>159</v>
      </c>
      <c r="Y24" s="8" t="s">
        <v>159</v>
      </c>
      <c r="Z24" s="8" t="s">
        <v>159</v>
      </c>
      <c r="AA24" s="8" t="s">
        <v>182</v>
      </c>
      <c r="AB24" s="8" t="s">
        <v>159</v>
      </c>
      <c r="AC24" s="9">
        <f t="shared" si="0"/>
        <v>11</v>
      </c>
      <c r="AD24" s="9">
        <f t="shared" si="1"/>
        <v>12</v>
      </c>
      <c r="AE24" s="10">
        <f t="shared" si="2"/>
        <v>5</v>
      </c>
    </row>
    <row r="25" spans="1:31" ht="21" customHeight="1" x14ac:dyDescent="0.35">
      <c r="A25" s="11">
        <v>24</v>
      </c>
      <c r="B25" s="11" t="s">
        <v>347</v>
      </c>
      <c r="C25" s="11" t="s">
        <v>348</v>
      </c>
      <c r="D25" s="12" t="s">
        <v>349</v>
      </c>
      <c r="E25" s="13" t="s">
        <v>159</v>
      </c>
      <c r="F25" s="13" t="s">
        <v>159</v>
      </c>
      <c r="G25" s="13" t="s">
        <v>182</v>
      </c>
      <c r="H25" s="13" t="s">
        <v>159</v>
      </c>
      <c r="I25" s="13" t="s">
        <v>159</v>
      </c>
      <c r="J25" s="13" t="s">
        <v>159</v>
      </c>
      <c r="K25" s="13" t="s">
        <v>159</v>
      </c>
      <c r="L25" s="13" t="s">
        <v>159</v>
      </c>
      <c r="M25" s="13" t="s">
        <v>160</v>
      </c>
      <c r="N25" s="13" t="s">
        <v>159</v>
      </c>
      <c r="O25" s="13" t="s">
        <v>159</v>
      </c>
      <c r="P25" s="13" t="s">
        <v>159</v>
      </c>
      <c r="Q25" s="13" t="s">
        <v>159</v>
      </c>
      <c r="R25" s="13" t="s">
        <v>159</v>
      </c>
      <c r="S25" s="13" t="s">
        <v>160</v>
      </c>
      <c r="T25" s="13" t="s">
        <v>160</v>
      </c>
      <c r="U25" s="13" t="s">
        <v>160</v>
      </c>
      <c r="V25" s="13" t="s">
        <v>159</v>
      </c>
      <c r="W25" s="13" t="s">
        <v>160</v>
      </c>
      <c r="X25" s="13" t="s">
        <v>160</v>
      </c>
      <c r="Y25" s="13" t="s">
        <v>159</v>
      </c>
      <c r="Z25" s="13" t="s">
        <v>159</v>
      </c>
      <c r="AA25" s="13" t="s">
        <v>182</v>
      </c>
      <c r="AB25" s="13" t="s">
        <v>159</v>
      </c>
      <c r="AC25" s="9">
        <f t="shared" si="0"/>
        <v>6</v>
      </c>
      <c r="AD25" s="9">
        <f t="shared" si="1"/>
        <v>16</v>
      </c>
      <c r="AE25" s="10">
        <f t="shared" si="2"/>
        <v>50</v>
      </c>
    </row>
    <row r="26" spans="1:31" ht="21" customHeight="1" x14ac:dyDescent="0.35">
      <c r="A26" s="6">
        <v>25</v>
      </c>
      <c r="B26" s="6" t="s">
        <v>350</v>
      </c>
      <c r="C26" s="6" t="s">
        <v>351</v>
      </c>
      <c r="D26" s="7" t="s">
        <v>352</v>
      </c>
      <c r="E26" s="8" t="s">
        <v>159</v>
      </c>
      <c r="F26" s="8" t="s">
        <v>159</v>
      </c>
      <c r="G26" s="8" t="s">
        <v>160</v>
      </c>
      <c r="H26" s="8" t="s">
        <v>159</v>
      </c>
      <c r="I26" s="8" t="s">
        <v>160</v>
      </c>
      <c r="J26" s="8" t="s">
        <v>160</v>
      </c>
      <c r="K26" s="8" t="s">
        <v>159</v>
      </c>
      <c r="L26" s="8" t="s">
        <v>160</v>
      </c>
      <c r="M26" s="8" t="s">
        <v>160</v>
      </c>
      <c r="N26" s="8" t="s">
        <v>159</v>
      </c>
      <c r="O26" s="8" t="s">
        <v>159</v>
      </c>
      <c r="P26" s="8" t="s">
        <v>160</v>
      </c>
      <c r="Q26" s="8" t="s">
        <v>160</v>
      </c>
      <c r="R26" s="8" t="s">
        <v>160</v>
      </c>
      <c r="S26" s="8" t="s">
        <v>159</v>
      </c>
      <c r="T26" s="8" t="s">
        <v>160</v>
      </c>
      <c r="U26" s="8" t="s">
        <v>159</v>
      </c>
      <c r="V26" s="8" t="s">
        <v>159</v>
      </c>
      <c r="W26" s="8" t="s">
        <v>160</v>
      </c>
      <c r="X26" s="8" t="s">
        <v>159</v>
      </c>
      <c r="Y26" s="8" t="s">
        <v>159</v>
      </c>
      <c r="Z26" s="8" t="s">
        <v>159</v>
      </c>
      <c r="AA26" s="8" t="s">
        <v>160</v>
      </c>
      <c r="AB26" s="8" t="s">
        <v>160</v>
      </c>
      <c r="AC26" s="9">
        <f t="shared" si="0"/>
        <v>12</v>
      </c>
      <c r="AD26" s="9">
        <f t="shared" si="1"/>
        <v>12</v>
      </c>
      <c r="AE26" s="10">
        <f t="shared" si="2"/>
        <v>0</v>
      </c>
    </row>
    <row r="27" spans="1:31" ht="21" customHeight="1" x14ac:dyDescent="0.35">
      <c r="A27" s="11">
        <v>26</v>
      </c>
      <c r="B27" s="11" t="s">
        <v>353</v>
      </c>
      <c r="C27" s="11" t="s">
        <v>354</v>
      </c>
      <c r="D27" s="12" t="s">
        <v>355</v>
      </c>
      <c r="E27" s="13" t="s">
        <v>159</v>
      </c>
      <c r="F27" s="13" t="s">
        <v>159</v>
      </c>
      <c r="G27" s="13" t="s">
        <v>159</v>
      </c>
      <c r="H27" s="13" t="s">
        <v>159</v>
      </c>
      <c r="I27" s="13" t="s">
        <v>160</v>
      </c>
      <c r="J27" s="13" t="s">
        <v>159</v>
      </c>
      <c r="K27" s="13" t="s">
        <v>159</v>
      </c>
      <c r="L27" s="13" t="s">
        <v>159</v>
      </c>
      <c r="M27" s="13" t="s">
        <v>159</v>
      </c>
      <c r="N27" s="13" t="s">
        <v>160</v>
      </c>
      <c r="O27" s="13" t="s">
        <v>159</v>
      </c>
      <c r="P27" s="13" t="s">
        <v>159</v>
      </c>
      <c r="Q27" s="13" t="s">
        <v>160</v>
      </c>
      <c r="R27" s="13" t="s">
        <v>159</v>
      </c>
      <c r="S27" s="13" t="s">
        <v>160</v>
      </c>
      <c r="T27" s="13" t="s">
        <v>159</v>
      </c>
      <c r="U27" s="13" t="s">
        <v>160</v>
      </c>
      <c r="V27" s="13" t="s">
        <v>159</v>
      </c>
      <c r="W27" s="13" t="s">
        <v>160</v>
      </c>
      <c r="X27" s="13" t="s">
        <v>160</v>
      </c>
      <c r="Y27" s="13" t="s">
        <v>159</v>
      </c>
      <c r="Z27" s="13" t="s">
        <v>160</v>
      </c>
      <c r="AA27" s="13" t="s">
        <v>159</v>
      </c>
      <c r="AB27" s="13" t="s">
        <v>159</v>
      </c>
      <c r="AC27" s="9">
        <f t="shared" si="0"/>
        <v>8</v>
      </c>
      <c r="AD27" s="9">
        <f t="shared" si="1"/>
        <v>16</v>
      </c>
      <c r="AE27" s="10">
        <f t="shared" si="2"/>
        <v>40</v>
      </c>
    </row>
    <row r="28" spans="1:31" ht="21" customHeight="1" x14ac:dyDescent="0.35">
      <c r="A28" s="6">
        <v>27</v>
      </c>
      <c r="B28" s="6" t="s">
        <v>356</v>
      </c>
      <c r="C28" s="6" t="s">
        <v>357</v>
      </c>
      <c r="D28" s="7" t="s">
        <v>358</v>
      </c>
      <c r="E28" s="8" t="s">
        <v>160</v>
      </c>
      <c r="F28" s="8" t="s">
        <v>159</v>
      </c>
      <c r="G28" s="8" t="s">
        <v>159</v>
      </c>
      <c r="H28" s="8" t="s">
        <v>160</v>
      </c>
      <c r="I28" s="8" t="s">
        <v>159</v>
      </c>
      <c r="J28" s="8" t="s">
        <v>160</v>
      </c>
      <c r="K28" s="8" t="s">
        <v>159</v>
      </c>
      <c r="L28" s="8" t="s">
        <v>160</v>
      </c>
      <c r="M28" s="8" t="s">
        <v>160</v>
      </c>
      <c r="N28" s="8" t="s">
        <v>159</v>
      </c>
      <c r="O28" s="8" t="s">
        <v>159</v>
      </c>
      <c r="P28" s="8" t="s">
        <v>160</v>
      </c>
      <c r="Q28" s="8" t="s">
        <v>160</v>
      </c>
      <c r="R28" s="8" t="s">
        <v>159</v>
      </c>
      <c r="S28" s="8" t="s">
        <v>159</v>
      </c>
      <c r="T28" s="8" t="s">
        <v>160</v>
      </c>
      <c r="U28" s="8" t="s">
        <v>160</v>
      </c>
      <c r="V28" s="8" t="s">
        <v>159</v>
      </c>
      <c r="W28" s="8" t="s">
        <v>160</v>
      </c>
      <c r="X28" s="8" t="s">
        <v>159</v>
      </c>
      <c r="Y28" s="8" t="s">
        <v>159</v>
      </c>
      <c r="Z28" s="8" t="s">
        <v>160</v>
      </c>
      <c r="AA28" s="8" t="s">
        <v>160</v>
      </c>
      <c r="AB28" s="8" t="s">
        <v>160</v>
      </c>
      <c r="AC28" s="9">
        <f t="shared" si="0"/>
        <v>13</v>
      </c>
      <c r="AD28" s="9">
        <f t="shared" si="1"/>
        <v>11</v>
      </c>
      <c r="AE28" s="10">
        <f t="shared" si="2"/>
        <v>-10</v>
      </c>
    </row>
    <row r="29" spans="1:31" ht="21" customHeight="1" x14ac:dyDescent="0.35">
      <c r="A29" s="11">
        <v>28</v>
      </c>
      <c r="B29" s="11" t="s">
        <v>359</v>
      </c>
      <c r="C29" s="11" t="s">
        <v>360</v>
      </c>
      <c r="D29" s="12" t="s">
        <v>361</v>
      </c>
      <c r="E29" s="13" t="s">
        <v>159</v>
      </c>
      <c r="F29" s="13" t="s">
        <v>160</v>
      </c>
      <c r="G29" s="13" t="s">
        <v>159</v>
      </c>
      <c r="H29" s="13" t="s">
        <v>159</v>
      </c>
      <c r="I29" s="13" t="s">
        <v>160</v>
      </c>
      <c r="J29" s="13" t="s">
        <v>159</v>
      </c>
      <c r="K29" s="13" t="s">
        <v>159</v>
      </c>
      <c r="L29" s="13" t="s">
        <v>159</v>
      </c>
      <c r="M29" s="13" t="s">
        <v>160</v>
      </c>
      <c r="N29" s="13" t="s">
        <v>159</v>
      </c>
      <c r="O29" s="13" t="s">
        <v>160</v>
      </c>
      <c r="P29" s="13" t="s">
        <v>160</v>
      </c>
      <c r="Q29" s="13" t="s">
        <v>159</v>
      </c>
      <c r="R29" s="13" t="s">
        <v>159</v>
      </c>
      <c r="S29" s="13" t="s">
        <v>159</v>
      </c>
      <c r="T29" s="13" t="s">
        <v>159</v>
      </c>
      <c r="U29" s="13" t="s">
        <v>159</v>
      </c>
      <c r="V29" s="13" t="s">
        <v>159</v>
      </c>
      <c r="W29" s="13" t="s">
        <v>160</v>
      </c>
      <c r="X29" s="13" t="s">
        <v>160</v>
      </c>
      <c r="Y29" s="13" t="s">
        <v>160</v>
      </c>
      <c r="Z29" s="13" t="s">
        <v>160</v>
      </c>
      <c r="AA29" s="13" t="s">
        <v>159</v>
      </c>
      <c r="AB29" s="13" t="s">
        <v>160</v>
      </c>
      <c r="AC29" s="9">
        <f t="shared" si="0"/>
        <v>10</v>
      </c>
      <c r="AD29" s="9">
        <f t="shared" si="1"/>
        <v>14</v>
      </c>
      <c r="AE29" s="10">
        <f t="shared" si="2"/>
        <v>20</v>
      </c>
    </row>
    <row r="30" spans="1:31" ht="21" customHeight="1" x14ac:dyDescent="0.35">
      <c r="A30" s="6">
        <v>29</v>
      </c>
      <c r="B30" s="6" t="s">
        <v>362</v>
      </c>
      <c r="C30" s="6" t="s">
        <v>363</v>
      </c>
      <c r="D30" s="7" t="s">
        <v>364</v>
      </c>
      <c r="E30" s="8" t="s">
        <v>159</v>
      </c>
      <c r="F30" s="8" t="s">
        <v>160</v>
      </c>
      <c r="G30" s="8" t="s">
        <v>159</v>
      </c>
      <c r="H30" s="8" t="s">
        <v>159</v>
      </c>
      <c r="I30" s="8" t="s">
        <v>159</v>
      </c>
      <c r="J30" s="8" t="s">
        <v>160</v>
      </c>
      <c r="K30" s="8" t="s">
        <v>159</v>
      </c>
      <c r="L30" s="8" t="s">
        <v>159</v>
      </c>
      <c r="M30" s="8" t="s">
        <v>160</v>
      </c>
      <c r="N30" s="8" t="s">
        <v>159</v>
      </c>
      <c r="O30" s="8" t="s">
        <v>160</v>
      </c>
      <c r="P30" s="8" t="s">
        <v>159</v>
      </c>
      <c r="Q30" s="8" t="s">
        <v>159</v>
      </c>
      <c r="R30" s="8" t="s">
        <v>160</v>
      </c>
      <c r="S30" s="8" t="s">
        <v>160</v>
      </c>
      <c r="T30" s="8" t="s">
        <v>159</v>
      </c>
      <c r="U30" s="8" t="s">
        <v>160</v>
      </c>
      <c r="V30" s="8" t="s">
        <v>159</v>
      </c>
      <c r="W30" s="8" t="s">
        <v>160</v>
      </c>
      <c r="X30" s="8" t="s">
        <v>159</v>
      </c>
      <c r="Y30" s="8" t="s">
        <v>160</v>
      </c>
      <c r="Z30" s="8" t="s">
        <v>159</v>
      </c>
      <c r="AA30" s="8" t="s">
        <v>182</v>
      </c>
      <c r="AB30" s="8" t="s">
        <v>159</v>
      </c>
      <c r="AC30" s="9">
        <f t="shared" si="0"/>
        <v>9</v>
      </c>
      <c r="AD30" s="9">
        <f t="shared" si="1"/>
        <v>14</v>
      </c>
      <c r="AE30" s="10">
        <f t="shared" si="2"/>
        <v>25</v>
      </c>
    </row>
    <row r="31" spans="1:31" ht="21" customHeight="1" x14ac:dyDescent="0.35">
      <c r="A31" s="11">
        <v>30</v>
      </c>
      <c r="B31" s="11" t="s">
        <v>365</v>
      </c>
      <c r="C31" s="11" t="s">
        <v>366</v>
      </c>
      <c r="D31" s="12" t="s">
        <v>367</v>
      </c>
      <c r="E31" s="13" t="s">
        <v>159</v>
      </c>
      <c r="F31" s="13" t="s">
        <v>159</v>
      </c>
      <c r="G31" s="13" t="s">
        <v>159</v>
      </c>
      <c r="H31" s="13" t="s">
        <v>159</v>
      </c>
      <c r="I31" s="13" t="s">
        <v>159</v>
      </c>
      <c r="J31" s="13" t="s">
        <v>159</v>
      </c>
      <c r="K31" s="13" t="s">
        <v>159</v>
      </c>
      <c r="L31" s="13" t="s">
        <v>159</v>
      </c>
      <c r="M31" s="13" t="s">
        <v>159</v>
      </c>
      <c r="N31" s="13" t="s">
        <v>160</v>
      </c>
      <c r="O31" s="13" t="s">
        <v>159</v>
      </c>
      <c r="P31" s="13" t="s">
        <v>160</v>
      </c>
      <c r="Q31" s="13" t="s">
        <v>159</v>
      </c>
      <c r="R31" s="13" t="s">
        <v>159</v>
      </c>
      <c r="S31" s="13" t="s">
        <v>160</v>
      </c>
      <c r="T31" s="13" t="s">
        <v>160</v>
      </c>
      <c r="U31" s="13" t="s">
        <v>160</v>
      </c>
      <c r="V31" s="13" t="s">
        <v>159</v>
      </c>
      <c r="W31" s="13" t="s">
        <v>160</v>
      </c>
      <c r="X31" s="13" t="s">
        <v>159</v>
      </c>
      <c r="Y31" s="13" t="s">
        <v>159</v>
      </c>
      <c r="Z31" s="13" t="s">
        <v>159</v>
      </c>
      <c r="AA31" s="13" t="s">
        <v>182</v>
      </c>
      <c r="AB31" s="13" t="s">
        <v>160</v>
      </c>
      <c r="AC31" s="9">
        <f t="shared" si="0"/>
        <v>7</v>
      </c>
      <c r="AD31" s="9">
        <f t="shared" si="1"/>
        <v>16</v>
      </c>
      <c r="AE31" s="10">
        <f t="shared" si="2"/>
        <v>45</v>
      </c>
    </row>
    <row r="32" spans="1:31" ht="21" customHeight="1" x14ac:dyDescent="0.35">
      <c r="A32" s="6">
        <v>31</v>
      </c>
      <c r="B32" s="6" t="s">
        <v>368</v>
      </c>
      <c r="C32" s="6" t="s">
        <v>369</v>
      </c>
      <c r="D32" s="7" t="s">
        <v>370</v>
      </c>
      <c r="E32" s="8" t="s">
        <v>159</v>
      </c>
      <c r="F32" s="8" t="s">
        <v>159</v>
      </c>
      <c r="G32" s="8" t="s">
        <v>159</v>
      </c>
      <c r="H32" s="8" t="s">
        <v>159</v>
      </c>
      <c r="I32" s="8" t="s">
        <v>159</v>
      </c>
      <c r="J32" s="8" t="s">
        <v>159</v>
      </c>
      <c r="K32" s="8" t="s">
        <v>159</v>
      </c>
      <c r="L32" s="8" t="s">
        <v>159</v>
      </c>
      <c r="M32" s="8" t="s">
        <v>159</v>
      </c>
      <c r="N32" s="8" t="s">
        <v>160</v>
      </c>
      <c r="O32" s="8" t="s">
        <v>159</v>
      </c>
      <c r="P32" s="8" t="s">
        <v>159</v>
      </c>
      <c r="Q32" s="8" t="s">
        <v>159</v>
      </c>
      <c r="R32" s="8" t="s">
        <v>159</v>
      </c>
      <c r="S32" s="8" t="s">
        <v>159</v>
      </c>
      <c r="T32" s="8" t="s">
        <v>160</v>
      </c>
      <c r="U32" s="8" t="s">
        <v>160</v>
      </c>
      <c r="V32" s="8" t="s">
        <v>160</v>
      </c>
      <c r="W32" s="8" t="s">
        <v>160</v>
      </c>
      <c r="X32" s="8" t="s">
        <v>159</v>
      </c>
      <c r="Y32" s="8" t="s">
        <v>160</v>
      </c>
      <c r="Z32" s="8" t="s">
        <v>159</v>
      </c>
      <c r="AA32" s="8" t="s">
        <v>159</v>
      </c>
      <c r="AB32" s="8" t="s">
        <v>159</v>
      </c>
      <c r="AC32" s="9">
        <f t="shared" si="0"/>
        <v>6</v>
      </c>
      <c r="AD32" s="9">
        <f t="shared" si="1"/>
        <v>18</v>
      </c>
      <c r="AE32" s="10">
        <f t="shared" si="2"/>
        <v>60</v>
      </c>
    </row>
    <row r="33" spans="1:31" ht="21" customHeight="1" x14ac:dyDescent="0.35">
      <c r="A33" s="11">
        <v>32</v>
      </c>
      <c r="B33" s="11" t="s">
        <v>371</v>
      </c>
      <c r="C33" s="11" t="s">
        <v>372</v>
      </c>
      <c r="D33" s="12" t="s">
        <v>373</v>
      </c>
      <c r="E33" s="13" t="s">
        <v>159</v>
      </c>
      <c r="F33" s="13" t="s">
        <v>159</v>
      </c>
      <c r="G33" s="13" t="s">
        <v>160</v>
      </c>
      <c r="H33" s="13" t="s">
        <v>159</v>
      </c>
      <c r="I33" s="13" t="s">
        <v>182</v>
      </c>
      <c r="J33" s="13" t="s">
        <v>182</v>
      </c>
      <c r="K33" s="13" t="s">
        <v>160</v>
      </c>
      <c r="L33" s="13" t="s">
        <v>160</v>
      </c>
      <c r="M33" s="13" t="s">
        <v>160</v>
      </c>
      <c r="N33" s="13" t="s">
        <v>159</v>
      </c>
      <c r="O33" s="13" t="s">
        <v>159</v>
      </c>
      <c r="P33" s="13" t="s">
        <v>159</v>
      </c>
      <c r="Q33" s="13" t="s">
        <v>159</v>
      </c>
      <c r="R33" s="13" t="s">
        <v>159</v>
      </c>
      <c r="S33" s="13" t="s">
        <v>159</v>
      </c>
      <c r="T33" s="13" t="s">
        <v>159</v>
      </c>
      <c r="U33" s="13" t="s">
        <v>159</v>
      </c>
      <c r="V33" s="13" t="s">
        <v>160</v>
      </c>
      <c r="W33" s="13" t="s">
        <v>160</v>
      </c>
      <c r="X33" s="13" t="s">
        <v>159</v>
      </c>
      <c r="Y33" s="13" t="s">
        <v>160</v>
      </c>
      <c r="Z33" s="13" t="s">
        <v>160</v>
      </c>
      <c r="AA33" s="13" t="s">
        <v>160</v>
      </c>
      <c r="AB33" s="13" t="s">
        <v>159</v>
      </c>
      <c r="AC33" s="9">
        <f t="shared" si="0"/>
        <v>9</v>
      </c>
      <c r="AD33" s="9">
        <f t="shared" si="1"/>
        <v>13</v>
      </c>
      <c r="AE33" s="10">
        <f t="shared" si="2"/>
        <v>20</v>
      </c>
    </row>
    <row r="34" spans="1:31" ht="21" customHeight="1" x14ac:dyDescent="0.35">
      <c r="A34" s="6">
        <v>33</v>
      </c>
      <c r="B34" s="6" t="s">
        <v>374</v>
      </c>
      <c r="C34" s="6" t="s">
        <v>375</v>
      </c>
      <c r="D34" s="7" t="s">
        <v>376</v>
      </c>
      <c r="E34" s="8" t="s">
        <v>159</v>
      </c>
      <c r="F34" s="8" t="s">
        <v>159</v>
      </c>
      <c r="G34" s="8" t="s">
        <v>160</v>
      </c>
      <c r="H34" s="8" t="s">
        <v>159</v>
      </c>
      <c r="I34" s="8" t="s">
        <v>159</v>
      </c>
      <c r="J34" s="8" t="s">
        <v>160</v>
      </c>
      <c r="K34" s="8" t="s">
        <v>159</v>
      </c>
      <c r="L34" s="8" t="s">
        <v>159</v>
      </c>
      <c r="M34" s="8" t="s">
        <v>159</v>
      </c>
      <c r="N34" s="8" t="s">
        <v>159</v>
      </c>
      <c r="O34" s="8" t="s">
        <v>159</v>
      </c>
      <c r="P34" s="8" t="s">
        <v>159</v>
      </c>
      <c r="Q34" s="8" t="s">
        <v>159</v>
      </c>
      <c r="R34" s="8" t="s">
        <v>160</v>
      </c>
      <c r="S34" s="8" t="s">
        <v>159</v>
      </c>
      <c r="T34" s="8" t="s">
        <v>159</v>
      </c>
      <c r="U34" s="8" t="s">
        <v>159</v>
      </c>
      <c r="V34" s="8" t="s">
        <v>159</v>
      </c>
      <c r="W34" s="8" t="s">
        <v>159</v>
      </c>
      <c r="X34" s="8" t="s">
        <v>159</v>
      </c>
      <c r="Y34" s="8" t="s">
        <v>159</v>
      </c>
      <c r="Z34" s="8" t="s">
        <v>159</v>
      </c>
      <c r="AA34" s="8" t="s">
        <v>159</v>
      </c>
      <c r="AB34" s="8" t="s">
        <v>159</v>
      </c>
      <c r="AC34" s="9">
        <f t="shared" si="0"/>
        <v>3</v>
      </c>
      <c r="AD34" s="9">
        <f t="shared" si="1"/>
        <v>21</v>
      </c>
      <c r="AE34" s="10">
        <f t="shared" si="2"/>
        <v>90</v>
      </c>
    </row>
    <row r="35" spans="1:31" ht="21" customHeight="1" x14ac:dyDescent="0.35">
      <c r="A35" s="11">
        <v>34</v>
      </c>
      <c r="B35" s="11" t="s">
        <v>377</v>
      </c>
      <c r="C35" s="11" t="s">
        <v>378</v>
      </c>
      <c r="D35" s="12" t="s">
        <v>379</v>
      </c>
      <c r="E35" s="13" t="s">
        <v>159</v>
      </c>
      <c r="F35" s="13" t="s">
        <v>159</v>
      </c>
      <c r="G35" s="13" t="s">
        <v>159</v>
      </c>
      <c r="H35" s="13" t="s">
        <v>159</v>
      </c>
      <c r="I35" s="13" t="s">
        <v>159</v>
      </c>
      <c r="J35" s="13" t="s">
        <v>159</v>
      </c>
      <c r="K35" s="13" t="s">
        <v>159</v>
      </c>
      <c r="L35" s="13" t="s">
        <v>159</v>
      </c>
      <c r="M35" s="13" t="s">
        <v>159</v>
      </c>
      <c r="N35" s="13" t="s">
        <v>159</v>
      </c>
      <c r="O35" s="13" t="s">
        <v>159</v>
      </c>
      <c r="P35" s="13" t="s">
        <v>159</v>
      </c>
      <c r="Q35" s="13" t="s">
        <v>159</v>
      </c>
      <c r="R35" s="13" t="s">
        <v>160</v>
      </c>
      <c r="S35" s="13" t="s">
        <v>160</v>
      </c>
      <c r="T35" s="13" t="s">
        <v>160</v>
      </c>
      <c r="U35" s="13" t="s">
        <v>160</v>
      </c>
      <c r="V35" s="13" t="s">
        <v>160</v>
      </c>
      <c r="W35" s="13" t="s">
        <v>160</v>
      </c>
      <c r="X35" s="13" t="s">
        <v>159</v>
      </c>
      <c r="Y35" s="13" t="s">
        <v>159</v>
      </c>
      <c r="Z35" s="13" t="s">
        <v>160</v>
      </c>
      <c r="AA35" s="13" t="s">
        <v>159</v>
      </c>
      <c r="AB35" s="13" t="s">
        <v>159</v>
      </c>
      <c r="AC35" s="9">
        <f t="shared" si="0"/>
        <v>7</v>
      </c>
      <c r="AD35" s="9">
        <f t="shared" si="1"/>
        <v>17</v>
      </c>
      <c r="AE35" s="10">
        <f t="shared" si="2"/>
        <v>50</v>
      </c>
    </row>
    <row r="36" spans="1:31" ht="21" customHeight="1" x14ac:dyDescent="0.35">
      <c r="A36" s="6">
        <v>35</v>
      </c>
      <c r="B36" s="6" t="s">
        <v>380</v>
      </c>
      <c r="C36" s="6" t="s">
        <v>381</v>
      </c>
      <c r="D36" s="7" t="s">
        <v>382</v>
      </c>
      <c r="E36" s="8" t="s">
        <v>159</v>
      </c>
      <c r="F36" s="8" t="s">
        <v>159</v>
      </c>
      <c r="G36" s="8" t="s">
        <v>159</v>
      </c>
      <c r="H36" s="8" t="s">
        <v>159</v>
      </c>
      <c r="I36" s="8" t="s">
        <v>159</v>
      </c>
      <c r="J36" s="8" t="s">
        <v>159</v>
      </c>
      <c r="K36" s="8" t="s">
        <v>160</v>
      </c>
      <c r="L36" s="8" t="s">
        <v>160</v>
      </c>
      <c r="M36" s="8" t="s">
        <v>160</v>
      </c>
      <c r="N36" s="8" t="s">
        <v>160</v>
      </c>
      <c r="O36" s="8" t="s">
        <v>160</v>
      </c>
      <c r="P36" s="8" t="s">
        <v>160</v>
      </c>
      <c r="Q36" s="8" t="s">
        <v>160</v>
      </c>
      <c r="R36" s="8" t="s">
        <v>160</v>
      </c>
      <c r="S36" s="8" t="s">
        <v>160</v>
      </c>
      <c r="T36" s="8" t="s">
        <v>160</v>
      </c>
      <c r="U36" s="8" t="s">
        <v>160</v>
      </c>
      <c r="V36" s="8" t="s">
        <v>160</v>
      </c>
      <c r="W36" s="8" t="s">
        <v>160</v>
      </c>
      <c r="X36" s="8" t="s">
        <v>159</v>
      </c>
      <c r="Y36" s="8" t="s">
        <v>159</v>
      </c>
      <c r="Z36" s="8" t="s">
        <v>159</v>
      </c>
      <c r="AA36" s="8" t="s">
        <v>160</v>
      </c>
      <c r="AB36" s="8" t="s">
        <v>159</v>
      </c>
      <c r="AC36" s="9">
        <f t="shared" si="0"/>
        <v>14</v>
      </c>
      <c r="AD36" s="9">
        <f t="shared" si="1"/>
        <v>10</v>
      </c>
      <c r="AE36" s="10">
        <f t="shared" si="2"/>
        <v>-20</v>
      </c>
    </row>
    <row r="37" spans="1:31" ht="21" customHeight="1" x14ac:dyDescent="0.35">
      <c r="A37" s="11">
        <v>36</v>
      </c>
      <c r="B37" s="11" t="s">
        <v>383</v>
      </c>
      <c r="C37" s="11" t="s">
        <v>384</v>
      </c>
      <c r="D37" s="12" t="s">
        <v>385</v>
      </c>
      <c r="E37" s="13" t="s">
        <v>159</v>
      </c>
      <c r="F37" s="13" t="s">
        <v>159</v>
      </c>
      <c r="G37" s="13" t="s">
        <v>159</v>
      </c>
      <c r="H37" s="13" t="s">
        <v>159</v>
      </c>
      <c r="I37" s="13" t="s">
        <v>159</v>
      </c>
      <c r="J37" s="13" t="s">
        <v>159</v>
      </c>
      <c r="K37" s="13" t="s">
        <v>159</v>
      </c>
      <c r="L37" s="13" t="s">
        <v>159</v>
      </c>
      <c r="M37" s="13" t="s">
        <v>159</v>
      </c>
      <c r="N37" s="13" t="s">
        <v>159</v>
      </c>
      <c r="O37" s="13" t="s">
        <v>159</v>
      </c>
      <c r="P37" s="13" t="s">
        <v>159</v>
      </c>
      <c r="Q37" s="13" t="s">
        <v>160</v>
      </c>
      <c r="R37" s="13" t="s">
        <v>159</v>
      </c>
      <c r="S37" s="13" t="s">
        <v>159</v>
      </c>
      <c r="T37" s="13" t="s">
        <v>159</v>
      </c>
      <c r="U37" s="13" t="s">
        <v>159</v>
      </c>
      <c r="V37" s="13" t="s">
        <v>159</v>
      </c>
      <c r="W37" s="13" t="s">
        <v>159</v>
      </c>
      <c r="X37" s="13" t="s">
        <v>159</v>
      </c>
      <c r="Y37" s="13" t="s">
        <v>159</v>
      </c>
      <c r="Z37" s="13" t="s">
        <v>160</v>
      </c>
      <c r="AA37" s="13" t="s">
        <v>159</v>
      </c>
      <c r="AB37" s="13" t="s">
        <v>160</v>
      </c>
      <c r="AC37" s="9">
        <f t="shared" si="0"/>
        <v>3</v>
      </c>
      <c r="AD37" s="9">
        <f t="shared" si="1"/>
        <v>21</v>
      </c>
      <c r="AE37" s="10">
        <f t="shared" si="2"/>
        <v>90</v>
      </c>
    </row>
    <row r="38" spans="1:31" ht="21" customHeight="1" x14ac:dyDescent="0.35">
      <c r="A38" s="6">
        <v>37</v>
      </c>
      <c r="B38" s="6" t="s">
        <v>386</v>
      </c>
      <c r="C38" s="6" t="s">
        <v>387</v>
      </c>
      <c r="D38" s="7" t="s">
        <v>388</v>
      </c>
      <c r="E38" s="8" t="s">
        <v>159</v>
      </c>
      <c r="F38" s="8" t="s">
        <v>159</v>
      </c>
      <c r="G38" s="8" t="s">
        <v>159</v>
      </c>
      <c r="H38" s="8" t="s">
        <v>159</v>
      </c>
      <c r="I38" s="8" t="s">
        <v>160</v>
      </c>
      <c r="J38" s="8" t="s">
        <v>159</v>
      </c>
      <c r="K38" s="8" t="s">
        <v>159</v>
      </c>
      <c r="L38" s="8" t="s">
        <v>159</v>
      </c>
      <c r="M38" s="8" t="s">
        <v>159</v>
      </c>
      <c r="N38" s="8" t="s">
        <v>159</v>
      </c>
      <c r="O38" s="8" t="s">
        <v>160</v>
      </c>
      <c r="P38" s="8" t="s">
        <v>159</v>
      </c>
      <c r="Q38" s="8" t="s">
        <v>159</v>
      </c>
      <c r="R38" s="8" t="s">
        <v>159</v>
      </c>
      <c r="S38" s="8" t="s">
        <v>159</v>
      </c>
      <c r="T38" s="8" t="s">
        <v>159</v>
      </c>
      <c r="U38" s="8" t="s">
        <v>159</v>
      </c>
      <c r="V38" s="8" t="s">
        <v>159</v>
      </c>
      <c r="W38" s="8" t="s">
        <v>159</v>
      </c>
      <c r="X38" s="8" t="s">
        <v>159</v>
      </c>
      <c r="Y38" s="8" t="s">
        <v>160</v>
      </c>
      <c r="Z38" s="8" t="s">
        <v>159</v>
      </c>
      <c r="AA38" s="8" t="s">
        <v>159</v>
      </c>
      <c r="AB38" s="8" t="s">
        <v>159</v>
      </c>
      <c r="AC38" s="9">
        <f t="shared" si="0"/>
        <v>3</v>
      </c>
      <c r="AD38" s="9">
        <f t="shared" si="1"/>
        <v>21</v>
      </c>
      <c r="AE38" s="10">
        <f t="shared" si="2"/>
        <v>90</v>
      </c>
    </row>
    <row r="39" spans="1:31" ht="21" customHeight="1" x14ac:dyDescent="0.35">
      <c r="A39" s="11">
        <v>38</v>
      </c>
      <c r="B39" s="11" t="s">
        <v>389</v>
      </c>
      <c r="C39" s="11" t="s">
        <v>390</v>
      </c>
      <c r="D39" s="12" t="s">
        <v>391</v>
      </c>
      <c r="E39" s="13" t="s">
        <v>159</v>
      </c>
      <c r="F39" s="13" t="s">
        <v>160</v>
      </c>
      <c r="G39" s="13" t="s">
        <v>160</v>
      </c>
      <c r="H39" s="13" t="s">
        <v>159</v>
      </c>
      <c r="I39" s="13" t="s">
        <v>160</v>
      </c>
      <c r="J39" s="13" t="s">
        <v>159</v>
      </c>
      <c r="K39" s="13" t="s">
        <v>159</v>
      </c>
      <c r="L39" s="13" t="s">
        <v>159</v>
      </c>
      <c r="M39" s="13" t="s">
        <v>160</v>
      </c>
      <c r="N39" s="13" t="s">
        <v>159</v>
      </c>
      <c r="O39" s="13" t="s">
        <v>160</v>
      </c>
      <c r="P39" s="13" t="s">
        <v>160</v>
      </c>
      <c r="Q39" s="13" t="s">
        <v>160</v>
      </c>
      <c r="R39" s="13" t="s">
        <v>160</v>
      </c>
      <c r="S39" s="13" t="s">
        <v>159</v>
      </c>
      <c r="T39" s="13" t="s">
        <v>159</v>
      </c>
      <c r="U39" s="13" t="s">
        <v>160</v>
      </c>
      <c r="V39" s="13" t="s">
        <v>159</v>
      </c>
      <c r="W39" s="13" t="s">
        <v>160</v>
      </c>
      <c r="X39" s="13" t="s">
        <v>159</v>
      </c>
      <c r="Y39" s="13" t="s">
        <v>159</v>
      </c>
      <c r="Z39" s="13" t="s">
        <v>160</v>
      </c>
      <c r="AA39" s="13" t="s">
        <v>160</v>
      </c>
      <c r="AB39" s="13" t="s">
        <v>160</v>
      </c>
      <c r="AC39" s="9">
        <f t="shared" si="0"/>
        <v>13</v>
      </c>
      <c r="AD39" s="9">
        <f t="shared" si="1"/>
        <v>11</v>
      </c>
      <c r="AE39" s="10">
        <f t="shared" si="2"/>
        <v>-10</v>
      </c>
    </row>
    <row r="40" spans="1:31" ht="21" customHeight="1" x14ac:dyDescent="0.35">
      <c r="A40" s="6">
        <v>39</v>
      </c>
      <c r="B40" s="6" t="s">
        <v>392</v>
      </c>
      <c r="C40" s="6" t="s">
        <v>393</v>
      </c>
      <c r="D40" s="7" t="s">
        <v>394</v>
      </c>
      <c r="E40" s="8" t="s">
        <v>160</v>
      </c>
      <c r="F40" s="8" t="s">
        <v>160</v>
      </c>
      <c r="G40" s="8" t="s">
        <v>160</v>
      </c>
      <c r="H40" s="8" t="s">
        <v>160</v>
      </c>
      <c r="I40" s="8" t="s">
        <v>159</v>
      </c>
      <c r="J40" s="8" t="s">
        <v>159</v>
      </c>
      <c r="K40" s="8" t="s">
        <v>159</v>
      </c>
      <c r="L40" s="8" t="s">
        <v>159</v>
      </c>
      <c r="M40" s="8" t="s">
        <v>159</v>
      </c>
      <c r="N40" s="8" t="s">
        <v>160</v>
      </c>
      <c r="O40" s="8" t="s">
        <v>160</v>
      </c>
      <c r="P40" s="8" t="s">
        <v>160</v>
      </c>
      <c r="Q40" s="8" t="s">
        <v>159</v>
      </c>
      <c r="R40" s="8" t="s">
        <v>159</v>
      </c>
      <c r="S40" s="8" t="s">
        <v>159</v>
      </c>
      <c r="T40" s="8" t="s">
        <v>159</v>
      </c>
      <c r="U40" s="8" t="s">
        <v>159</v>
      </c>
      <c r="V40" s="8" t="s">
        <v>159</v>
      </c>
      <c r="W40" s="8" t="s">
        <v>160</v>
      </c>
      <c r="X40" s="8" t="s">
        <v>182</v>
      </c>
      <c r="Y40" s="8" t="s">
        <v>159</v>
      </c>
      <c r="Z40" s="8" t="s">
        <v>159</v>
      </c>
      <c r="AA40" s="8" t="s">
        <v>159</v>
      </c>
      <c r="AB40" s="8" t="s">
        <v>159</v>
      </c>
      <c r="AC40" s="9">
        <f t="shared" si="0"/>
        <v>8</v>
      </c>
      <c r="AD40" s="9">
        <f t="shared" si="1"/>
        <v>15</v>
      </c>
      <c r="AE40" s="10">
        <f t="shared" si="2"/>
        <v>35</v>
      </c>
    </row>
    <row r="41" spans="1:31" ht="21" customHeight="1" x14ac:dyDescent="0.35">
      <c r="A41" s="1"/>
      <c r="B41" s="11" t="s">
        <v>395</v>
      </c>
      <c r="C41" s="11" t="s">
        <v>396</v>
      </c>
      <c r="D41" s="12" t="s">
        <v>397</v>
      </c>
      <c r="E41" s="22" t="s">
        <v>398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3"/>
      <c r="V41" s="13" t="s">
        <v>159</v>
      </c>
      <c r="W41" s="13" t="s">
        <v>160</v>
      </c>
      <c r="X41" s="13" t="s">
        <v>159</v>
      </c>
      <c r="Y41" s="13" t="s">
        <v>160</v>
      </c>
      <c r="Z41" s="13" t="s">
        <v>159</v>
      </c>
      <c r="AA41" s="13" t="s">
        <v>159</v>
      </c>
      <c r="AB41" s="13" t="s">
        <v>159</v>
      </c>
      <c r="AC41" s="9">
        <f t="shared" si="0"/>
        <v>2</v>
      </c>
      <c r="AD41" s="9">
        <f t="shared" si="1"/>
        <v>5</v>
      </c>
      <c r="AE41" s="10">
        <f t="shared" si="2"/>
        <v>15</v>
      </c>
    </row>
    <row r="42" spans="1:31" ht="21" customHeight="1" x14ac:dyDescent="0.35">
      <c r="A42" s="1"/>
      <c r="B42" s="1"/>
      <c r="C42" s="1"/>
      <c r="D42" s="1"/>
      <c r="E42" s="8" t="s">
        <v>159</v>
      </c>
      <c r="F42" s="8" t="s">
        <v>159</v>
      </c>
      <c r="G42" s="8" t="s">
        <v>159</v>
      </c>
      <c r="H42" s="8" t="s">
        <v>160</v>
      </c>
      <c r="I42" s="8" t="s">
        <v>159</v>
      </c>
      <c r="J42" s="8" t="s">
        <v>159</v>
      </c>
      <c r="K42" s="8" t="s">
        <v>159</v>
      </c>
      <c r="L42" s="8" t="s">
        <v>159</v>
      </c>
      <c r="M42" s="8" t="s">
        <v>159</v>
      </c>
      <c r="N42" s="8" t="s">
        <v>159</v>
      </c>
      <c r="O42" s="8" t="s">
        <v>160</v>
      </c>
      <c r="P42" s="8" t="s">
        <v>159</v>
      </c>
      <c r="Q42" s="8" t="s">
        <v>159</v>
      </c>
      <c r="R42" s="8" t="s">
        <v>160</v>
      </c>
      <c r="S42" s="8" t="s">
        <v>160</v>
      </c>
      <c r="T42" s="8" t="s">
        <v>159</v>
      </c>
      <c r="U42" s="8" t="s">
        <v>160</v>
      </c>
      <c r="V42" s="8" t="s">
        <v>159</v>
      </c>
      <c r="W42" s="8" t="s">
        <v>159</v>
      </c>
      <c r="X42" s="8" t="s">
        <v>160</v>
      </c>
      <c r="Y42" s="8" t="s">
        <v>159</v>
      </c>
      <c r="Z42" s="8" t="s">
        <v>159</v>
      </c>
      <c r="AA42" s="8" t="s">
        <v>160</v>
      </c>
      <c r="AB42" s="8" t="s">
        <v>182</v>
      </c>
      <c r="AC42" s="16" t="s">
        <v>159</v>
      </c>
      <c r="AD42" s="16" t="s">
        <v>160</v>
      </c>
      <c r="AE42" s="16" t="s">
        <v>159</v>
      </c>
    </row>
  </sheetData>
  <autoFilter ref="A1:AE42" xr:uid="{00000000-0009-0000-0000-000003000000}"/>
  <mergeCells count="1">
    <mergeCell ref="E41:U41"/>
  </mergeCells>
  <conditionalFormatting sqref="A1:AE1">
    <cfRule type="cellIs" dxfId="72" priority="2" operator="equal">
      <formula>"Present"</formula>
    </cfRule>
    <cfRule type="cellIs" dxfId="71" priority="3" operator="equal">
      <formula>"Absent"</formula>
    </cfRule>
  </conditionalFormatting>
  <conditionalFormatting sqref="E2:M40">
    <cfRule type="cellIs" dxfId="70" priority="8" operator="equal">
      <formula>"Present"</formula>
    </cfRule>
    <cfRule type="cellIs" dxfId="69" priority="9" operator="equal">
      <formula>"Absent"</formula>
    </cfRule>
  </conditionalFormatting>
  <conditionalFormatting sqref="E2:AB42">
    <cfRule type="cellIs" dxfId="68" priority="18" operator="equal">
      <formula>"Present"</formula>
    </cfRule>
    <cfRule type="cellIs" dxfId="67" priority="18" operator="equal">
      <formula>"Absent"</formula>
    </cfRule>
    <cfRule type="cellIs" dxfId="66" priority="19" operator="equal">
      <formula>"Late"</formula>
    </cfRule>
  </conditionalFormatting>
  <conditionalFormatting sqref="N2:AB2 N3:V40 W3:AA41 AB3:AB42 V41">
    <cfRule type="cellIs" dxfId="65" priority="6" operator="equal">
      <formula>"Present"</formula>
    </cfRule>
    <cfRule type="cellIs" dxfId="64" priority="7" operator="equal">
      <formula>"Absent"</formula>
    </cfRule>
  </conditionalFormatting>
  <dataValidations count="2">
    <dataValidation type="list" allowBlank="1" showInputMessage="1" showErrorMessage="1" sqref="E1:AE1" xr:uid="{00000000-0002-0000-0300-000000000000}">
      <formula1>$A$1:$AE$1</formula1>
      <formula2>0</formula2>
    </dataValidation>
    <dataValidation type="list" allowBlank="1" showInputMessage="1" showErrorMessage="1" sqref="E2:AB40 V41:AB41 AB42" xr:uid="{00000000-0002-0000-0300-000001000000}">
      <formula1>"Present,Absent,Excused absence"</formula1>
      <formula2>0</formula2>
    </dataValidation>
  </dataValidations>
  <pageMargins left="0.25" right="0.25" top="0.5" bottom="0.5" header="0.3" footer="0.511811023622047"/>
  <pageSetup fitToHeight="0" orientation="landscape" horizontalDpi="300" verticalDpi="300"/>
  <headerFooter>
    <oddHeader>&amp;L&amp;"Arial,Regular"&amp;1 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  <pageSetUpPr fitToPage="1"/>
  </sheetPr>
  <dimension ref="A1:AE37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C2" sqref="AC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6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45961</v>
      </c>
      <c r="AC1" s="4" t="s">
        <v>153</v>
      </c>
      <c r="AD1" s="4" t="s">
        <v>154</v>
      </c>
      <c r="AE1" s="4" t="s">
        <v>155</v>
      </c>
    </row>
    <row r="2" spans="1:31" ht="21" customHeight="1" x14ac:dyDescent="0.35">
      <c r="A2" s="6">
        <v>1</v>
      </c>
      <c r="B2" s="6" t="s">
        <v>399</v>
      </c>
      <c r="C2" s="6" t="s">
        <v>400</v>
      </c>
      <c r="D2" s="7" t="s">
        <v>401</v>
      </c>
      <c r="E2" s="8" t="s">
        <v>159</v>
      </c>
      <c r="F2" s="8" t="s">
        <v>159</v>
      </c>
      <c r="G2" s="8" t="s">
        <v>182</v>
      </c>
      <c r="H2" s="8" t="s">
        <v>159</v>
      </c>
      <c r="I2" s="8" t="s">
        <v>159</v>
      </c>
      <c r="J2" s="8" t="s">
        <v>160</v>
      </c>
      <c r="K2" s="8" t="s">
        <v>159</v>
      </c>
      <c r="L2" s="8" t="s">
        <v>159</v>
      </c>
      <c r="M2" s="8" t="s">
        <v>159</v>
      </c>
      <c r="N2" s="8" t="s">
        <v>159</v>
      </c>
      <c r="O2" s="8" t="s">
        <v>160</v>
      </c>
      <c r="P2" s="8" t="s">
        <v>159</v>
      </c>
      <c r="Q2" s="8" t="s">
        <v>159</v>
      </c>
      <c r="R2" s="8" t="s">
        <v>159</v>
      </c>
      <c r="S2" s="8" t="s">
        <v>160</v>
      </c>
      <c r="T2" s="8" t="s">
        <v>160</v>
      </c>
      <c r="U2" s="8" t="s">
        <v>160</v>
      </c>
      <c r="V2" s="8" t="s">
        <v>159</v>
      </c>
      <c r="W2" s="8" t="s">
        <v>160</v>
      </c>
      <c r="X2" s="8" t="s">
        <v>159</v>
      </c>
      <c r="Y2" s="8" t="s">
        <v>160</v>
      </c>
      <c r="Z2" s="8" t="s">
        <v>159</v>
      </c>
      <c r="AA2" s="8" t="s">
        <v>159</v>
      </c>
      <c r="AB2" s="8" t="s">
        <v>159</v>
      </c>
      <c r="AC2" s="9">
        <f t="shared" ref="AC2:AC36" si="0">COUNTIF(E2:AB2,"Absent")</f>
        <v>7</v>
      </c>
      <c r="AD2" s="9">
        <f t="shared" ref="AD2:AD36" si="1">COUNTIF(E2:AB2,"Present")</f>
        <v>16</v>
      </c>
      <c r="AE2" s="10">
        <f t="shared" ref="AE2:AE36" si="2">(AD2*5)+(AC2*-5)</f>
        <v>45</v>
      </c>
    </row>
    <row r="3" spans="1:31" ht="21" customHeight="1" x14ac:dyDescent="0.35">
      <c r="A3" s="11">
        <v>2</v>
      </c>
      <c r="B3" s="11" t="s">
        <v>402</v>
      </c>
      <c r="C3" s="11" t="s">
        <v>403</v>
      </c>
      <c r="D3" s="12" t="s">
        <v>404</v>
      </c>
      <c r="E3" s="13" t="s">
        <v>159</v>
      </c>
      <c r="F3" s="13" t="s">
        <v>159</v>
      </c>
      <c r="G3" s="13" t="s">
        <v>159</v>
      </c>
      <c r="H3" s="13" t="s">
        <v>159</v>
      </c>
      <c r="I3" s="13" t="s">
        <v>159</v>
      </c>
      <c r="J3" s="13" t="s">
        <v>159</v>
      </c>
      <c r="K3" s="13" t="s">
        <v>160</v>
      </c>
      <c r="L3" s="13" t="s">
        <v>159</v>
      </c>
      <c r="M3" s="13" t="s">
        <v>159</v>
      </c>
      <c r="N3" s="13" t="s">
        <v>159</v>
      </c>
      <c r="O3" s="13" t="s">
        <v>160</v>
      </c>
      <c r="P3" s="13" t="s">
        <v>159</v>
      </c>
      <c r="Q3" s="13" t="s">
        <v>159</v>
      </c>
      <c r="R3" s="13" t="s">
        <v>159</v>
      </c>
      <c r="S3" s="13" t="s">
        <v>160</v>
      </c>
      <c r="T3" s="13" t="s">
        <v>159</v>
      </c>
      <c r="U3" s="13" t="s">
        <v>159</v>
      </c>
      <c r="V3" s="13" t="s">
        <v>159</v>
      </c>
      <c r="W3" s="13" t="s">
        <v>160</v>
      </c>
      <c r="X3" s="13" t="s">
        <v>159</v>
      </c>
      <c r="Y3" s="13" t="s">
        <v>159</v>
      </c>
      <c r="Z3" s="13" t="s">
        <v>159</v>
      </c>
      <c r="AA3" s="13" t="s">
        <v>160</v>
      </c>
      <c r="AB3" s="13" t="s">
        <v>159</v>
      </c>
      <c r="AC3" s="9">
        <f t="shared" si="0"/>
        <v>5</v>
      </c>
      <c r="AD3" s="9">
        <f t="shared" si="1"/>
        <v>19</v>
      </c>
      <c r="AE3" s="10">
        <f t="shared" si="2"/>
        <v>70</v>
      </c>
    </row>
    <row r="4" spans="1:31" ht="21" customHeight="1" x14ac:dyDescent="0.35">
      <c r="A4" s="6">
        <v>3</v>
      </c>
      <c r="B4" s="6" t="s">
        <v>405</v>
      </c>
      <c r="C4" s="6" t="s">
        <v>406</v>
      </c>
      <c r="D4" s="7" t="s">
        <v>407</v>
      </c>
      <c r="E4" s="8" t="s">
        <v>159</v>
      </c>
      <c r="F4" s="8" t="s">
        <v>159</v>
      </c>
      <c r="G4" s="8" t="s">
        <v>159</v>
      </c>
      <c r="H4" s="8" t="s">
        <v>159</v>
      </c>
      <c r="I4" s="8" t="s">
        <v>159</v>
      </c>
      <c r="J4" s="8" t="s">
        <v>159</v>
      </c>
      <c r="K4" s="8" t="s">
        <v>159</v>
      </c>
      <c r="L4" s="8" t="s">
        <v>159</v>
      </c>
      <c r="M4" s="8" t="s">
        <v>159</v>
      </c>
      <c r="N4" s="8" t="s">
        <v>159</v>
      </c>
      <c r="O4" s="8" t="s">
        <v>159</v>
      </c>
      <c r="P4" s="8" t="s">
        <v>159</v>
      </c>
      <c r="Q4" s="8" t="s">
        <v>159</v>
      </c>
      <c r="R4" s="8" t="s">
        <v>159</v>
      </c>
      <c r="S4" s="8" t="s">
        <v>160</v>
      </c>
      <c r="T4" s="8" t="s">
        <v>160</v>
      </c>
      <c r="U4" s="8" t="s">
        <v>159</v>
      </c>
      <c r="V4" s="8" t="s">
        <v>159</v>
      </c>
      <c r="W4" s="8" t="s">
        <v>159</v>
      </c>
      <c r="X4" s="8" t="s">
        <v>160</v>
      </c>
      <c r="Y4" s="8" t="s">
        <v>159</v>
      </c>
      <c r="Z4" s="8" t="s">
        <v>160</v>
      </c>
      <c r="AA4" s="8" t="s">
        <v>159</v>
      </c>
      <c r="AB4" s="8" t="s">
        <v>159</v>
      </c>
      <c r="AC4" s="9">
        <f t="shared" si="0"/>
        <v>4</v>
      </c>
      <c r="AD4" s="9">
        <f t="shared" si="1"/>
        <v>20</v>
      </c>
      <c r="AE4" s="10">
        <f t="shared" si="2"/>
        <v>80</v>
      </c>
    </row>
    <row r="5" spans="1:31" ht="21" customHeight="1" x14ac:dyDescent="0.35">
      <c r="A5" s="11">
        <v>4</v>
      </c>
      <c r="B5" s="11" t="s">
        <v>408</v>
      </c>
      <c r="C5" s="11" t="s">
        <v>409</v>
      </c>
      <c r="D5" s="12" t="s">
        <v>410</v>
      </c>
      <c r="E5" s="13" t="s">
        <v>159</v>
      </c>
      <c r="F5" s="13" t="s">
        <v>159</v>
      </c>
      <c r="G5" s="13" t="s">
        <v>159</v>
      </c>
      <c r="H5" s="13" t="s">
        <v>159</v>
      </c>
      <c r="I5" s="13" t="s">
        <v>159</v>
      </c>
      <c r="J5" s="13" t="s">
        <v>159</v>
      </c>
      <c r="K5" s="13" t="s">
        <v>159</v>
      </c>
      <c r="L5" s="13" t="s">
        <v>159</v>
      </c>
      <c r="M5" s="13" t="s">
        <v>159</v>
      </c>
      <c r="N5" s="13" t="s">
        <v>159</v>
      </c>
      <c r="O5" s="13" t="s">
        <v>159</v>
      </c>
      <c r="P5" s="13" t="s">
        <v>160</v>
      </c>
      <c r="Q5" s="13" t="s">
        <v>159</v>
      </c>
      <c r="R5" s="13" t="s">
        <v>159</v>
      </c>
      <c r="S5" s="13" t="s">
        <v>160</v>
      </c>
      <c r="T5" s="13" t="s">
        <v>160</v>
      </c>
      <c r="U5" s="13" t="s">
        <v>159</v>
      </c>
      <c r="V5" s="13" t="s">
        <v>159</v>
      </c>
      <c r="W5" s="13" t="s">
        <v>160</v>
      </c>
      <c r="X5" s="13" t="s">
        <v>159</v>
      </c>
      <c r="Y5" s="13" t="s">
        <v>159</v>
      </c>
      <c r="Z5" s="13" t="s">
        <v>159</v>
      </c>
      <c r="AA5" s="13" t="s">
        <v>182</v>
      </c>
      <c r="AB5" s="13" t="s">
        <v>159</v>
      </c>
      <c r="AC5" s="9">
        <f t="shared" si="0"/>
        <v>4</v>
      </c>
      <c r="AD5" s="9">
        <f t="shared" si="1"/>
        <v>19</v>
      </c>
      <c r="AE5" s="10">
        <f t="shared" si="2"/>
        <v>75</v>
      </c>
    </row>
    <row r="6" spans="1:31" ht="21" customHeight="1" x14ac:dyDescent="0.35">
      <c r="A6" s="6">
        <v>5</v>
      </c>
      <c r="B6" s="6" t="s">
        <v>411</v>
      </c>
      <c r="C6" s="6" t="s">
        <v>412</v>
      </c>
      <c r="D6" s="7" t="s">
        <v>413</v>
      </c>
      <c r="E6" s="8" t="s">
        <v>182</v>
      </c>
      <c r="F6" s="8" t="s">
        <v>159</v>
      </c>
      <c r="G6" s="8" t="s">
        <v>160</v>
      </c>
      <c r="H6" s="8" t="s">
        <v>159</v>
      </c>
      <c r="I6" s="8" t="s">
        <v>159</v>
      </c>
      <c r="J6" s="8" t="s">
        <v>159</v>
      </c>
      <c r="K6" s="8" t="s">
        <v>159</v>
      </c>
      <c r="L6" s="8" t="s">
        <v>159</v>
      </c>
      <c r="M6" s="8" t="s">
        <v>159</v>
      </c>
      <c r="N6" s="8" t="s">
        <v>159</v>
      </c>
      <c r="O6" s="8" t="s">
        <v>159</v>
      </c>
      <c r="P6" s="8" t="s">
        <v>159</v>
      </c>
      <c r="Q6" s="8" t="s">
        <v>159</v>
      </c>
      <c r="R6" s="8" t="s">
        <v>159</v>
      </c>
      <c r="S6" s="8" t="s">
        <v>159</v>
      </c>
      <c r="T6" s="8" t="s">
        <v>160</v>
      </c>
      <c r="U6" s="8" t="s">
        <v>159</v>
      </c>
      <c r="V6" s="8" t="s">
        <v>160</v>
      </c>
      <c r="W6" s="8" t="s">
        <v>159</v>
      </c>
      <c r="X6" s="8" t="s">
        <v>159</v>
      </c>
      <c r="Y6" s="8" t="s">
        <v>159</v>
      </c>
      <c r="Z6" s="8" t="s">
        <v>159</v>
      </c>
      <c r="AA6" s="8" t="s">
        <v>160</v>
      </c>
      <c r="AB6" s="8" t="s">
        <v>159</v>
      </c>
      <c r="AC6" s="9">
        <f t="shared" si="0"/>
        <v>4</v>
      </c>
      <c r="AD6" s="9">
        <f t="shared" si="1"/>
        <v>19</v>
      </c>
      <c r="AE6" s="10">
        <f t="shared" si="2"/>
        <v>75</v>
      </c>
    </row>
    <row r="7" spans="1:31" ht="21" customHeight="1" x14ac:dyDescent="0.35">
      <c r="A7" s="11">
        <v>6</v>
      </c>
      <c r="B7" s="11" t="s">
        <v>414</v>
      </c>
      <c r="C7" s="11" t="s">
        <v>415</v>
      </c>
      <c r="D7" s="12" t="s">
        <v>416</v>
      </c>
      <c r="E7" s="13" t="s">
        <v>159</v>
      </c>
      <c r="F7" s="13" t="s">
        <v>182</v>
      </c>
      <c r="G7" s="13" t="s">
        <v>160</v>
      </c>
      <c r="H7" s="13" t="s">
        <v>159</v>
      </c>
      <c r="I7" s="13" t="s">
        <v>160</v>
      </c>
      <c r="J7" s="13" t="s">
        <v>159</v>
      </c>
      <c r="K7" s="13" t="s">
        <v>159</v>
      </c>
      <c r="L7" s="13" t="s">
        <v>160</v>
      </c>
      <c r="M7" s="13" t="s">
        <v>159</v>
      </c>
      <c r="N7" s="13" t="s">
        <v>159</v>
      </c>
      <c r="O7" s="13" t="s">
        <v>160</v>
      </c>
      <c r="P7" s="13" t="s">
        <v>159</v>
      </c>
      <c r="Q7" s="13" t="s">
        <v>160</v>
      </c>
      <c r="R7" s="13" t="s">
        <v>160</v>
      </c>
      <c r="S7" s="13" t="s">
        <v>160</v>
      </c>
      <c r="T7" s="13" t="s">
        <v>160</v>
      </c>
      <c r="U7" s="13" t="s">
        <v>160</v>
      </c>
      <c r="V7" s="13" t="s">
        <v>160</v>
      </c>
      <c r="W7" s="13" t="s">
        <v>160</v>
      </c>
      <c r="X7" s="13" t="s">
        <v>159</v>
      </c>
      <c r="Y7" s="13" t="s">
        <v>159</v>
      </c>
      <c r="Z7" s="13" t="s">
        <v>159</v>
      </c>
      <c r="AA7" s="13" t="s">
        <v>182</v>
      </c>
      <c r="AB7" s="13" t="s">
        <v>160</v>
      </c>
      <c r="AC7" s="9">
        <f t="shared" si="0"/>
        <v>12</v>
      </c>
      <c r="AD7" s="9">
        <f t="shared" si="1"/>
        <v>10</v>
      </c>
      <c r="AE7" s="10">
        <f t="shared" si="2"/>
        <v>-10</v>
      </c>
    </row>
    <row r="8" spans="1:31" ht="21" customHeight="1" x14ac:dyDescent="0.35">
      <c r="A8" s="6">
        <v>7</v>
      </c>
      <c r="B8" s="6" t="s">
        <v>417</v>
      </c>
      <c r="C8" s="6" t="s">
        <v>418</v>
      </c>
      <c r="D8" s="7" t="s">
        <v>419</v>
      </c>
      <c r="E8" s="8" t="s">
        <v>182</v>
      </c>
      <c r="F8" s="8" t="s">
        <v>159</v>
      </c>
      <c r="G8" s="8" t="s">
        <v>160</v>
      </c>
      <c r="H8" s="8" t="s">
        <v>159</v>
      </c>
      <c r="I8" s="8" t="s">
        <v>160</v>
      </c>
      <c r="J8" s="8" t="s">
        <v>159</v>
      </c>
      <c r="K8" s="8" t="s">
        <v>159</v>
      </c>
      <c r="L8" s="8" t="s">
        <v>160</v>
      </c>
      <c r="M8" s="8" t="s">
        <v>159</v>
      </c>
      <c r="N8" s="8" t="s">
        <v>159</v>
      </c>
      <c r="O8" s="8" t="s">
        <v>159</v>
      </c>
      <c r="P8" s="8" t="s">
        <v>160</v>
      </c>
      <c r="Q8" s="8" t="s">
        <v>159</v>
      </c>
      <c r="R8" s="8" t="s">
        <v>159</v>
      </c>
      <c r="S8" s="8" t="s">
        <v>159</v>
      </c>
      <c r="T8" s="8" t="s">
        <v>160</v>
      </c>
      <c r="U8" s="8" t="s">
        <v>159</v>
      </c>
      <c r="V8" s="8" t="s">
        <v>160</v>
      </c>
      <c r="W8" s="8" t="s">
        <v>160</v>
      </c>
      <c r="X8" s="8" t="s">
        <v>160</v>
      </c>
      <c r="Y8" s="8" t="s">
        <v>159</v>
      </c>
      <c r="Z8" s="8" t="s">
        <v>159</v>
      </c>
      <c r="AA8" s="8" t="s">
        <v>159</v>
      </c>
      <c r="AB8" s="8" t="s">
        <v>160</v>
      </c>
      <c r="AC8" s="9">
        <f t="shared" si="0"/>
        <v>9</v>
      </c>
      <c r="AD8" s="9">
        <f t="shared" si="1"/>
        <v>14</v>
      </c>
      <c r="AE8" s="10">
        <f t="shared" si="2"/>
        <v>25</v>
      </c>
    </row>
    <row r="9" spans="1:31" ht="21" customHeight="1" x14ac:dyDescent="0.35">
      <c r="A9" s="11">
        <v>8</v>
      </c>
      <c r="B9" s="11" t="s">
        <v>420</v>
      </c>
      <c r="C9" s="11" t="s">
        <v>421</v>
      </c>
      <c r="D9" s="12" t="s">
        <v>422</v>
      </c>
      <c r="E9" s="13" t="s">
        <v>159</v>
      </c>
      <c r="F9" s="13" t="s">
        <v>159</v>
      </c>
      <c r="G9" s="13" t="s">
        <v>159</v>
      </c>
      <c r="H9" s="13" t="s">
        <v>159</v>
      </c>
      <c r="I9" s="13" t="s">
        <v>159</v>
      </c>
      <c r="J9" s="13" t="s">
        <v>159</v>
      </c>
      <c r="K9" s="13" t="s">
        <v>159</v>
      </c>
      <c r="L9" s="13" t="s">
        <v>159</v>
      </c>
      <c r="M9" s="13" t="s">
        <v>159</v>
      </c>
      <c r="N9" s="13" t="s">
        <v>159</v>
      </c>
      <c r="O9" s="13" t="s">
        <v>159</v>
      </c>
      <c r="P9" s="13" t="s">
        <v>159</v>
      </c>
      <c r="Q9" s="13" t="s">
        <v>159</v>
      </c>
      <c r="R9" s="13" t="s">
        <v>159</v>
      </c>
      <c r="S9" s="13" t="s">
        <v>160</v>
      </c>
      <c r="T9" s="13" t="s">
        <v>159</v>
      </c>
      <c r="U9" s="13" t="s">
        <v>160</v>
      </c>
      <c r="V9" s="13" t="s">
        <v>159</v>
      </c>
      <c r="W9" s="13" t="s">
        <v>160</v>
      </c>
      <c r="X9" s="13" t="s">
        <v>159</v>
      </c>
      <c r="Y9" s="13" t="s">
        <v>160</v>
      </c>
      <c r="Z9" s="13" t="s">
        <v>159</v>
      </c>
      <c r="AA9" s="13" t="s">
        <v>160</v>
      </c>
      <c r="AB9" s="13" t="s">
        <v>159</v>
      </c>
      <c r="AC9" s="9">
        <f t="shared" si="0"/>
        <v>5</v>
      </c>
      <c r="AD9" s="9">
        <f t="shared" si="1"/>
        <v>19</v>
      </c>
      <c r="AE9" s="10">
        <f t="shared" si="2"/>
        <v>70</v>
      </c>
    </row>
    <row r="10" spans="1:31" ht="21" customHeight="1" x14ac:dyDescent="0.35">
      <c r="A10" s="6">
        <v>9</v>
      </c>
      <c r="B10" s="6" t="s">
        <v>423</v>
      </c>
      <c r="C10" s="6" t="s">
        <v>424</v>
      </c>
      <c r="D10" s="7" t="s">
        <v>425</v>
      </c>
      <c r="E10" s="8" t="s">
        <v>159</v>
      </c>
      <c r="F10" s="8" t="s">
        <v>159</v>
      </c>
      <c r="G10" s="8" t="s">
        <v>159</v>
      </c>
      <c r="H10" s="8" t="s">
        <v>159</v>
      </c>
      <c r="I10" s="8" t="s">
        <v>159</v>
      </c>
      <c r="J10" s="8" t="s">
        <v>159</v>
      </c>
      <c r="K10" s="8" t="s">
        <v>159</v>
      </c>
      <c r="L10" s="8" t="s">
        <v>159</v>
      </c>
      <c r="M10" s="8" t="s">
        <v>160</v>
      </c>
      <c r="N10" s="8" t="s">
        <v>159</v>
      </c>
      <c r="O10" s="8" t="s">
        <v>160</v>
      </c>
      <c r="P10" s="8" t="s">
        <v>160</v>
      </c>
      <c r="Q10" s="8" t="s">
        <v>159</v>
      </c>
      <c r="R10" s="8" t="s">
        <v>159</v>
      </c>
      <c r="S10" s="8" t="s">
        <v>160</v>
      </c>
      <c r="T10" s="8" t="s">
        <v>159</v>
      </c>
      <c r="U10" s="8" t="s">
        <v>160</v>
      </c>
      <c r="V10" s="8" t="s">
        <v>160</v>
      </c>
      <c r="W10" s="8" t="s">
        <v>160</v>
      </c>
      <c r="X10" s="8" t="s">
        <v>160</v>
      </c>
      <c r="Y10" s="8" t="s">
        <v>159</v>
      </c>
      <c r="Z10" s="8" t="s">
        <v>159</v>
      </c>
      <c r="AA10" s="8" t="s">
        <v>159</v>
      </c>
      <c r="AB10" s="8" t="s">
        <v>159</v>
      </c>
      <c r="AC10" s="9">
        <f t="shared" si="0"/>
        <v>8</v>
      </c>
      <c r="AD10" s="9">
        <f t="shared" si="1"/>
        <v>16</v>
      </c>
      <c r="AE10" s="10">
        <f t="shared" si="2"/>
        <v>40</v>
      </c>
    </row>
    <row r="11" spans="1:31" ht="21" customHeight="1" x14ac:dyDescent="0.35">
      <c r="A11" s="11">
        <v>10</v>
      </c>
      <c r="B11" s="11" t="s">
        <v>426</v>
      </c>
      <c r="C11" s="11" t="s">
        <v>427</v>
      </c>
      <c r="D11" s="12" t="s">
        <v>428</v>
      </c>
      <c r="E11" s="13" t="s">
        <v>159</v>
      </c>
      <c r="F11" s="13" t="s">
        <v>182</v>
      </c>
      <c r="G11" s="13" t="s">
        <v>159</v>
      </c>
      <c r="H11" s="13" t="s">
        <v>159</v>
      </c>
      <c r="I11" s="13" t="s">
        <v>159</v>
      </c>
      <c r="J11" s="13" t="s">
        <v>159</v>
      </c>
      <c r="K11" s="13" t="s">
        <v>160</v>
      </c>
      <c r="L11" s="13" t="s">
        <v>160</v>
      </c>
      <c r="M11" s="13" t="s">
        <v>159</v>
      </c>
      <c r="N11" s="13" t="s">
        <v>160</v>
      </c>
      <c r="O11" s="13" t="s">
        <v>159</v>
      </c>
      <c r="P11" s="13" t="s">
        <v>160</v>
      </c>
      <c r="Q11" s="13" t="s">
        <v>159</v>
      </c>
      <c r="R11" s="13" t="s">
        <v>160</v>
      </c>
      <c r="S11" s="13" t="s">
        <v>159</v>
      </c>
      <c r="T11" s="13" t="s">
        <v>160</v>
      </c>
      <c r="U11" s="13" t="s">
        <v>159</v>
      </c>
      <c r="V11" s="13" t="s">
        <v>159</v>
      </c>
      <c r="W11" s="13" t="s">
        <v>159</v>
      </c>
      <c r="X11" s="13" t="s">
        <v>159</v>
      </c>
      <c r="Y11" s="13" t="s">
        <v>159</v>
      </c>
      <c r="Z11" s="13" t="s">
        <v>159</v>
      </c>
      <c r="AA11" s="13" t="s">
        <v>159</v>
      </c>
      <c r="AB11" s="13" t="s">
        <v>182</v>
      </c>
      <c r="AC11" s="9">
        <f t="shared" si="0"/>
        <v>6</v>
      </c>
      <c r="AD11" s="9">
        <f t="shared" si="1"/>
        <v>16</v>
      </c>
      <c r="AE11" s="10">
        <f t="shared" si="2"/>
        <v>50</v>
      </c>
    </row>
    <row r="12" spans="1:31" ht="21" customHeight="1" x14ac:dyDescent="0.35">
      <c r="A12" s="6">
        <v>11</v>
      </c>
      <c r="B12" s="6" t="s">
        <v>429</v>
      </c>
      <c r="C12" s="6" t="s">
        <v>430</v>
      </c>
      <c r="D12" s="7" t="s">
        <v>431</v>
      </c>
      <c r="E12" s="8" t="s">
        <v>159</v>
      </c>
      <c r="F12" s="8" t="s">
        <v>160</v>
      </c>
      <c r="G12" s="8" t="s">
        <v>159</v>
      </c>
      <c r="H12" s="8" t="s">
        <v>159</v>
      </c>
      <c r="I12" s="8" t="s">
        <v>159</v>
      </c>
      <c r="J12" s="8" t="s">
        <v>159</v>
      </c>
      <c r="K12" s="8" t="s">
        <v>159</v>
      </c>
      <c r="L12" s="8" t="s">
        <v>159</v>
      </c>
      <c r="M12" s="8" t="s">
        <v>159</v>
      </c>
      <c r="N12" s="8" t="s">
        <v>160</v>
      </c>
      <c r="O12" s="8" t="s">
        <v>160</v>
      </c>
      <c r="P12" s="8" t="s">
        <v>160</v>
      </c>
      <c r="Q12" s="8" t="s">
        <v>160</v>
      </c>
      <c r="R12" s="8" t="s">
        <v>159</v>
      </c>
      <c r="S12" s="8" t="s">
        <v>159</v>
      </c>
      <c r="T12" s="8" t="s">
        <v>159</v>
      </c>
      <c r="U12" s="8" t="s">
        <v>160</v>
      </c>
      <c r="V12" s="8" t="s">
        <v>160</v>
      </c>
      <c r="W12" s="8" t="s">
        <v>160</v>
      </c>
      <c r="X12" s="8" t="s">
        <v>159</v>
      </c>
      <c r="Y12" s="8" t="s">
        <v>159</v>
      </c>
      <c r="Z12" s="8" t="s">
        <v>159</v>
      </c>
      <c r="AA12" s="8" t="s">
        <v>160</v>
      </c>
      <c r="AB12" s="8" t="s">
        <v>159</v>
      </c>
      <c r="AC12" s="9">
        <f t="shared" si="0"/>
        <v>9</v>
      </c>
      <c r="AD12" s="9">
        <f t="shared" si="1"/>
        <v>15</v>
      </c>
      <c r="AE12" s="10">
        <f t="shared" si="2"/>
        <v>30</v>
      </c>
    </row>
    <row r="13" spans="1:31" ht="21" customHeight="1" x14ac:dyDescent="0.35">
      <c r="A13" s="11">
        <v>12</v>
      </c>
      <c r="B13" s="11" t="s">
        <v>432</v>
      </c>
      <c r="C13" s="11" t="s">
        <v>433</v>
      </c>
      <c r="D13" s="12" t="s">
        <v>434</v>
      </c>
      <c r="E13" s="13" t="s">
        <v>159</v>
      </c>
      <c r="F13" s="13" t="s">
        <v>159</v>
      </c>
      <c r="G13" s="13" t="s">
        <v>160</v>
      </c>
      <c r="H13" s="13" t="s">
        <v>159</v>
      </c>
      <c r="I13" s="13" t="s">
        <v>159</v>
      </c>
      <c r="J13" s="13" t="s">
        <v>159</v>
      </c>
      <c r="K13" s="13" t="s">
        <v>159</v>
      </c>
      <c r="L13" s="13" t="s">
        <v>159</v>
      </c>
      <c r="M13" s="13" t="s">
        <v>159</v>
      </c>
      <c r="N13" s="13" t="s">
        <v>159</v>
      </c>
      <c r="O13" s="13" t="s">
        <v>159</v>
      </c>
      <c r="P13" s="13" t="s">
        <v>159</v>
      </c>
      <c r="Q13" s="13" t="s">
        <v>159</v>
      </c>
      <c r="R13" s="13" t="s">
        <v>159</v>
      </c>
      <c r="S13" s="13" t="s">
        <v>159</v>
      </c>
      <c r="T13" s="13" t="s">
        <v>159</v>
      </c>
      <c r="U13" s="13" t="s">
        <v>160</v>
      </c>
      <c r="V13" s="13" t="s">
        <v>159</v>
      </c>
      <c r="W13" s="13" t="s">
        <v>160</v>
      </c>
      <c r="X13" s="13" t="s">
        <v>159</v>
      </c>
      <c r="Y13" s="13" t="s">
        <v>159</v>
      </c>
      <c r="Z13" s="13" t="s">
        <v>159</v>
      </c>
      <c r="AA13" s="13" t="s">
        <v>159</v>
      </c>
      <c r="AB13" s="13" t="s">
        <v>160</v>
      </c>
      <c r="AC13" s="9">
        <f t="shared" si="0"/>
        <v>4</v>
      </c>
      <c r="AD13" s="9">
        <f t="shared" si="1"/>
        <v>20</v>
      </c>
      <c r="AE13" s="10">
        <f t="shared" si="2"/>
        <v>80</v>
      </c>
    </row>
    <row r="14" spans="1:31" ht="21" customHeight="1" x14ac:dyDescent="0.35">
      <c r="A14" s="6">
        <v>13</v>
      </c>
      <c r="B14" s="6" t="s">
        <v>435</v>
      </c>
      <c r="C14" s="6" t="s">
        <v>436</v>
      </c>
      <c r="D14" s="7" t="s">
        <v>437</v>
      </c>
      <c r="E14" s="8" t="s">
        <v>159</v>
      </c>
      <c r="F14" s="8" t="s">
        <v>159</v>
      </c>
      <c r="G14" s="8" t="s">
        <v>160</v>
      </c>
      <c r="H14" s="8" t="s">
        <v>159</v>
      </c>
      <c r="I14" s="8" t="s">
        <v>159</v>
      </c>
      <c r="J14" s="8" t="s">
        <v>160</v>
      </c>
      <c r="K14" s="8" t="s">
        <v>160</v>
      </c>
      <c r="L14" s="8" t="s">
        <v>160</v>
      </c>
      <c r="M14" s="8" t="s">
        <v>160</v>
      </c>
      <c r="N14" s="8" t="s">
        <v>160</v>
      </c>
      <c r="O14" s="8" t="s">
        <v>160</v>
      </c>
      <c r="P14" s="8" t="s">
        <v>160</v>
      </c>
      <c r="Q14" s="8" t="s">
        <v>160</v>
      </c>
      <c r="R14" s="8" t="s">
        <v>160</v>
      </c>
      <c r="S14" s="8" t="s">
        <v>160</v>
      </c>
      <c r="T14" s="8" t="s">
        <v>160</v>
      </c>
      <c r="U14" s="8" t="s">
        <v>160</v>
      </c>
      <c r="V14" s="8" t="s">
        <v>160</v>
      </c>
      <c r="W14" s="8" t="s">
        <v>160</v>
      </c>
      <c r="X14" s="8" t="s">
        <v>159</v>
      </c>
      <c r="Y14" s="8" t="s">
        <v>159</v>
      </c>
      <c r="Z14" s="8" t="s">
        <v>159</v>
      </c>
      <c r="AA14" s="8" t="s">
        <v>159</v>
      </c>
      <c r="AB14" s="8" t="s">
        <v>160</v>
      </c>
      <c r="AC14" s="9">
        <f t="shared" si="0"/>
        <v>16</v>
      </c>
      <c r="AD14" s="9">
        <f t="shared" si="1"/>
        <v>8</v>
      </c>
      <c r="AE14" s="10">
        <f t="shared" si="2"/>
        <v>-40</v>
      </c>
    </row>
    <row r="15" spans="1:31" ht="21" customHeight="1" x14ac:dyDescent="0.35">
      <c r="A15" s="11">
        <v>14</v>
      </c>
      <c r="B15" s="11" t="s">
        <v>438</v>
      </c>
      <c r="C15" s="11" t="s">
        <v>439</v>
      </c>
      <c r="D15" s="12" t="s">
        <v>440</v>
      </c>
      <c r="E15" s="13" t="s">
        <v>159</v>
      </c>
      <c r="F15" s="13" t="s">
        <v>159</v>
      </c>
      <c r="G15" s="13" t="s">
        <v>159</v>
      </c>
      <c r="H15" s="13" t="s">
        <v>159</v>
      </c>
      <c r="I15" s="13" t="s">
        <v>159</v>
      </c>
      <c r="J15" s="13" t="s">
        <v>182</v>
      </c>
      <c r="K15" s="13" t="s">
        <v>160</v>
      </c>
      <c r="L15" s="13" t="s">
        <v>160</v>
      </c>
      <c r="M15" s="13" t="s">
        <v>160</v>
      </c>
      <c r="N15" s="13" t="s">
        <v>160</v>
      </c>
      <c r="O15" s="13" t="s">
        <v>160</v>
      </c>
      <c r="P15" s="13" t="s">
        <v>160</v>
      </c>
      <c r="Q15" s="13" t="s">
        <v>160</v>
      </c>
      <c r="R15" s="13" t="s">
        <v>160</v>
      </c>
      <c r="S15" s="13" t="s">
        <v>160</v>
      </c>
      <c r="T15" s="13" t="s">
        <v>160</v>
      </c>
      <c r="U15" s="13" t="s">
        <v>160</v>
      </c>
      <c r="V15" s="13" t="s">
        <v>160</v>
      </c>
      <c r="W15" s="13" t="s">
        <v>160</v>
      </c>
      <c r="X15" s="13" t="s">
        <v>160</v>
      </c>
      <c r="Y15" s="13" t="s">
        <v>159</v>
      </c>
      <c r="Z15" s="13" t="s">
        <v>159</v>
      </c>
      <c r="AA15" s="13" t="s">
        <v>159</v>
      </c>
      <c r="AB15" s="13" t="s">
        <v>160</v>
      </c>
      <c r="AC15" s="9">
        <f t="shared" si="0"/>
        <v>15</v>
      </c>
      <c r="AD15" s="9">
        <f t="shared" si="1"/>
        <v>8</v>
      </c>
      <c r="AE15" s="10">
        <f t="shared" si="2"/>
        <v>-35</v>
      </c>
    </row>
    <row r="16" spans="1:31" ht="21" customHeight="1" x14ac:dyDescent="0.35">
      <c r="A16" s="6">
        <v>15</v>
      </c>
      <c r="B16" s="6" t="s">
        <v>441</v>
      </c>
      <c r="C16" s="6" t="s">
        <v>442</v>
      </c>
      <c r="D16" s="7" t="s">
        <v>443</v>
      </c>
      <c r="E16" s="8" t="s">
        <v>159</v>
      </c>
      <c r="F16" s="8" t="s">
        <v>160</v>
      </c>
      <c r="G16" s="8" t="s">
        <v>159</v>
      </c>
      <c r="H16" s="8" t="s">
        <v>159</v>
      </c>
      <c r="I16" s="8" t="s">
        <v>159</v>
      </c>
      <c r="J16" s="8" t="s">
        <v>160</v>
      </c>
      <c r="K16" s="8" t="s">
        <v>159</v>
      </c>
      <c r="L16" s="8" t="s">
        <v>159</v>
      </c>
      <c r="M16" s="8" t="s">
        <v>160</v>
      </c>
      <c r="N16" s="8" t="s">
        <v>159</v>
      </c>
      <c r="O16" s="8" t="s">
        <v>159</v>
      </c>
      <c r="P16" s="8" t="s">
        <v>159</v>
      </c>
      <c r="Q16" s="8" t="s">
        <v>160</v>
      </c>
      <c r="R16" s="8" t="s">
        <v>159</v>
      </c>
      <c r="S16" s="8" t="s">
        <v>160</v>
      </c>
      <c r="T16" s="8" t="s">
        <v>160</v>
      </c>
      <c r="U16" s="8" t="s">
        <v>159</v>
      </c>
      <c r="V16" s="8" t="s">
        <v>159</v>
      </c>
      <c r="W16" s="8" t="s">
        <v>159</v>
      </c>
      <c r="X16" s="8" t="s">
        <v>160</v>
      </c>
      <c r="Y16" s="8" t="s">
        <v>159</v>
      </c>
      <c r="Z16" s="8" t="s">
        <v>182</v>
      </c>
      <c r="AA16" s="8" t="s">
        <v>159</v>
      </c>
      <c r="AB16" s="8" t="s">
        <v>159</v>
      </c>
      <c r="AC16" s="9">
        <f t="shared" si="0"/>
        <v>7</v>
      </c>
      <c r="AD16" s="9">
        <f t="shared" si="1"/>
        <v>16</v>
      </c>
      <c r="AE16" s="10">
        <f t="shared" si="2"/>
        <v>45</v>
      </c>
    </row>
    <row r="17" spans="1:31" ht="21" customHeight="1" x14ac:dyDescent="0.35">
      <c r="A17" s="11">
        <v>16</v>
      </c>
      <c r="B17" s="11" t="s">
        <v>444</v>
      </c>
      <c r="C17" s="11" t="s">
        <v>445</v>
      </c>
      <c r="D17" s="12" t="s">
        <v>446</v>
      </c>
      <c r="E17" s="13" t="s">
        <v>160</v>
      </c>
      <c r="F17" s="13" t="s">
        <v>159</v>
      </c>
      <c r="G17" s="13" t="s">
        <v>159</v>
      </c>
      <c r="H17" s="13" t="s">
        <v>159</v>
      </c>
      <c r="I17" s="13" t="s">
        <v>160</v>
      </c>
      <c r="J17" s="13" t="s">
        <v>159</v>
      </c>
      <c r="K17" s="13" t="s">
        <v>159</v>
      </c>
      <c r="L17" s="13" t="s">
        <v>159</v>
      </c>
      <c r="M17" s="13" t="s">
        <v>159</v>
      </c>
      <c r="N17" s="13" t="s">
        <v>159</v>
      </c>
      <c r="O17" s="13" t="s">
        <v>159</v>
      </c>
      <c r="P17" s="13" t="s">
        <v>159</v>
      </c>
      <c r="Q17" s="13" t="s">
        <v>159</v>
      </c>
      <c r="R17" s="13" t="s">
        <v>159</v>
      </c>
      <c r="S17" s="13" t="s">
        <v>160</v>
      </c>
      <c r="T17" s="13" t="s">
        <v>160</v>
      </c>
      <c r="U17" s="13" t="s">
        <v>159</v>
      </c>
      <c r="V17" s="13" t="s">
        <v>160</v>
      </c>
      <c r="W17" s="13" t="s">
        <v>159</v>
      </c>
      <c r="X17" s="13" t="s">
        <v>160</v>
      </c>
      <c r="Y17" s="13" t="s">
        <v>159</v>
      </c>
      <c r="Z17" s="13" t="s">
        <v>159</v>
      </c>
      <c r="AA17" s="13" t="s">
        <v>159</v>
      </c>
      <c r="AB17" s="13" t="s">
        <v>159</v>
      </c>
      <c r="AC17" s="9">
        <f t="shared" si="0"/>
        <v>6</v>
      </c>
      <c r="AD17" s="9">
        <f t="shared" si="1"/>
        <v>18</v>
      </c>
      <c r="AE17" s="10">
        <f t="shared" si="2"/>
        <v>60</v>
      </c>
    </row>
    <row r="18" spans="1:31" ht="21" customHeight="1" x14ac:dyDescent="0.35">
      <c r="A18" s="6">
        <v>17</v>
      </c>
      <c r="B18" s="6" t="s">
        <v>447</v>
      </c>
      <c r="C18" s="6" t="s">
        <v>448</v>
      </c>
      <c r="D18" s="7" t="s">
        <v>449</v>
      </c>
      <c r="E18" s="8" t="s">
        <v>159</v>
      </c>
      <c r="F18" s="8" t="s">
        <v>159</v>
      </c>
      <c r="G18" s="8" t="s">
        <v>159</v>
      </c>
      <c r="H18" s="8" t="s">
        <v>182</v>
      </c>
      <c r="I18" s="8" t="s">
        <v>159</v>
      </c>
      <c r="J18" s="8" t="s">
        <v>160</v>
      </c>
      <c r="K18" s="8" t="s">
        <v>159</v>
      </c>
      <c r="L18" s="8" t="s">
        <v>159</v>
      </c>
      <c r="M18" s="8" t="s">
        <v>159</v>
      </c>
      <c r="N18" s="8" t="s">
        <v>159</v>
      </c>
      <c r="O18" s="8" t="s">
        <v>159</v>
      </c>
      <c r="P18" s="8" t="s">
        <v>159</v>
      </c>
      <c r="Q18" s="8" t="s">
        <v>160</v>
      </c>
      <c r="R18" s="8" t="s">
        <v>159</v>
      </c>
      <c r="S18" s="8" t="s">
        <v>160</v>
      </c>
      <c r="T18" s="8" t="s">
        <v>160</v>
      </c>
      <c r="U18" s="8" t="s">
        <v>159</v>
      </c>
      <c r="V18" s="8" t="s">
        <v>160</v>
      </c>
      <c r="W18" s="8" t="s">
        <v>160</v>
      </c>
      <c r="X18" s="8" t="s">
        <v>159</v>
      </c>
      <c r="Y18" s="8" t="s">
        <v>159</v>
      </c>
      <c r="Z18" s="8" t="s">
        <v>160</v>
      </c>
      <c r="AA18" s="8" t="s">
        <v>160</v>
      </c>
      <c r="AB18" s="8" t="s">
        <v>160</v>
      </c>
      <c r="AC18" s="9">
        <f t="shared" si="0"/>
        <v>9</v>
      </c>
      <c r="AD18" s="9">
        <f t="shared" si="1"/>
        <v>14</v>
      </c>
      <c r="AE18" s="10">
        <f t="shared" si="2"/>
        <v>25</v>
      </c>
    </row>
    <row r="19" spans="1:31" ht="21" customHeight="1" x14ac:dyDescent="0.35">
      <c r="A19" s="11">
        <v>18</v>
      </c>
      <c r="B19" s="11" t="s">
        <v>450</v>
      </c>
      <c r="C19" s="11" t="s">
        <v>451</v>
      </c>
      <c r="D19" s="12" t="s">
        <v>452</v>
      </c>
      <c r="E19" s="13" t="s">
        <v>159</v>
      </c>
      <c r="F19" s="13" t="s">
        <v>160</v>
      </c>
      <c r="G19" s="13" t="s">
        <v>160</v>
      </c>
      <c r="H19" s="13" t="s">
        <v>160</v>
      </c>
      <c r="I19" s="13" t="s">
        <v>159</v>
      </c>
      <c r="J19" s="13" t="s">
        <v>160</v>
      </c>
      <c r="K19" s="13" t="s">
        <v>160</v>
      </c>
      <c r="L19" s="13" t="s">
        <v>160</v>
      </c>
      <c r="M19" s="13" t="s">
        <v>160</v>
      </c>
      <c r="N19" s="13" t="s">
        <v>160</v>
      </c>
      <c r="O19" s="13" t="s">
        <v>160</v>
      </c>
      <c r="P19" s="13" t="s">
        <v>160</v>
      </c>
      <c r="Q19" s="13" t="s">
        <v>160</v>
      </c>
      <c r="R19" s="13" t="s">
        <v>160</v>
      </c>
      <c r="S19" s="13" t="s">
        <v>160</v>
      </c>
      <c r="T19" s="13" t="s">
        <v>160</v>
      </c>
      <c r="U19" s="13" t="s">
        <v>160</v>
      </c>
      <c r="V19" s="13" t="s">
        <v>160</v>
      </c>
      <c r="W19" s="13" t="s">
        <v>160</v>
      </c>
      <c r="X19" s="13" t="s">
        <v>160</v>
      </c>
      <c r="Y19" s="13" t="s">
        <v>160</v>
      </c>
      <c r="Z19" s="13" t="s">
        <v>159</v>
      </c>
      <c r="AA19" s="13" t="s">
        <v>159</v>
      </c>
      <c r="AB19" s="13" t="s">
        <v>160</v>
      </c>
      <c r="AC19" s="9">
        <f t="shared" si="0"/>
        <v>20</v>
      </c>
      <c r="AD19" s="9">
        <f t="shared" si="1"/>
        <v>4</v>
      </c>
      <c r="AE19" s="10">
        <f t="shared" si="2"/>
        <v>-80</v>
      </c>
    </row>
    <row r="20" spans="1:31" ht="21" customHeight="1" x14ac:dyDescent="0.35">
      <c r="A20" s="6">
        <v>19</v>
      </c>
      <c r="B20" s="6" t="s">
        <v>453</v>
      </c>
      <c r="C20" s="6" t="s">
        <v>454</v>
      </c>
      <c r="D20" s="7" t="s">
        <v>455</v>
      </c>
      <c r="E20" s="8" t="s">
        <v>159</v>
      </c>
      <c r="F20" s="8" t="s">
        <v>159</v>
      </c>
      <c r="G20" s="8" t="s">
        <v>159</v>
      </c>
      <c r="H20" s="8" t="s">
        <v>159</v>
      </c>
      <c r="I20" s="8" t="s">
        <v>160</v>
      </c>
      <c r="J20" s="8" t="s">
        <v>160</v>
      </c>
      <c r="K20" s="8" t="s">
        <v>160</v>
      </c>
      <c r="L20" s="8" t="s">
        <v>160</v>
      </c>
      <c r="M20" s="8" t="s">
        <v>160</v>
      </c>
      <c r="N20" s="8" t="s">
        <v>159</v>
      </c>
      <c r="O20" s="8" t="s">
        <v>159</v>
      </c>
      <c r="P20" s="8" t="s">
        <v>160</v>
      </c>
      <c r="Q20" s="8" t="s">
        <v>159</v>
      </c>
      <c r="R20" s="8" t="s">
        <v>159</v>
      </c>
      <c r="S20" s="8" t="s">
        <v>159</v>
      </c>
      <c r="T20" s="8" t="s">
        <v>159</v>
      </c>
      <c r="U20" s="8" t="s">
        <v>160</v>
      </c>
      <c r="V20" s="8" t="s">
        <v>160</v>
      </c>
      <c r="W20" s="8" t="s">
        <v>160</v>
      </c>
      <c r="X20" s="8" t="s">
        <v>160</v>
      </c>
      <c r="Y20" s="8" t="s">
        <v>160</v>
      </c>
      <c r="Z20" s="8" t="s">
        <v>160</v>
      </c>
      <c r="AA20" s="8" t="s">
        <v>182</v>
      </c>
      <c r="AB20" s="8" t="s">
        <v>159</v>
      </c>
      <c r="AC20" s="9">
        <f t="shared" si="0"/>
        <v>12</v>
      </c>
      <c r="AD20" s="9">
        <f t="shared" si="1"/>
        <v>11</v>
      </c>
      <c r="AE20" s="10">
        <f t="shared" si="2"/>
        <v>-5</v>
      </c>
    </row>
    <row r="21" spans="1:31" ht="21" customHeight="1" x14ac:dyDescent="0.35">
      <c r="A21" s="11">
        <v>20</v>
      </c>
      <c r="B21" s="11" t="s">
        <v>456</v>
      </c>
      <c r="C21" s="11" t="s">
        <v>457</v>
      </c>
      <c r="D21" s="12" t="s">
        <v>458</v>
      </c>
      <c r="E21" s="13" t="s">
        <v>160</v>
      </c>
      <c r="F21" s="13" t="s">
        <v>160</v>
      </c>
      <c r="G21" s="13" t="s">
        <v>159</v>
      </c>
      <c r="H21" s="13" t="s">
        <v>159</v>
      </c>
      <c r="I21" s="13" t="s">
        <v>159</v>
      </c>
      <c r="J21" s="13" t="s">
        <v>159</v>
      </c>
      <c r="K21" s="13" t="s">
        <v>160</v>
      </c>
      <c r="L21" s="13" t="s">
        <v>160</v>
      </c>
      <c r="M21" s="13" t="s">
        <v>159</v>
      </c>
      <c r="N21" s="13" t="s">
        <v>159</v>
      </c>
      <c r="O21" s="13" t="s">
        <v>160</v>
      </c>
      <c r="P21" s="13" t="s">
        <v>160</v>
      </c>
      <c r="Q21" s="13" t="s">
        <v>160</v>
      </c>
      <c r="R21" s="13" t="s">
        <v>159</v>
      </c>
      <c r="S21" s="13" t="s">
        <v>160</v>
      </c>
      <c r="T21" s="13" t="s">
        <v>159</v>
      </c>
      <c r="U21" s="13" t="s">
        <v>160</v>
      </c>
      <c r="V21" s="13" t="s">
        <v>159</v>
      </c>
      <c r="W21" s="13" t="s">
        <v>160</v>
      </c>
      <c r="X21" s="13" t="s">
        <v>159</v>
      </c>
      <c r="Y21" s="13" t="s">
        <v>159</v>
      </c>
      <c r="Z21" s="13" t="s">
        <v>160</v>
      </c>
      <c r="AA21" s="13" t="s">
        <v>182</v>
      </c>
      <c r="AB21" s="13" t="s">
        <v>159</v>
      </c>
      <c r="AC21" s="9">
        <f t="shared" si="0"/>
        <v>11</v>
      </c>
      <c r="AD21" s="9">
        <f t="shared" si="1"/>
        <v>12</v>
      </c>
      <c r="AE21" s="10">
        <f t="shared" si="2"/>
        <v>5</v>
      </c>
    </row>
    <row r="22" spans="1:31" ht="21" customHeight="1" x14ac:dyDescent="0.35">
      <c r="A22" s="6">
        <v>21</v>
      </c>
      <c r="B22" s="6" t="s">
        <v>459</v>
      </c>
      <c r="C22" s="6" t="s">
        <v>460</v>
      </c>
      <c r="D22" s="7" t="s">
        <v>461</v>
      </c>
      <c r="E22" s="8" t="s">
        <v>159</v>
      </c>
      <c r="F22" s="8" t="s">
        <v>159</v>
      </c>
      <c r="G22" s="8" t="s">
        <v>159</v>
      </c>
      <c r="H22" s="8" t="s">
        <v>182</v>
      </c>
      <c r="I22" s="8" t="s">
        <v>159</v>
      </c>
      <c r="J22" s="8" t="s">
        <v>159</v>
      </c>
      <c r="K22" s="8" t="s">
        <v>159</v>
      </c>
      <c r="L22" s="8" t="s">
        <v>160</v>
      </c>
      <c r="M22" s="8" t="s">
        <v>159</v>
      </c>
      <c r="N22" s="8" t="s">
        <v>159</v>
      </c>
      <c r="O22" s="8" t="s">
        <v>160</v>
      </c>
      <c r="P22" s="8" t="s">
        <v>160</v>
      </c>
      <c r="Q22" s="8" t="s">
        <v>159</v>
      </c>
      <c r="R22" s="8" t="s">
        <v>159</v>
      </c>
      <c r="S22" s="8" t="s">
        <v>160</v>
      </c>
      <c r="T22" s="8" t="s">
        <v>160</v>
      </c>
      <c r="U22" s="8" t="s">
        <v>159</v>
      </c>
      <c r="V22" s="8" t="s">
        <v>160</v>
      </c>
      <c r="W22" s="8" t="s">
        <v>160</v>
      </c>
      <c r="X22" s="8" t="s">
        <v>159</v>
      </c>
      <c r="Y22" s="8" t="s">
        <v>159</v>
      </c>
      <c r="Z22" s="8" t="s">
        <v>159</v>
      </c>
      <c r="AA22" s="8" t="s">
        <v>159</v>
      </c>
      <c r="AB22" s="8" t="s">
        <v>159</v>
      </c>
      <c r="AC22" s="9">
        <f t="shared" si="0"/>
        <v>7</v>
      </c>
      <c r="AD22" s="9">
        <f t="shared" si="1"/>
        <v>16</v>
      </c>
      <c r="AE22" s="10">
        <f t="shared" si="2"/>
        <v>45</v>
      </c>
    </row>
    <row r="23" spans="1:31" ht="21" customHeight="1" x14ac:dyDescent="0.35">
      <c r="A23" s="11">
        <v>22</v>
      </c>
      <c r="B23" s="11" t="s">
        <v>462</v>
      </c>
      <c r="C23" s="11" t="s">
        <v>463</v>
      </c>
      <c r="D23" s="12" t="s">
        <v>464</v>
      </c>
      <c r="E23" s="13" t="s">
        <v>159</v>
      </c>
      <c r="F23" s="13" t="s">
        <v>182</v>
      </c>
      <c r="G23" s="13" t="s">
        <v>159</v>
      </c>
      <c r="H23" s="13" t="s">
        <v>160</v>
      </c>
      <c r="I23" s="13" t="s">
        <v>159</v>
      </c>
      <c r="J23" s="13" t="s">
        <v>160</v>
      </c>
      <c r="K23" s="13" t="s">
        <v>160</v>
      </c>
      <c r="L23" s="13" t="s">
        <v>160</v>
      </c>
      <c r="M23" s="13" t="s">
        <v>159</v>
      </c>
      <c r="N23" s="13" t="s">
        <v>160</v>
      </c>
      <c r="O23" s="13" t="s">
        <v>159</v>
      </c>
      <c r="P23" s="13" t="s">
        <v>160</v>
      </c>
      <c r="Q23" s="13" t="s">
        <v>160</v>
      </c>
      <c r="R23" s="13" t="s">
        <v>159</v>
      </c>
      <c r="S23" s="13" t="s">
        <v>160</v>
      </c>
      <c r="T23" s="13" t="s">
        <v>159</v>
      </c>
      <c r="U23" s="13" t="s">
        <v>160</v>
      </c>
      <c r="V23" s="13" t="s">
        <v>160</v>
      </c>
      <c r="W23" s="13" t="s">
        <v>160</v>
      </c>
      <c r="X23" s="13" t="s">
        <v>159</v>
      </c>
      <c r="Y23" s="13" t="s">
        <v>160</v>
      </c>
      <c r="Z23" s="13" t="s">
        <v>159</v>
      </c>
      <c r="AA23" s="13" t="s">
        <v>159</v>
      </c>
      <c r="AB23" s="13" t="s">
        <v>159</v>
      </c>
      <c r="AC23" s="9">
        <f t="shared" si="0"/>
        <v>12</v>
      </c>
      <c r="AD23" s="9">
        <f t="shared" si="1"/>
        <v>11</v>
      </c>
      <c r="AE23" s="10">
        <f t="shared" si="2"/>
        <v>-5</v>
      </c>
    </row>
    <row r="24" spans="1:31" ht="21" customHeight="1" x14ac:dyDescent="0.35">
      <c r="A24" s="6">
        <v>23</v>
      </c>
      <c r="B24" s="6" t="s">
        <v>465</v>
      </c>
      <c r="C24" s="6" t="s">
        <v>466</v>
      </c>
      <c r="D24" s="7" t="s">
        <v>467</v>
      </c>
      <c r="E24" s="8" t="s">
        <v>159</v>
      </c>
      <c r="F24" s="8" t="s">
        <v>182</v>
      </c>
      <c r="G24" s="8" t="s">
        <v>159</v>
      </c>
      <c r="H24" s="8" t="s">
        <v>159</v>
      </c>
      <c r="I24" s="8" t="s">
        <v>182</v>
      </c>
      <c r="J24" s="8" t="s">
        <v>159</v>
      </c>
      <c r="K24" s="8" t="s">
        <v>159</v>
      </c>
      <c r="L24" s="8" t="s">
        <v>159</v>
      </c>
      <c r="M24" s="8" t="s">
        <v>160</v>
      </c>
      <c r="N24" s="8" t="s">
        <v>159</v>
      </c>
      <c r="O24" s="8" t="s">
        <v>159</v>
      </c>
      <c r="P24" s="8" t="s">
        <v>159</v>
      </c>
      <c r="Q24" s="8" t="s">
        <v>160</v>
      </c>
      <c r="R24" s="8" t="s">
        <v>159</v>
      </c>
      <c r="S24" s="8" t="s">
        <v>159</v>
      </c>
      <c r="T24" s="8" t="s">
        <v>160</v>
      </c>
      <c r="U24" s="8" t="s">
        <v>160</v>
      </c>
      <c r="V24" s="8" t="s">
        <v>160</v>
      </c>
      <c r="W24" s="8" t="s">
        <v>159</v>
      </c>
      <c r="X24" s="8" t="s">
        <v>159</v>
      </c>
      <c r="Y24" s="8" t="s">
        <v>159</v>
      </c>
      <c r="Z24" s="8" t="s">
        <v>159</v>
      </c>
      <c r="AA24" s="8" t="s">
        <v>159</v>
      </c>
      <c r="AB24" s="8" t="s">
        <v>159</v>
      </c>
      <c r="AC24" s="9">
        <f t="shared" si="0"/>
        <v>5</v>
      </c>
      <c r="AD24" s="9">
        <f t="shared" si="1"/>
        <v>17</v>
      </c>
      <c r="AE24" s="10">
        <f t="shared" si="2"/>
        <v>60</v>
      </c>
    </row>
    <row r="25" spans="1:31" ht="21" customHeight="1" x14ac:dyDescent="0.35">
      <c r="A25" s="11">
        <v>24</v>
      </c>
      <c r="B25" s="11" t="s">
        <v>468</v>
      </c>
      <c r="C25" s="11" t="s">
        <v>469</v>
      </c>
      <c r="D25" s="12" t="s">
        <v>470</v>
      </c>
      <c r="E25" s="13" t="s">
        <v>182</v>
      </c>
      <c r="F25" s="13" t="s">
        <v>159</v>
      </c>
      <c r="G25" s="13" t="s">
        <v>159</v>
      </c>
      <c r="H25" s="13" t="s">
        <v>182</v>
      </c>
      <c r="I25" s="13" t="s">
        <v>159</v>
      </c>
      <c r="J25" s="13" t="s">
        <v>182</v>
      </c>
      <c r="K25" s="13" t="s">
        <v>159</v>
      </c>
      <c r="L25" s="13" t="s">
        <v>160</v>
      </c>
      <c r="M25" s="13" t="s">
        <v>160</v>
      </c>
      <c r="N25" s="13" t="s">
        <v>160</v>
      </c>
      <c r="O25" s="13" t="s">
        <v>160</v>
      </c>
      <c r="P25" s="13" t="s">
        <v>160</v>
      </c>
      <c r="Q25" s="13" t="s">
        <v>160</v>
      </c>
      <c r="R25" s="13" t="s">
        <v>160</v>
      </c>
      <c r="S25" s="13" t="s">
        <v>160</v>
      </c>
      <c r="T25" s="13" t="s">
        <v>160</v>
      </c>
      <c r="U25" s="13" t="s">
        <v>160</v>
      </c>
      <c r="V25" s="13" t="s">
        <v>160</v>
      </c>
      <c r="W25" s="13" t="s">
        <v>160</v>
      </c>
      <c r="X25" s="13" t="s">
        <v>159</v>
      </c>
      <c r="Y25" s="13" t="s">
        <v>159</v>
      </c>
      <c r="Z25" s="13" t="s">
        <v>160</v>
      </c>
      <c r="AA25" s="13" t="s">
        <v>159</v>
      </c>
      <c r="AB25" s="13" t="s">
        <v>159</v>
      </c>
      <c r="AC25" s="9">
        <f t="shared" si="0"/>
        <v>13</v>
      </c>
      <c r="AD25" s="9">
        <f t="shared" si="1"/>
        <v>8</v>
      </c>
      <c r="AE25" s="10">
        <f t="shared" si="2"/>
        <v>-25</v>
      </c>
    </row>
    <row r="26" spans="1:31" ht="21" customHeight="1" x14ac:dyDescent="0.35">
      <c r="A26" s="6">
        <v>25</v>
      </c>
      <c r="B26" s="6" t="s">
        <v>471</v>
      </c>
      <c r="C26" s="6" t="s">
        <v>472</v>
      </c>
      <c r="D26" s="7" t="s">
        <v>473</v>
      </c>
      <c r="E26" s="8" t="s">
        <v>182</v>
      </c>
      <c r="F26" s="8" t="s">
        <v>182</v>
      </c>
      <c r="G26" s="8" t="s">
        <v>159</v>
      </c>
      <c r="H26" s="8" t="s">
        <v>182</v>
      </c>
      <c r="I26" s="8" t="s">
        <v>159</v>
      </c>
      <c r="J26" s="8" t="s">
        <v>182</v>
      </c>
      <c r="K26" s="8" t="s">
        <v>159</v>
      </c>
      <c r="L26" s="8" t="s">
        <v>160</v>
      </c>
      <c r="M26" s="8" t="s">
        <v>159</v>
      </c>
      <c r="N26" s="8" t="s">
        <v>160</v>
      </c>
      <c r="O26" s="8" t="s">
        <v>160</v>
      </c>
      <c r="P26" s="8" t="s">
        <v>160</v>
      </c>
      <c r="Q26" s="8" t="s">
        <v>160</v>
      </c>
      <c r="R26" s="8" t="s">
        <v>160</v>
      </c>
      <c r="S26" s="8" t="s">
        <v>160</v>
      </c>
      <c r="T26" s="8" t="s">
        <v>160</v>
      </c>
      <c r="U26" s="8" t="s">
        <v>160</v>
      </c>
      <c r="V26" s="8" t="s">
        <v>160</v>
      </c>
      <c r="W26" s="8" t="s">
        <v>160</v>
      </c>
      <c r="X26" s="8" t="s">
        <v>182</v>
      </c>
      <c r="Y26" s="8" t="s">
        <v>159</v>
      </c>
      <c r="Z26" s="8" t="s">
        <v>160</v>
      </c>
      <c r="AA26" s="8" t="s">
        <v>160</v>
      </c>
      <c r="AB26" s="8" t="s">
        <v>160</v>
      </c>
      <c r="AC26" s="9">
        <f t="shared" si="0"/>
        <v>14</v>
      </c>
      <c r="AD26" s="9">
        <f t="shared" si="1"/>
        <v>5</v>
      </c>
      <c r="AE26" s="10">
        <f t="shared" si="2"/>
        <v>-45</v>
      </c>
    </row>
    <row r="27" spans="1:31" ht="21" customHeight="1" x14ac:dyDescent="0.35">
      <c r="A27" s="11">
        <v>26</v>
      </c>
      <c r="B27" s="11" t="s">
        <v>474</v>
      </c>
      <c r="C27" s="11" t="s">
        <v>475</v>
      </c>
      <c r="D27" s="12" t="s">
        <v>476</v>
      </c>
      <c r="E27" s="13" t="s">
        <v>159</v>
      </c>
      <c r="F27" s="13" t="s">
        <v>159</v>
      </c>
      <c r="G27" s="13" t="s">
        <v>159</v>
      </c>
      <c r="H27" s="13" t="s">
        <v>159</v>
      </c>
      <c r="I27" s="13" t="s">
        <v>159</v>
      </c>
      <c r="J27" s="13" t="s">
        <v>160</v>
      </c>
      <c r="K27" s="13" t="s">
        <v>160</v>
      </c>
      <c r="L27" s="13" t="s">
        <v>160</v>
      </c>
      <c r="M27" s="13" t="s">
        <v>160</v>
      </c>
      <c r="N27" s="13" t="s">
        <v>160</v>
      </c>
      <c r="O27" s="13" t="s">
        <v>160</v>
      </c>
      <c r="P27" s="13" t="s">
        <v>160</v>
      </c>
      <c r="Q27" s="13" t="s">
        <v>160</v>
      </c>
      <c r="R27" s="13" t="s">
        <v>160</v>
      </c>
      <c r="S27" s="13" t="s">
        <v>160</v>
      </c>
      <c r="T27" s="13" t="s">
        <v>160</v>
      </c>
      <c r="U27" s="13" t="s">
        <v>160</v>
      </c>
      <c r="V27" s="13" t="s">
        <v>160</v>
      </c>
      <c r="W27" s="13" t="s">
        <v>160</v>
      </c>
      <c r="X27" s="13" t="s">
        <v>159</v>
      </c>
      <c r="Y27" s="13" t="s">
        <v>160</v>
      </c>
      <c r="Z27" s="13" t="s">
        <v>159</v>
      </c>
      <c r="AA27" s="13" t="s">
        <v>159</v>
      </c>
      <c r="AB27" s="13" t="s">
        <v>159</v>
      </c>
      <c r="AC27" s="9">
        <f t="shared" si="0"/>
        <v>15</v>
      </c>
      <c r="AD27" s="9">
        <f t="shared" si="1"/>
        <v>9</v>
      </c>
      <c r="AE27" s="10">
        <f t="shared" si="2"/>
        <v>-30</v>
      </c>
    </row>
    <row r="28" spans="1:31" ht="21" customHeight="1" x14ac:dyDescent="0.35">
      <c r="A28" s="6">
        <v>27</v>
      </c>
      <c r="B28" s="6" t="s">
        <v>477</v>
      </c>
      <c r="C28" s="6" t="s">
        <v>478</v>
      </c>
      <c r="D28" s="7" t="s">
        <v>479</v>
      </c>
      <c r="E28" s="8" t="s">
        <v>159</v>
      </c>
      <c r="F28" s="8" t="s">
        <v>159</v>
      </c>
      <c r="G28" s="8" t="s">
        <v>159</v>
      </c>
      <c r="H28" s="8" t="s">
        <v>159</v>
      </c>
      <c r="I28" s="8" t="s">
        <v>160</v>
      </c>
      <c r="J28" s="8" t="s">
        <v>159</v>
      </c>
      <c r="K28" s="8" t="s">
        <v>160</v>
      </c>
      <c r="L28" s="8" t="s">
        <v>159</v>
      </c>
      <c r="M28" s="8" t="s">
        <v>160</v>
      </c>
      <c r="N28" s="8" t="s">
        <v>160</v>
      </c>
      <c r="O28" s="8" t="s">
        <v>160</v>
      </c>
      <c r="P28" s="8" t="s">
        <v>160</v>
      </c>
      <c r="Q28" s="8" t="s">
        <v>160</v>
      </c>
      <c r="R28" s="8" t="s">
        <v>160</v>
      </c>
      <c r="S28" s="8" t="s">
        <v>160</v>
      </c>
      <c r="T28" s="8" t="s">
        <v>160</v>
      </c>
      <c r="U28" s="8" t="s">
        <v>160</v>
      </c>
      <c r="V28" s="8" t="s">
        <v>160</v>
      </c>
      <c r="W28" s="8" t="s">
        <v>160</v>
      </c>
      <c r="X28" s="8" t="s">
        <v>160</v>
      </c>
      <c r="Y28" s="8" t="s">
        <v>159</v>
      </c>
      <c r="Z28" s="8" t="s">
        <v>159</v>
      </c>
      <c r="AA28" s="8" t="s">
        <v>159</v>
      </c>
      <c r="AB28" s="8" t="s">
        <v>159</v>
      </c>
      <c r="AC28" s="9">
        <f t="shared" si="0"/>
        <v>14</v>
      </c>
      <c r="AD28" s="9">
        <f t="shared" si="1"/>
        <v>10</v>
      </c>
      <c r="AE28" s="10">
        <f t="shared" si="2"/>
        <v>-20</v>
      </c>
    </row>
    <row r="29" spans="1:31" ht="21" customHeight="1" x14ac:dyDescent="0.35">
      <c r="A29" s="11">
        <v>28</v>
      </c>
      <c r="B29" s="11" t="s">
        <v>480</v>
      </c>
      <c r="C29" s="11" t="s">
        <v>481</v>
      </c>
      <c r="D29" s="12" t="s">
        <v>482</v>
      </c>
      <c r="E29" s="13" t="s">
        <v>159</v>
      </c>
      <c r="F29" s="13" t="s">
        <v>159</v>
      </c>
      <c r="G29" s="13" t="s">
        <v>159</v>
      </c>
      <c r="H29" s="13" t="s">
        <v>159</v>
      </c>
      <c r="I29" s="13" t="s">
        <v>159</v>
      </c>
      <c r="J29" s="13" t="s">
        <v>160</v>
      </c>
      <c r="K29" s="13" t="s">
        <v>159</v>
      </c>
      <c r="L29" s="13" t="s">
        <v>159</v>
      </c>
      <c r="M29" s="13" t="s">
        <v>159</v>
      </c>
      <c r="N29" s="13" t="s">
        <v>159</v>
      </c>
      <c r="O29" s="13" t="s">
        <v>160</v>
      </c>
      <c r="P29" s="13" t="s">
        <v>160</v>
      </c>
      <c r="Q29" s="13" t="s">
        <v>160</v>
      </c>
      <c r="R29" s="13" t="s">
        <v>159</v>
      </c>
      <c r="S29" s="13" t="s">
        <v>160</v>
      </c>
      <c r="T29" s="13" t="s">
        <v>159</v>
      </c>
      <c r="U29" s="13" t="s">
        <v>160</v>
      </c>
      <c r="V29" s="13" t="s">
        <v>160</v>
      </c>
      <c r="W29" s="13" t="s">
        <v>160</v>
      </c>
      <c r="X29" s="13" t="s">
        <v>159</v>
      </c>
      <c r="Y29" s="13" t="s">
        <v>160</v>
      </c>
      <c r="Z29" s="13" t="s">
        <v>160</v>
      </c>
      <c r="AA29" s="13" t="s">
        <v>159</v>
      </c>
      <c r="AB29" s="13" t="s">
        <v>159</v>
      </c>
      <c r="AC29" s="9">
        <f t="shared" si="0"/>
        <v>10</v>
      </c>
      <c r="AD29" s="9">
        <f t="shared" si="1"/>
        <v>14</v>
      </c>
      <c r="AE29" s="10">
        <f t="shared" si="2"/>
        <v>20</v>
      </c>
    </row>
    <row r="30" spans="1:31" ht="21" customHeight="1" x14ac:dyDescent="0.35">
      <c r="A30" s="6">
        <v>29</v>
      </c>
      <c r="B30" s="6" t="s">
        <v>483</v>
      </c>
      <c r="C30" s="6" t="s">
        <v>484</v>
      </c>
      <c r="D30" s="7" t="s">
        <v>485</v>
      </c>
      <c r="E30" s="8" t="s">
        <v>160</v>
      </c>
      <c r="F30" s="8" t="s">
        <v>159</v>
      </c>
      <c r="G30" s="8" t="s">
        <v>159</v>
      </c>
      <c r="H30" s="8" t="s">
        <v>182</v>
      </c>
      <c r="I30" s="8" t="s">
        <v>159</v>
      </c>
      <c r="J30" s="8" t="s">
        <v>160</v>
      </c>
      <c r="K30" s="8" t="s">
        <v>159</v>
      </c>
      <c r="L30" s="8" t="s">
        <v>160</v>
      </c>
      <c r="M30" s="8" t="s">
        <v>159</v>
      </c>
      <c r="N30" s="8" t="s">
        <v>159</v>
      </c>
      <c r="O30" s="8" t="s">
        <v>160</v>
      </c>
      <c r="P30" s="8" t="s">
        <v>160</v>
      </c>
      <c r="Q30" s="8" t="s">
        <v>159</v>
      </c>
      <c r="R30" s="8" t="s">
        <v>160</v>
      </c>
      <c r="S30" s="8" t="s">
        <v>160</v>
      </c>
      <c r="T30" s="8" t="s">
        <v>159</v>
      </c>
      <c r="U30" s="8" t="s">
        <v>160</v>
      </c>
      <c r="V30" s="8" t="s">
        <v>160</v>
      </c>
      <c r="W30" s="8" t="s">
        <v>160</v>
      </c>
      <c r="X30" s="8" t="s">
        <v>159</v>
      </c>
      <c r="Y30" s="8" t="s">
        <v>159</v>
      </c>
      <c r="Z30" s="8" t="s">
        <v>159</v>
      </c>
      <c r="AA30" s="8" t="s">
        <v>159</v>
      </c>
      <c r="AB30" s="8" t="s">
        <v>159</v>
      </c>
      <c r="AC30" s="9">
        <f t="shared" si="0"/>
        <v>10</v>
      </c>
      <c r="AD30" s="9">
        <f t="shared" si="1"/>
        <v>13</v>
      </c>
      <c r="AE30" s="10">
        <f t="shared" si="2"/>
        <v>15</v>
      </c>
    </row>
    <row r="31" spans="1:31" ht="21" customHeight="1" x14ac:dyDescent="0.35">
      <c r="A31" s="11">
        <v>30</v>
      </c>
      <c r="B31" s="11" t="s">
        <v>486</v>
      </c>
      <c r="C31" s="11" t="s">
        <v>487</v>
      </c>
      <c r="D31" s="12" t="s">
        <v>488</v>
      </c>
      <c r="E31" s="13" t="s">
        <v>160</v>
      </c>
      <c r="F31" s="13" t="s">
        <v>159</v>
      </c>
      <c r="G31" s="13" t="s">
        <v>159</v>
      </c>
      <c r="H31" s="13" t="s">
        <v>160</v>
      </c>
      <c r="I31" s="13" t="s">
        <v>182</v>
      </c>
      <c r="J31" s="13" t="s">
        <v>159</v>
      </c>
      <c r="K31" s="13" t="s">
        <v>159</v>
      </c>
      <c r="L31" s="13" t="s">
        <v>159</v>
      </c>
      <c r="M31" s="13" t="s">
        <v>159</v>
      </c>
      <c r="N31" s="13" t="s">
        <v>160</v>
      </c>
      <c r="O31" s="13" t="s">
        <v>160</v>
      </c>
      <c r="P31" s="13" t="s">
        <v>160</v>
      </c>
      <c r="Q31" s="13" t="s">
        <v>159</v>
      </c>
      <c r="R31" s="13" t="s">
        <v>159</v>
      </c>
      <c r="S31" s="13" t="s">
        <v>159</v>
      </c>
      <c r="T31" s="13" t="s">
        <v>160</v>
      </c>
      <c r="U31" s="13" t="s">
        <v>160</v>
      </c>
      <c r="V31" s="13" t="s">
        <v>159</v>
      </c>
      <c r="W31" s="13" t="s">
        <v>159</v>
      </c>
      <c r="X31" s="13" t="s">
        <v>160</v>
      </c>
      <c r="Y31" s="13" t="s">
        <v>182</v>
      </c>
      <c r="Z31" s="13" t="s">
        <v>159</v>
      </c>
      <c r="AA31" s="13" t="s">
        <v>159</v>
      </c>
      <c r="AB31" s="13" t="s">
        <v>160</v>
      </c>
      <c r="AC31" s="9">
        <f t="shared" si="0"/>
        <v>9</v>
      </c>
      <c r="AD31" s="9">
        <f t="shared" si="1"/>
        <v>13</v>
      </c>
      <c r="AE31" s="10">
        <f t="shared" si="2"/>
        <v>20</v>
      </c>
    </row>
    <row r="32" spans="1:31" ht="21" customHeight="1" x14ac:dyDescent="0.35">
      <c r="A32" s="6">
        <v>31</v>
      </c>
      <c r="B32" s="6" t="s">
        <v>489</v>
      </c>
      <c r="C32" s="6" t="s">
        <v>490</v>
      </c>
      <c r="D32" s="7" t="s">
        <v>491</v>
      </c>
      <c r="E32" s="8" t="s">
        <v>159</v>
      </c>
      <c r="F32" s="8" t="s">
        <v>159</v>
      </c>
      <c r="G32" s="8" t="s">
        <v>159</v>
      </c>
      <c r="H32" s="8" t="s">
        <v>159</v>
      </c>
      <c r="I32" s="8" t="s">
        <v>159</v>
      </c>
      <c r="J32" s="8" t="s">
        <v>160</v>
      </c>
      <c r="K32" s="8" t="s">
        <v>160</v>
      </c>
      <c r="L32" s="8" t="s">
        <v>159</v>
      </c>
      <c r="M32" s="8" t="s">
        <v>159</v>
      </c>
      <c r="N32" s="8" t="s">
        <v>160</v>
      </c>
      <c r="O32" s="8" t="s">
        <v>159</v>
      </c>
      <c r="P32" s="8" t="s">
        <v>160</v>
      </c>
      <c r="Q32" s="8" t="s">
        <v>159</v>
      </c>
      <c r="R32" s="8" t="s">
        <v>159</v>
      </c>
      <c r="S32" s="8" t="s">
        <v>160</v>
      </c>
      <c r="T32" s="8" t="s">
        <v>159</v>
      </c>
      <c r="U32" s="8" t="s">
        <v>160</v>
      </c>
      <c r="V32" s="8" t="s">
        <v>159</v>
      </c>
      <c r="W32" s="8" t="s">
        <v>160</v>
      </c>
      <c r="X32" s="8" t="s">
        <v>159</v>
      </c>
      <c r="Y32" s="8" t="s">
        <v>182</v>
      </c>
      <c r="Z32" s="8" t="s">
        <v>159</v>
      </c>
      <c r="AA32" s="8" t="s">
        <v>159</v>
      </c>
      <c r="AB32" s="8" t="s">
        <v>159</v>
      </c>
      <c r="AC32" s="9">
        <f t="shared" si="0"/>
        <v>7</v>
      </c>
      <c r="AD32" s="9">
        <f t="shared" si="1"/>
        <v>16</v>
      </c>
      <c r="AE32" s="10">
        <f t="shared" si="2"/>
        <v>45</v>
      </c>
    </row>
    <row r="33" spans="1:31" ht="21" customHeight="1" x14ac:dyDescent="0.35">
      <c r="A33" s="11">
        <v>32</v>
      </c>
      <c r="B33" s="11" t="s">
        <v>492</v>
      </c>
      <c r="C33" s="11" t="s">
        <v>493</v>
      </c>
      <c r="D33" s="12" t="s">
        <v>494</v>
      </c>
      <c r="E33" s="13" t="s">
        <v>159</v>
      </c>
      <c r="F33" s="13" t="s">
        <v>182</v>
      </c>
      <c r="G33" s="13" t="s">
        <v>160</v>
      </c>
      <c r="H33" s="13" t="s">
        <v>160</v>
      </c>
      <c r="I33" s="13" t="s">
        <v>182</v>
      </c>
      <c r="J33" s="13" t="s">
        <v>182</v>
      </c>
      <c r="K33" s="13" t="s">
        <v>160</v>
      </c>
      <c r="L33" s="13" t="s">
        <v>160</v>
      </c>
      <c r="M33" s="13" t="s">
        <v>160</v>
      </c>
      <c r="N33" s="13" t="s">
        <v>160</v>
      </c>
      <c r="O33" s="13" t="s">
        <v>160</v>
      </c>
      <c r="P33" s="13" t="s">
        <v>160</v>
      </c>
      <c r="Q33" s="13" t="s">
        <v>160</v>
      </c>
      <c r="R33" s="13" t="s">
        <v>160</v>
      </c>
      <c r="S33" s="13" t="s">
        <v>160</v>
      </c>
      <c r="T33" s="13" t="s">
        <v>160</v>
      </c>
      <c r="U33" s="13" t="s">
        <v>160</v>
      </c>
      <c r="V33" s="13" t="s">
        <v>159</v>
      </c>
      <c r="W33" s="13" t="s">
        <v>160</v>
      </c>
      <c r="X33" s="13" t="s">
        <v>160</v>
      </c>
      <c r="Y33" s="13" t="s">
        <v>160</v>
      </c>
      <c r="Z33" s="13" t="s">
        <v>159</v>
      </c>
      <c r="AA33" s="13" t="s">
        <v>160</v>
      </c>
      <c r="AB33" s="13" t="s">
        <v>159</v>
      </c>
      <c r="AC33" s="9">
        <f t="shared" si="0"/>
        <v>17</v>
      </c>
      <c r="AD33" s="9">
        <f t="shared" si="1"/>
        <v>4</v>
      </c>
      <c r="AE33" s="10">
        <f t="shared" si="2"/>
        <v>-65</v>
      </c>
    </row>
    <row r="34" spans="1:31" ht="21" customHeight="1" x14ac:dyDescent="0.35">
      <c r="A34" s="6">
        <v>33</v>
      </c>
      <c r="B34" s="6" t="s">
        <v>495</v>
      </c>
      <c r="C34" s="6" t="s">
        <v>496</v>
      </c>
      <c r="D34" s="7" t="s">
        <v>497</v>
      </c>
      <c r="E34" s="8" t="s">
        <v>160</v>
      </c>
      <c r="F34" s="8" t="s">
        <v>160</v>
      </c>
      <c r="G34" s="8" t="s">
        <v>159</v>
      </c>
      <c r="H34" s="8" t="s">
        <v>159</v>
      </c>
      <c r="I34" s="8" t="s">
        <v>159</v>
      </c>
      <c r="J34" s="8" t="s">
        <v>159</v>
      </c>
      <c r="K34" s="8" t="s">
        <v>159</v>
      </c>
      <c r="L34" s="8" t="s">
        <v>160</v>
      </c>
      <c r="M34" s="8" t="s">
        <v>159</v>
      </c>
      <c r="N34" s="8" t="s">
        <v>159</v>
      </c>
      <c r="O34" s="8" t="s">
        <v>160</v>
      </c>
      <c r="P34" s="8" t="s">
        <v>160</v>
      </c>
      <c r="Q34" s="8" t="s">
        <v>160</v>
      </c>
      <c r="R34" s="8" t="s">
        <v>160</v>
      </c>
      <c r="S34" s="8" t="s">
        <v>160</v>
      </c>
      <c r="T34" s="8" t="s">
        <v>160</v>
      </c>
      <c r="U34" s="8" t="s">
        <v>159</v>
      </c>
      <c r="V34" s="8" t="s">
        <v>159</v>
      </c>
      <c r="W34" s="8" t="s">
        <v>160</v>
      </c>
      <c r="X34" s="8" t="s">
        <v>182</v>
      </c>
      <c r="Y34" s="8" t="s">
        <v>159</v>
      </c>
      <c r="Z34" s="8" t="s">
        <v>159</v>
      </c>
      <c r="AA34" s="8" t="s">
        <v>159</v>
      </c>
      <c r="AB34" s="8" t="s">
        <v>160</v>
      </c>
      <c r="AC34" s="9">
        <f t="shared" si="0"/>
        <v>11</v>
      </c>
      <c r="AD34" s="9">
        <f t="shared" si="1"/>
        <v>12</v>
      </c>
      <c r="AE34" s="10">
        <f t="shared" si="2"/>
        <v>5</v>
      </c>
    </row>
    <row r="35" spans="1:31" ht="21" customHeight="1" x14ac:dyDescent="0.35">
      <c r="A35" s="1"/>
      <c r="B35" s="11" t="s">
        <v>498</v>
      </c>
      <c r="C35" s="11" t="s">
        <v>499</v>
      </c>
      <c r="D35" s="12" t="s">
        <v>500</v>
      </c>
      <c r="E35" s="22" t="s">
        <v>501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8"/>
      <c r="T35" s="13" t="s">
        <v>159</v>
      </c>
      <c r="U35" s="13" t="s">
        <v>160</v>
      </c>
      <c r="V35" s="13" t="s">
        <v>160</v>
      </c>
      <c r="W35" s="13" t="s">
        <v>160</v>
      </c>
      <c r="X35" s="13" t="s">
        <v>160</v>
      </c>
      <c r="Y35" s="13" t="s">
        <v>159</v>
      </c>
      <c r="Z35" s="13" t="s">
        <v>159</v>
      </c>
      <c r="AA35" s="13" t="s">
        <v>159</v>
      </c>
      <c r="AB35" s="13" t="s">
        <v>159</v>
      </c>
      <c r="AC35" s="9">
        <f t="shared" si="0"/>
        <v>4</v>
      </c>
      <c r="AD35" s="9">
        <f t="shared" si="1"/>
        <v>5</v>
      </c>
      <c r="AE35" s="10">
        <f t="shared" si="2"/>
        <v>5</v>
      </c>
    </row>
    <row r="36" spans="1:31" ht="21" customHeight="1" x14ac:dyDescent="0.35">
      <c r="A36" s="1"/>
      <c r="B36" s="6" t="s">
        <v>502</v>
      </c>
      <c r="C36" s="6" t="s">
        <v>503</v>
      </c>
      <c r="D36" s="7" t="s">
        <v>504</v>
      </c>
      <c r="E36" s="2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1"/>
      <c r="T36" s="8" t="s">
        <v>159</v>
      </c>
      <c r="U36" s="8" t="s">
        <v>160</v>
      </c>
      <c r="V36" s="8" t="s">
        <v>160</v>
      </c>
      <c r="W36" s="8" t="s">
        <v>159</v>
      </c>
      <c r="X36" s="8" t="s">
        <v>159</v>
      </c>
      <c r="Y36" s="8" t="s">
        <v>160</v>
      </c>
      <c r="Z36" s="8" t="s">
        <v>160</v>
      </c>
      <c r="AA36" s="8" t="s">
        <v>159</v>
      </c>
      <c r="AB36" s="8" t="s">
        <v>159</v>
      </c>
      <c r="AC36" s="9">
        <f t="shared" si="0"/>
        <v>4</v>
      </c>
      <c r="AD36" s="9">
        <f t="shared" si="1"/>
        <v>5</v>
      </c>
      <c r="AE36" s="10">
        <f t="shared" si="2"/>
        <v>5</v>
      </c>
    </row>
    <row r="37" spans="1:31" ht="21" customHeight="1" x14ac:dyDescent="0.35">
      <c r="A37" s="1"/>
      <c r="B37" s="1"/>
      <c r="C37" s="1"/>
      <c r="D37" s="1"/>
      <c r="E37" s="15" t="s">
        <v>159</v>
      </c>
      <c r="F37" s="15" t="s">
        <v>159</v>
      </c>
      <c r="G37" s="15" t="s">
        <v>160</v>
      </c>
      <c r="H37" s="15" t="s">
        <v>159</v>
      </c>
      <c r="I37" s="15" t="s">
        <v>159</v>
      </c>
      <c r="J37" s="15" t="s">
        <v>159</v>
      </c>
      <c r="K37" s="15" t="s">
        <v>159</v>
      </c>
      <c r="L37" s="15" t="s">
        <v>159</v>
      </c>
      <c r="M37" s="15" t="s">
        <v>159</v>
      </c>
      <c r="N37" s="15" t="s">
        <v>159</v>
      </c>
      <c r="O37" s="15" t="s">
        <v>159</v>
      </c>
      <c r="P37" s="15" t="s">
        <v>159</v>
      </c>
      <c r="Q37" s="15" t="s">
        <v>160</v>
      </c>
      <c r="R37" s="15" t="s">
        <v>160</v>
      </c>
      <c r="S37" s="15" t="s">
        <v>159</v>
      </c>
      <c r="T37" s="15" t="s">
        <v>159</v>
      </c>
      <c r="U37" s="15" t="s">
        <v>159</v>
      </c>
      <c r="V37" s="15" t="s">
        <v>159</v>
      </c>
      <c r="W37" s="15" t="s">
        <v>160</v>
      </c>
      <c r="X37" s="15" t="s">
        <v>159</v>
      </c>
      <c r="Y37" s="15" t="s">
        <v>182</v>
      </c>
      <c r="Z37" s="15" t="s">
        <v>159</v>
      </c>
      <c r="AA37" s="15" t="s">
        <v>159</v>
      </c>
      <c r="AB37" s="15" t="s">
        <v>160</v>
      </c>
      <c r="AC37" s="16" t="s">
        <v>159</v>
      </c>
      <c r="AD37" s="16" t="s">
        <v>159</v>
      </c>
      <c r="AE37" s="16" t="s">
        <v>159</v>
      </c>
    </row>
  </sheetData>
  <autoFilter ref="A1:AE37" xr:uid="{00000000-0009-0000-0000-000006000000}"/>
  <mergeCells count="1">
    <mergeCell ref="E35:S36"/>
  </mergeCells>
  <conditionalFormatting sqref="A1:AE1">
    <cfRule type="cellIs" dxfId="59" priority="2" operator="equal">
      <formula>"Present"</formula>
    </cfRule>
    <cfRule type="cellIs" dxfId="58" priority="3" operator="equal">
      <formula>"Absent"</formula>
    </cfRule>
  </conditionalFormatting>
  <conditionalFormatting sqref="E2:M34">
    <cfRule type="cellIs" dxfId="57" priority="8" operator="equal">
      <formula>"Present"</formula>
    </cfRule>
    <cfRule type="cellIs" dxfId="56" priority="9" operator="equal">
      <formula>"Absent"</formula>
    </cfRule>
  </conditionalFormatting>
  <conditionalFormatting sqref="E2:AB37">
    <cfRule type="cellIs" dxfId="55" priority="18" operator="equal">
      <formula>"Present"</formula>
    </cfRule>
    <cfRule type="cellIs" dxfId="54" priority="18" operator="equal">
      <formula>"Absent"</formula>
    </cfRule>
    <cfRule type="cellIs" dxfId="53" priority="19" operator="equal">
      <formula>"Late"</formula>
    </cfRule>
  </conditionalFormatting>
  <conditionalFormatting sqref="N2:AB2 N3:T34 U3:AB36 T35:T36">
    <cfRule type="cellIs" dxfId="52" priority="6" operator="equal">
      <formula>"Present"</formula>
    </cfRule>
    <cfRule type="cellIs" dxfId="51" priority="7" operator="equal">
      <formula>"Absent"</formula>
    </cfRule>
  </conditionalFormatting>
  <dataValidations count="2">
    <dataValidation type="list" allowBlank="1" showInputMessage="1" showErrorMessage="1" sqref="E2:AB34 T35:AB36" xr:uid="{00000000-0002-0000-0600-000000000000}">
      <formula1>"Present,Absent,Excused absence"</formula1>
      <formula2>0</formula2>
    </dataValidation>
    <dataValidation type="list" allowBlank="1" showInputMessage="1" showErrorMessage="1" sqref="E1:AE1" xr:uid="{00000000-0002-0000-0600-000001000000}">
      <formula1>$A$1:$AE$1</formula1>
      <formula2>0</formula2>
    </dataValidation>
  </dataValidations>
  <pageMargins left="0.25" right="0.25" top="0.5" bottom="0.5" header="0.3" footer="0.511811023622047"/>
  <pageSetup fitToHeight="0" orientation="landscape" horizontalDpi="300" verticalDpi="300"/>
  <headerFooter>
    <oddHeader>&amp;L&amp;"Arial,Regular"&amp;1 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  <pageSetUpPr fitToPage="1"/>
  </sheetPr>
  <dimension ref="A1:AE38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47" sqref="N47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1.7265625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45961</v>
      </c>
      <c r="AC1" s="4" t="s">
        <v>153</v>
      </c>
      <c r="AD1" s="4" t="s">
        <v>154</v>
      </c>
      <c r="AE1" s="4" t="s">
        <v>155</v>
      </c>
    </row>
    <row r="2" spans="1:31" ht="21" customHeight="1" x14ac:dyDescent="0.35">
      <c r="A2" s="6">
        <v>1</v>
      </c>
      <c r="B2" s="6" t="s">
        <v>514</v>
      </c>
      <c r="C2" s="6" t="s">
        <v>515</v>
      </c>
      <c r="D2" s="7" t="s">
        <v>516</v>
      </c>
      <c r="E2" s="8" t="s">
        <v>159</v>
      </c>
      <c r="F2" s="8" t="s">
        <v>159</v>
      </c>
      <c r="G2" s="8" t="s">
        <v>159</v>
      </c>
      <c r="H2" s="8" t="s">
        <v>159</v>
      </c>
      <c r="I2" s="8" t="s">
        <v>159</v>
      </c>
      <c r="J2" s="8" t="s">
        <v>159</v>
      </c>
      <c r="K2" s="8" t="s">
        <v>159</v>
      </c>
      <c r="L2" s="8" t="s">
        <v>159</v>
      </c>
      <c r="M2" s="8" t="s">
        <v>159</v>
      </c>
      <c r="N2" s="8" t="s">
        <v>159</v>
      </c>
      <c r="O2" s="8" t="s">
        <v>160</v>
      </c>
      <c r="P2" s="8" t="s">
        <v>159</v>
      </c>
      <c r="Q2" s="8" t="s">
        <v>160</v>
      </c>
      <c r="R2" s="8" t="s">
        <v>159</v>
      </c>
      <c r="S2" s="8" t="s">
        <v>159</v>
      </c>
      <c r="T2" s="8" t="s">
        <v>159</v>
      </c>
      <c r="U2" s="8" t="s">
        <v>159</v>
      </c>
      <c r="V2" s="8" t="s">
        <v>159</v>
      </c>
      <c r="W2" s="8" t="s">
        <v>159</v>
      </c>
      <c r="X2" s="8" t="s">
        <v>159</v>
      </c>
      <c r="Y2" s="8" t="s">
        <v>159</v>
      </c>
      <c r="Z2" s="8" t="s">
        <v>159</v>
      </c>
      <c r="AA2" s="8" t="s">
        <v>159</v>
      </c>
      <c r="AB2" s="8" t="s">
        <v>159</v>
      </c>
      <c r="AC2" s="9">
        <f t="shared" ref="AC2:AC38" si="0">COUNTIF(E2:AB2,"Absent")</f>
        <v>2</v>
      </c>
      <c r="AD2" s="9">
        <f t="shared" ref="AD2:AD38" si="1">COUNTIF(E2:AB2,"Present")</f>
        <v>22</v>
      </c>
      <c r="AE2" s="10">
        <f t="shared" ref="AE2:AE38" si="2">(AD2*5)+(AC2*-5)</f>
        <v>100</v>
      </c>
    </row>
    <row r="3" spans="1:31" ht="21" customHeight="1" x14ac:dyDescent="0.35">
      <c r="A3" s="11">
        <v>2</v>
      </c>
      <c r="B3" s="11" t="s">
        <v>517</v>
      </c>
      <c r="C3" s="11" t="s">
        <v>518</v>
      </c>
      <c r="D3" s="12" t="s">
        <v>519</v>
      </c>
      <c r="E3" s="13" t="s">
        <v>159</v>
      </c>
      <c r="F3" s="13" t="s">
        <v>160</v>
      </c>
      <c r="G3" s="13" t="s">
        <v>159</v>
      </c>
      <c r="H3" s="13" t="s">
        <v>160</v>
      </c>
      <c r="I3" s="13" t="s">
        <v>159</v>
      </c>
      <c r="J3" s="13" t="s">
        <v>159</v>
      </c>
      <c r="K3" s="13" t="s">
        <v>160</v>
      </c>
      <c r="L3" s="13" t="s">
        <v>160</v>
      </c>
      <c r="M3" s="13" t="s">
        <v>159</v>
      </c>
      <c r="N3" s="13" t="s">
        <v>160</v>
      </c>
      <c r="O3" s="13" t="s">
        <v>160</v>
      </c>
      <c r="P3" s="13" t="s">
        <v>160</v>
      </c>
      <c r="Q3" s="13" t="s">
        <v>160</v>
      </c>
      <c r="R3" s="13" t="s">
        <v>160</v>
      </c>
      <c r="S3" s="13" t="s">
        <v>160</v>
      </c>
      <c r="T3" s="13" t="s">
        <v>160</v>
      </c>
      <c r="U3" s="13" t="s">
        <v>160</v>
      </c>
      <c r="V3" s="13" t="s">
        <v>160</v>
      </c>
      <c r="W3" s="13" t="s">
        <v>160</v>
      </c>
      <c r="X3" s="13" t="s">
        <v>159</v>
      </c>
      <c r="Y3" s="13" t="s">
        <v>159</v>
      </c>
      <c r="Z3" s="13" t="s">
        <v>159</v>
      </c>
      <c r="AA3" s="13" t="s">
        <v>159</v>
      </c>
      <c r="AB3" s="13" t="s">
        <v>159</v>
      </c>
      <c r="AC3" s="9">
        <f t="shared" si="0"/>
        <v>14</v>
      </c>
      <c r="AD3" s="9">
        <f t="shared" si="1"/>
        <v>10</v>
      </c>
      <c r="AE3" s="10">
        <f t="shared" si="2"/>
        <v>-20</v>
      </c>
    </row>
    <row r="4" spans="1:31" ht="21" customHeight="1" x14ac:dyDescent="0.35">
      <c r="A4" s="6">
        <v>3</v>
      </c>
      <c r="B4" s="6" t="s">
        <v>520</v>
      </c>
      <c r="C4" s="6" t="s">
        <v>521</v>
      </c>
      <c r="D4" s="7" t="s">
        <v>522</v>
      </c>
      <c r="E4" s="8" t="s">
        <v>159</v>
      </c>
      <c r="F4" s="8" t="s">
        <v>159</v>
      </c>
      <c r="G4" s="8" t="s">
        <v>159</v>
      </c>
      <c r="H4" s="8" t="s">
        <v>159</v>
      </c>
      <c r="I4" s="8" t="s">
        <v>159</v>
      </c>
      <c r="J4" s="8" t="s">
        <v>159</v>
      </c>
      <c r="K4" s="8" t="s">
        <v>159</v>
      </c>
      <c r="L4" s="8" t="s">
        <v>159</v>
      </c>
      <c r="M4" s="8" t="s">
        <v>159</v>
      </c>
      <c r="N4" s="8" t="s">
        <v>159</v>
      </c>
      <c r="O4" s="8" t="s">
        <v>159</v>
      </c>
      <c r="P4" s="8" t="s">
        <v>159</v>
      </c>
      <c r="Q4" s="8" t="s">
        <v>160</v>
      </c>
      <c r="R4" s="8" t="s">
        <v>159</v>
      </c>
      <c r="S4" s="8" t="s">
        <v>160</v>
      </c>
      <c r="T4" s="8" t="s">
        <v>160</v>
      </c>
      <c r="U4" s="8" t="s">
        <v>159</v>
      </c>
      <c r="V4" s="8" t="s">
        <v>159</v>
      </c>
      <c r="W4" s="8" t="s">
        <v>160</v>
      </c>
      <c r="X4" s="8" t="s">
        <v>159</v>
      </c>
      <c r="Y4" s="8" t="s">
        <v>159</v>
      </c>
      <c r="Z4" s="8" t="s">
        <v>159</v>
      </c>
      <c r="AA4" s="8" t="s">
        <v>159</v>
      </c>
      <c r="AB4" s="8" t="s">
        <v>159</v>
      </c>
      <c r="AC4" s="9">
        <f t="shared" si="0"/>
        <v>4</v>
      </c>
      <c r="AD4" s="9">
        <f t="shared" si="1"/>
        <v>20</v>
      </c>
      <c r="AE4" s="10">
        <f t="shared" si="2"/>
        <v>80</v>
      </c>
    </row>
    <row r="5" spans="1:31" ht="21" customHeight="1" x14ac:dyDescent="0.35">
      <c r="A5" s="11">
        <v>4</v>
      </c>
      <c r="B5" s="11" t="s">
        <v>523</v>
      </c>
      <c r="C5" s="11" t="s">
        <v>524</v>
      </c>
      <c r="D5" s="12" t="s">
        <v>525</v>
      </c>
      <c r="E5" s="13" t="s">
        <v>159</v>
      </c>
      <c r="F5" s="13" t="s">
        <v>159</v>
      </c>
      <c r="G5" s="13" t="s">
        <v>159</v>
      </c>
      <c r="H5" s="13" t="s">
        <v>159</v>
      </c>
      <c r="I5" s="13" t="s">
        <v>160</v>
      </c>
      <c r="J5" s="13" t="s">
        <v>159</v>
      </c>
      <c r="K5" s="13" t="s">
        <v>159</v>
      </c>
      <c r="L5" s="13" t="s">
        <v>159</v>
      </c>
      <c r="M5" s="13" t="s">
        <v>160</v>
      </c>
      <c r="N5" s="13" t="s">
        <v>159</v>
      </c>
      <c r="O5" s="13" t="s">
        <v>159</v>
      </c>
      <c r="P5" s="13" t="s">
        <v>159</v>
      </c>
      <c r="Q5" s="13" t="s">
        <v>159</v>
      </c>
      <c r="R5" s="13" t="s">
        <v>159</v>
      </c>
      <c r="S5" s="13" t="s">
        <v>160</v>
      </c>
      <c r="T5" s="13" t="s">
        <v>159</v>
      </c>
      <c r="U5" s="13" t="s">
        <v>160</v>
      </c>
      <c r="V5" s="13" t="s">
        <v>159</v>
      </c>
      <c r="W5" s="13" t="s">
        <v>160</v>
      </c>
      <c r="X5" s="13" t="s">
        <v>159</v>
      </c>
      <c r="Y5" s="13" t="s">
        <v>159</v>
      </c>
      <c r="Z5" s="13" t="s">
        <v>159</v>
      </c>
      <c r="AA5" s="13" t="s">
        <v>159</v>
      </c>
      <c r="AB5" s="13" t="s">
        <v>159</v>
      </c>
      <c r="AC5" s="9">
        <f t="shared" si="0"/>
        <v>5</v>
      </c>
      <c r="AD5" s="9">
        <f t="shared" si="1"/>
        <v>19</v>
      </c>
      <c r="AE5" s="10">
        <f t="shared" si="2"/>
        <v>70</v>
      </c>
    </row>
    <row r="6" spans="1:31" ht="21" customHeight="1" x14ac:dyDescent="0.35">
      <c r="A6" s="6">
        <v>5</v>
      </c>
      <c r="B6" s="6" t="s">
        <v>526</v>
      </c>
      <c r="C6" s="6" t="s">
        <v>527</v>
      </c>
      <c r="D6" s="7" t="s">
        <v>528</v>
      </c>
      <c r="E6" s="8" t="s">
        <v>160</v>
      </c>
      <c r="F6" s="8" t="s">
        <v>160</v>
      </c>
      <c r="G6" s="8" t="s">
        <v>159</v>
      </c>
      <c r="H6" s="8" t="s">
        <v>160</v>
      </c>
      <c r="I6" s="8" t="s">
        <v>159</v>
      </c>
      <c r="J6" s="8" t="s">
        <v>159</v>
      </c>
      <c r="K6" s="8" t="s">
        <v>159</v>
      </c>
      <c r="L6" s="8" t="s">
        <v>159</v>
      </c>
      <c r="M6" s="8" t="s">
        <v>160</v>
      </c>
      <c r="N6" s="8" t="s">
        <v>159</v>
      </c>
      <c r="O6" s="8" t="s">
        <v>159</v>
      </c>
      <c r="P6" s="8" t="s">
        <v>159</v>
      </c>
      <c r="Q6" s="8" t="s">
        <v>159</v>
      </c>
      <c r="R6" s="8" t="s">
        <v>159</v>
      </c>
      <c r="S6" s="8" t="s">
        <v>160</v>
      </c>
      <c r="T6" s="8" t="s">
        <v>160</v>
      </c>
      <c r="U6" s="8" t="s">
        <v>160</v>
      </c>
      <c r="V6" s="8" t="s">
        <v>160</v>
      </c>
      <c r="W6" s="8" t="s">
        <v>160</v>
      </c>
      <c r="X6" s="8" t="s">
        <v>159</v>
      </c>
      <c r="Y6" s="8" t="s">
        <v>159</v>
      </c>
      <c r="Z6" s="8" t="s">
        <v>159</v>
      </c>
      <c r="AA6" s="8" t="s">
        <v>159</v>
      </c>
      <c r="AB6" s="8" t="s">
        <v>159</v>
      </c>
      <c r="AC6" s="9">
        <f t="shared" si="0"/>
        <v>9</v>
      </c>
      <c r="AD6" s="9">
        <f t="shared" si="1"/>
        <v>15</v>
      </c>
      <c r="AE6" s="10">
        <f t="shared" si="2"/>
        <v>30</v>
      </c>
    </row>
    <row r="7" spans="1:31" ht="21" customHeight="1" x14ac:dyDescent="0.35">
      <c r="A7" s="11">
        <v>6</v>
      </c>
      <c r="B7" s="11" t="s">
        <v>529</v>
      </c>
      <c r="C7" s="11" t="s">
        <v>530</v>
      </c>
      <c r="D7" s="12" t="s">
        <v>531</v>
      </c>
      <c r="E7" s="13" t="s">
        <v>159</v>
      </c>
      <c r="F7" s="13" t="s">
        <v>159</v>
      </c>
      <c r="G7" s="13" t="s">
        <v>160</v>
      </c>
      <c r="H7" s="13" t="s">
        <v>159</v>
      </c>
      <c r="I7" s="13" t="s">
        <v>159</v>
      </c>
      <c r="J7" s="13" t="s">
        <v>159</v>
      </c>
      <c r="K7" s="13" t="s">
        <v>159</v>
      </c>
      <c r="L7" s="13" t="s">
        <v>159</v>
      </c>
      <c r="M7" s="13" t="s">
        <v>159</v>
      </c>
      <c r="N7" s="13" t="s">
        <v>159</v>
      </c>
      <c r="O7" s="13" t="s">
        <v>159</v>
      </c>
      <c r="P7" s="13" t="s">
        <v>159</v>
      </c>
      <c r="Q7" s="13" t="s">
        <v>159</v>
      </c>
      <c r="R7" s="13" t="s">
        <v>159</v>
      </c>
      <c r="S7" s="13" t="s">
        <v>160</v>
      </c>
      <c r="T7" s="13" t="s">
        <v>159</v>
      </c>
      <c r="U7" s="13" t="s">
        <v>159</v>
      </c>
      <c r="V7" s="13" t="s">
        <v>159</v>
      </c>
      <c r="W7" s="13" t="s">
        <v>159</v>
      </c>
      <c r="X7" s="13" t="s">
        <v>159</v>
      </c>
      <c r="Y7" s="13" t="s">
        <v>159</v>
      </c>
      <c r="Z7" s="13" t="s">
        <v>159</v>
      </c>
      <c r="AA7" s="13" t="s">
        <v>159</v>
      </c>
      <c r="AB7" s="13" t="s">
        <v>159</v>
      </c>
      <c r="AC7" s="9">
        <f t="shared" si="0"/>
        <v>2</v>
      </c>
      <c r="AD7" s="9">
        <f t="shared" si="1"/>
        <v>22</v>
      </c>
      <c r="AE7" s="10">
        <f t="shared" si="2"/>
        <v>100</v>
      </c>
    </row>
    <row r="8" spans="1:31" ht="21" customHeight="1" x14ac:dyDescent="0.35">
      <c r="A8" s="6">
        <v>7</v>
      </c>
      <c r="B8" s="6" t="s">
        <v>532</v>
      </c>
      <c r="C8" s="6" t="s">
        <v>533</v>
      </c>
      <c r="D8" s="7" t="s">
        <v>534</v>
      </c>
      <c r="E8" s="8" t="s">
        <v>159</v>
      </c>
      <c r="F8" s="8" t="s">
        <v>160</v>
      </c>
      <c r="G8" s="8" t="s">
        <v>159</v>
      </c>
      <c r="H8" s="8" t="s">
        <v>159</v>
      </c>
      <c r="I8" s="8" t="s">
        <v>159</v>
      </c>
      <c r="J8" s="8" t="s">
        <v>159</v>
      </c>
      <c r="K8" s="8" t="s">
        <v>159</v>
      </c>
      <c r="L8" s="8" t="s">
        <v>159</v>
      </c>
      <c r="M8" s="8" t="s">
        <v>159</v>
      </c>
      <c r="N8" s="8" t="s">
        <v>159</v>
      </c>
      <c r="O8" s="8" t="s">
        <v>160</v>
      </c>
      <c r="P8" s="8" t="s">
        <v>159</v>
      </c>
      <c r="Q8" s="8" t="s">
        <v>159</v>
      </c>
      <c r="R8" s="8" t="s">
        <v>159</v>
      </c>
      <c r="S8" s="8" t="s">
        <v>160</v>
      </c>
      <c r="T8" s="8" t="s">
        <v>160</v>
      </c>
      <c r="U8" s="8" t="s">
        <v>159</v>
      </c>
      <c r="V8" s="8" t="s">
        <v>160</v>
      </c>
      <c r="W8" s="8" t="s">
        <v>160</v>
      </c>
      <c r="X8" s="8" t="s">
        <v>159</v>
      </c>
      <c r="Y8" s="8" t="s">
        <v>159</v>
      </c>
      <c r="Z8" s="8" t="s">
        <v>159</v>
      </c>
      <c r="AA8" s="8" t="s">
        <v>159</v>
      </c>
      <c r="AB8" s="8" t="s">
        <v>159</v>
      </c>
      <c r="AC8" s="9">
        <f t="shared" si="0"/>
        <v>6</v>
      </c>
      <c r="AD8" s="9">
        <f t="shared" si="1"/>
        <v>18</v>
      </c>
      <c r="AE8" s="10">
        <f t="shared" si="2"/>
        <v>60</v>
      </c>
    </row>
    <row r="9" spans="1:31" ht="21" customHeight="1" x14ac:dyDescent="0.35">
      <c r="A9" s="11">
        <v>8</v>
      </c>
      <c r="B9" s="11" t="s">
        <v>535</v>
      </c>
      <c r="C9" s="11" t="s">
        <v>536</v>
      </c>
      <c r="D9" s="12" t="s">
        <v>537</v>
      </c>
      <c r="E9" s="13" t="s">
        <v>159</v>
      </c>
      <c r="F9" s="13" t="s">
        <v>182</v>
      </c>
      <c r="G9" s="13" t="s">
        <v>159</v>
      </c>
      <c r="H9" s="13" t="s">
        <v>159</v>
      </c>
      <c r="I9" s="13" t="s">
        <v>159</v>
      </c>
      <c r="J9" s="13" t="s">
        <v>182</v>
      </c>
      <c r="K9" s="13" t="s">
        <v>159</v>
      </c>
      <c r="L9" s="13" t="s">
        <v>160</v>
      </c>
      <c r="M9" s="13" t="s">
        <v>160</v>
      </c>
      <c r="N9" s="13" t="s">
        <v>159</v>
      </c>
      <c r="O9" s="13" t="s">
        <v>159</v>
      </c>
      <c r="P9" s="13" t="s">
        <v>159</v>
      </c>
      <c r="Q9" s="13" t="s">
        <v>160</v>
      </c>
      <c r="R9" s="13" t="s">
        <v>159</v>
      </c>
      <c r="S9" s="13" t="s">
        <v>159</v>
      </c>
      <c r="T9" s="13" t="s">
        <v>159</v>
      </c>
      <c r="U9" s="13" t="s">
        <v>160</v>
      </c>
      <c r="V9" s="13" t="s">
        <v>159</v>
      </c>
      <c r="W9" s="13" t="s">
        <v>159</v>
      </c>
      <c r="X9" s="13" t="s">
        <v>159</v>
      </c>
      <c r="Y9" s="13" t="s">
        <v>159</v>
      </c>
      <c r="Z9" s="13" t="s">
        <v>159</v>
      </c>
      <c r="AA9" s="13" t="s">
        <v>159</v>
      </c>
      <c r="AB9" s="13" t="s">
        <v>159</v>
      </c>
      <c r="AC9" s="9">
        <f t="shared" si="0"/>
        <v>4</v>
      </c>
      <c r="AD9" s="9">
        <f t="shared" si="1"/>
        <v>18</v>
      </c>
      <c r="AE9" s="10">
        <f t="shared" si="2"/>
        <v>70</v>
      </c>
    </row>
    <row r="10" spans="1:31" ht="21" customHeight="1" x14ac:dyDescent="0.35">
      <c r="A10" s="6">
        <v>9</v>
      </c>
      <c r="B10" s="6" t="s">
        <v>538</v>
      </c>
      <c r="C10" s="6" t="s">
        <v>539</v>
      </c>
      <c r="D10" s="7" t="s">
        <v>540</v>
      </c>
      <c r="E10" s="8" t="s">
        <v>159</v>
      </c>
      <c r="F10" s="8" t="s">
        <v>159</v>
      </c>
      <c r="G10" s="8" t="s">
        <v>159</v>
      </c>
      <c r="H10" s="8" t="s">
        <v>159</v>
      </c>
      <c r="I10" s="8" t="s">
        <v>159</v>
      </c>
      <c r="J10" s="8" t="s">
        <v>159</v>
      </c>
      <c r="K10" s="8" t="s">
        <v>159</v>
      </c>
      <c r="L10" s="8" t="s">
        <v>159</v>
      </c>
      <c r="M10" s="8" t="s">
        <v>159</v>
      </c>
      <c r="N10" s="8" t="s">
        <v>160</v>
      </c>
      <c r="O10" s="8" t="s">
        <v>160</v>
      </c>
      <c r="P10" s="8" t="s">
        <v>159</v>
      </c>
      <c r="Q10" s="8" t="s">
        <v>159</v>
      </c>
      <c r="R10" s="8" t="s">
        <v>159</v>
      </c>
      <c r="S10" s="8" t="s">
        <v>160</v>
      </c>
      <c r="T10" s="8" t="s">
        <v>160</v>
      </c>
      <c r="U10" s="8" t="s">
        <v>159</v>
      </c>
      <c r="V10" s="8" t="s">
        <v>159</v>
      </c>
      <c r="W10" s="8" t="s">
        <v>159</v>
      </c>
      <c r="X10" s="8" t="s">
        <v>159</v>
      </c>
      <c r="Y10" s="8" t="s">
        <v>159</v>
      </c>
      <c r="Z10" s="8" t="s">
        <v>159</v>
      </c>
      <c r="AA10" s="8" t="s">
        <v>159</v>
      </c>
      <c r="AB10" s="8" t="s">
        <v>159</v>
      </c>
      <c r="AC10" s="9">
        <f t="shared" si="0"/>
        <v>4</v>
      </c>
      <c r="AD10" s="9">
        <f t="shared" si="1"/>
        <v>20</v>
      </c>
      <c r="AE10" s="10">
        <f t="shared" si="2"/>
        <v>80</v>
      </c>
    </row>
    <row r="11" spans="1:31" ht="21" customHeight="1" x14ac:dyDescent="0.35">
      <c r="A11" s="11">
        <v>10</v>
      </c>
      <c r="B11" s="11" t="s">
        <v>541</v>
      </c>
      <c r="C11" s="11" t="s">
        <v>542</v>
      </c>
      <c r="D11" s="12" t="s">
        <v>543</v>
      </c>
      <c r="E11" s="13" t="s">
        <v>159</v>
      </c>
      <c r="F11" s="13" t="s">
        <v>159</v>
      </c>
      <c r="G11" s="13" t="s">
        <v>159</v>
      </c>
      <c r="H11" s="13" t="s">
        <v>159</v>
      </c>
      <c r="I11" s="13" t="s">
        <v>159</v>
      </c>
      <c r="J11" s="13" t="s">
        <v>159</v>
      </c>
      <c r="K11" s="13" t="s">
        <v>159</v>
      </c>
      <c r="L11" s="13" t="s">
        <v>159</v>
      </c>
      <c r="M11" s="13" t="s">
        <v>159</v>
      </c>
      <c r="N11" s="13" t="s">
        <v>160</v>
      </c>
      <c r="O11" s="13" t="s">
        <v>159</v>
      </c>
      <c r="P11" s="13" t="s">
        <v>159</v>
      </c>
      <c r="Q11" s="13" t="s">
        <v>159</v>
      </c>
      <c r="R11" s="13" t="s">
        <v>159</v>
      </c>
      <c r="S11" s="13" t="s">
        <v>160</v>
      </c>
      <c r="T11" s="13" t="s">
        <v>160</v>
      </c>
      <c r="U11" s="13" t="s">
        <v>160</v>
      </c>
      <c r="V11" s="13" t="s">
        <v>160</v>
      </c>
      <c r="W11" s="13" t="s">
        <v>160</v>
      </c>
      <c r="X11" s="13" t="s">
        <v>159</v>
      </c>
      <c r="Y11" s="13" t="s">
        <v>159</v>
      </c>
      <c r="Z11" s="13" t="s">
        <v>159</v>
      </c>
      <c r="AA11" s="13" t="s">
        <v>159</v>
      </c>
      <c r="AB11" s="13" t="s">
        <v>159</v>
      </c>
      <c r="AC11" s="9">
        <f t="shared" si="0"/>
        <v>6</v>
      </c>
      <c r="AD11" s="9">
        <f t="shared" si="1"/>
        <v>18</v>
      </c>
      <c r="AE11" s="10">
        <f t="shared" si="2"/>
        <v>60</v>
      </c>
    </row>
    <row r="12" spans="1:31" ht="21" customHeight="1" x14ac:dyDescent="0.35">
      <c r="A12" s="6">
        <v>11</v>
      </c>
      <c r="B12" s="6" t="s">
        <v>544</v>
      </c>
      <c r="C12" s="6" t="s">
        <v>545</v>
      </c>
      <c r="D12" s="7" t="s">
        <v>546</v>
      </c>
      <c r="E12" s="8" t="s">
        <v>159</v>
      </c>
      <c r="F12" s="8" t="s">
        <v>159</v>
      </c>
      <c r="G12" s="8" t="s">
        <v>159</v>
      </c>
      <c r="H12" s="8" t="s">
        <v>159</v>
      </c>
      <c r="I12" s="8" t="s">
        <v>159</v>
      </c>
      <c r="J12" s="8" t="s">
        <v>159</v>
      </c>
      <c r="K12" s="8" t="s">
        <v>159</v>
      </c>
      <c r="L12" s="8" t="s">
        <v>159</v>
      </c>
      <c r="M12" s="8" t="s">
        <v>159</v>
      </c>
      <c r="N12" s="8" t="s">
        <v>159</v>
      </c>
      <c r="O12" s="8" t="s">
        <v>159</v>
      </c>
      <c r="P12" s="8" t="s">
        <v>160</v>
      </c>
      <c r="Q12" s="8" t="s">
        <v>159</v>
      </c>
      <c r="R12" s="8" t="s">
        <v>159</v>
      </c>
      <c r="S12" s="8" t="s">
        <v>159</v>
      </c>
      <c r="T12" s="8" t="s">
        <v>159</v>
      </c>
      <c r="U12" s="8" t="s">
        <v>159</v>
      </c>
      <c r="V12" s="8" t="s">
        <v>159</v>
      </c>
      <c r="W12" s="8" t="s">
        <v>160</v>
      </c>
      <c r="X12" s="8" t="s">
        <v>159</v>
      </c>
      <c r="Y12" s="8" t="s">
        <v>159</v>
      </c>
      <c r="Z12" s="8" t="s">
        <v>159</v>
      </c>
      <c r="AA12" s="8" t="s">
        <v>159</v>
      </c>
      <c r="AB12" s="8" t="s">
        <v>159</v>
      </c>
      <c r="AC12" s="9">
        <f t="shared" si="0"/>
        <v>2</v>
      </c>
      <c r="AD12" s="9">
        <f t="shared" si="1"/>
        <v>22</v>
      </c>
      <c r="AE12" s="10">
        <f t="shared" si="2"/>
        <v>100</v>
      </c>
    </row>
    <row r="13" spans="1:31" ht="21" customHeight="1" x14ac:dyDescent="0.35">
      <c r="A13" s="11">
        <v>12</v>
      </c>
      <c r="B13" s="11" t="s">
        <v>547</v>
      </c>
      <c r="C13" s="11" t="s">
        <v>548</v>
      </c>
      <c r="D13" s="12" t="s">
        <v>549</v>
      </c>
      <c r="E13" s="13" t="s">
        <v>159</v>
      </c>
      <c r="F13" s="13" t="s">
        <v>159</v>
      </c>
      <c r="G13" s="13" t="s">
        <v>159</v>
      </c>
      <c r="H13" s="13" t="s">
        <v>182</v>
      </c>
      <c r="I13" s="13" t="s">
        <v>159</v>
      </c>
      <c r="J13" s="13" t="s">
        <v>159</v>
      </c>
      <c r="K13" s="13" t="s">
        <v>160</v>
      </c>
      <c r="L13" s="13" t="s">
        <v>160</v>
      </c>
      <c r="M13" s="13" t="s">
        <v>160</v>
      </c>
      <c r="N13" s="13" t="s">
        <v>160</v>
      </c>
      <c r="O13" s="13" t="s">
        <v>160</v>
      </c>
      <c r="P13" s="13" t="s">
        <v>160</v>
      </c>
      <c r="Q13" s="13" t="s">
        <v>160</v>
      </c>
      <c r="R13" s="13" t="s">
        <v>160</v>
      </c>
      <c r="S13" s="13" t="s">
        <v>160</v>
      </c>
      <c r="T13" s="13" t="s">
        <v>160</v>
      </c>
      <c r="U13" s="13" t="s">
        <v>160</v>
      </c>
      <c r="V13" s="13" t="s">
        <v>160</v>
      </c>
      <c r="W13" s="13" t="s">
        <v>160</v>
      </c>
      <c r="X13" s="13" t="s">
        <v>159</v>
      </c>
      <c r="Y13" s="13" t="s">
        <v>159</v>
      </c>
      <c r="Z13" s="13" t="s">
        <v>159</v>
      </c>
      <c r="AA13" s="13" t="s">
        <v>159</v>
      </c>
      <c r="AB13" s="13" t="s">
        <v>159</v>
      </c>
      <c r="AC13" s="9">
        <f t="shared" si="0"/>
        <v>13</v>
      </c>
      <c r="AD13" s="9">
        <f t="shared" si="1"/>
        <v>10</v>
      </c>
      <c r="AE13" s="10">
        <f t="shared" si="2"/>
        <v>-15</v>
      </c>
    </row>
    <row r="14" spans="1:31" ht="21" customHeight="1" x14ac:dyDescent="0.35">
      <c r="A14" s="6">
        <v>13</v>
      </c>
      <c r="B14" s="6" t="s">
        <v>550</v>
      </c>
      <c r="C14" s="6" t="s">
        <v>551</v>
      </c>
      <c r="D14" s="7" t="s">
        <v>552</v>
      </c>
      <c r="E14" s="8" t="s">
        <v>159</v>
      </c>
      <c r="F14" s="8" t="s">
        <v>159</v>
      </c>
      <c r="G14" s="8" t="s">
        <v>159</v>
      </c>
      <c r="H14" s="8" t="s">
        <v>159</v>
      </c>
      <c r="I14" s="8" t="s">
        <v>159</v>
      </c>
      <c r="J14" s="8" t="s">
        <v>160</v>
      </c>
      <c r="K14" s="8" t="s">
        <v>159</v>
      </c>
      <c r="L14" s="8" t="s">
        <v>159</v>
      </c>
      <c r="M14" s="8" t="s">
        <v>159</v>
      </c>
      <c r="N14" s="8" t="s">
        <v>160</v>
      </c>
      <c r="O14" s="8" t="s">
        <v>159</v>
      </c>
      <c r="P14" s="8" t="s">
        <v>159</v>
      </c>
      <c r="Q14" s="8" t="s">
        <v>159</v>
      </c>
      <c r="R14" s="8" t="s">
        <v>159</v>
      </c>
      <c r="S14" s="8" t="s">
        <v>159</v>
      </c>
      <c r="T14" s="8" t="s">
        <v>160</v>
      </c>
      <c r="U14" s="8" t="s">
        <v>160</v>
      </c>
      <c r="V14" s="8" t="s">
        <v>160</v>
      </c>
      <c r="W14" s="8" t="s">
        <v>160</v>
      </c>
      <c r="X14" s="8" t="s">
        <v>159</v>
      </c>
      <c r="Y14" s="8" t="s">
        <v>159</v>
      </c>
      <c r="Z14" s="8" t="s">
        <v>159</v>
      </c>
      <c r="AA14" s="8" t="s">
        <v>159</v>
      </c>
      <c r="AB14" s="8" t="s">
        <v>159</v>
      </c>
      <c r="AC14" s="9">
        <f t="shared" si="0"/>
        <v>6</v>
      </c>
      <c r="AD14" s="9">
        <f t="shared" si="1"/>
        <v>18</v>
      </c>
      <c r="AE14" s="10">
        <f t="shared" si="2"/>
        <v>60</v>
      </c>
    </row>
    <row r="15" spans="1:31" ht="21" customHeight="1" x14ac:dyDescent="0.35">
      <c r="A15" s="11">
        <v>14</v>
      </c>
      <c r="B15" s="11" t="s">
        <v>553</v>
      </c>
      <c r="C15" s="11" t="s">
        <v>554</v>
      </c>
      <c r="D15" s="12" t="s">
        <v>555</v>
      </c>
      <c r="E15" s="13" t="s">
        <v>159</v>
      </c>
      <c r="F15" s="13" t="s">
        <v>159</v>
      </c>
      <c r="G15" s="13" t="s">
        <v>182</v>
      </c>
      <c r="H15" s="13" t="s">
        <v>159</v>
      </c>
      <c r="I15" s="13" t="s">
        <v>159</v>
      </c>
      <c r="J15" s="13" t="s">
        <v>159</v>
      </c>
      <c r="K15" s="13" t="s">
        <v>159</v>
      </c>
      <c r="L15" s="13" t="s">
        <v>159</v>
      </c>
      <c r="M15" s="13" t="s">
        <v>159</v>
      </c>
      <c r="N15" s="13" t="s">
        <v>159</v>
      </c>
      <c r="O15" s="13" t="s">
        <v>159</v>
      </c>
      <c r="P15" s="13" t="s">
        <v>159</v>
      </c>
      <c r="Q15" s="13" t="s">
        <v>159</v>
      </c>
      <c r="R15" s="13" t="s">
        <v>159</v>
      </c>
      <c r="S15" s="13" t="s">
        <v>160</v>
      </c>
      <c r="T15" s="13" t="s">
        <v>159</v>
      </c>
      <c r="U15" s="13" t="s">
        <v>159</v>
      </c>
      <c r="V15" s="13" t="s">
        <v>160</v>
      </c>
      <c r="W15" s="13" t="s">
        <v>159</v>
      </c>
      <c r="X15" s="13" t="s">
        <v>159</v>
      </c>
      <c r="Y15" s="13" t="s">
        <v>159</v>
      </c>
      <c r="Z15" s="13" t="s">
        <v>159</v>
      </c>
      <c r="AA15" s="13" t="s">
        <v>159</v>
      </c>
      <c r="AB15" s="13" t="s">
        <v>159</v>
      </c>
      <c r="AC15" s="9">
        <f t="shared" si="0"/>
        <v>2</v>
      </c>
      <c r="AD15" s="9">
        <f t="shared" si="1"/>
        <v>21</v>
      </c>
      <c r="AE15" s="10">
        <f t="shared" si="2"/>
        <v>95</v>
      </c>
    </row>
    <row r="16" spans="1:31" ht="21" customHeight="1" x14ac:dyDescent="0.35">
      <c r="A16" s="6">
        <v>15</v>
      </c>
      <c r="B16" s="6" t="s">
        <v>556</v>
      </c>
      <c r="C16" s="6" t="s">
        <v>557</v>
      </c>
      <c r="D16" s="7" t="s">
        <v>558</v>
      </c>
      <c r="E16" s="8" t="s">
        <v>182</v>
      </c>
      <c r="F16" s="8" t="s">
        <v>159</v>
      </c>
      <c r="G16" s="8" t="s">
        <v>159</v>
      </c>
      <c r="H16" s="8" t="s">
        <v>159</v>
      </c>
      <c r="I16" s="8" t="s">
        <v>159</v>
      </c>
      <c r="J16" s="8" t="s">
        <v>160</v>
      </c>
      <c r="K16" s="8" t="s">
        <v>160</v>
      </c>
      <c r="L16" s="8" t="s">
        <v>159</v>
      </c>
      <c r="M16" s="8" t="s">
        <v>159</v>
      </c>
      <c r="N16" s="8" t="s">
        <v>160</v>
      </c>
      <c r="O16" s="8" t="s">
        <v>159</v>
      </c>
      <c r="P16" s="8" t="s">
        <v>159</v>
      </c>
      <c r="Q16" s="8" t="s">
        <v>160</v>
      </c>
      <c r="R16" s="8" t="s">
        <v>159</v>
      </c>
      <c r="S16" s="8" t="s">
        <v>160</v>
      </c>
      <c r="T16" s="8" t="s">
        <v>160</v>
      </c>
      <c r="U16" s="8" t="s">
        <v>160</v>
      </c>
      <c r="V16" s="8" t="s">
        <v>159</v>
      </c>
      <c r="W16" s="8" t="s">
        <v>160</v>
      </c>
      <c r="X16" s="8" t="s">
        <v>159</v>
      </c>
      <c r="Y16" s="8" t="s">
        <v>159</v>
      </c>
      <c r="Z16" s="8" t="s">
        <v>159</v>
      </c>
      <c r="AA16" s="8" t="s">
        <v>159</v>
      </c>
      <c r="AB16" s="8" t="s">
        <v>159</v>
      </c>
      <c r="AC16" s="9">
        <f t="shared" si="0"/>
        <v>8</v>
      </c>
      <c r="AD16" s="9">
        <f t="shared" si="1"/>
        <v>15</v>
      </c>
      <c r="AE16" s="10">
        <f t="shared" si="2"/>
        <v>35</v>
      </c>
    </row>
    <row r="17" spans="1:31" ht="21" customHeight="1" x14ac:dyDescent="0.35">
      <c r="A17" s="11">
        <v>16</v>
      </c>
      <c r="B17" s="11" t="s">
        <v>559</v>
      </c>
      <c r="C17" s="11" t="s">
        <v>560</v>
      </c>
      <c r="D17" s="12" t="s">
        <v>561</v>
      </c>
      <c r="E17" s="13" t="s">
        <v>159</v>
      </c>
      <c r="F17" s="13" t="s">
        <v>182</v>
      </c>
      <c r="G17" s="13" t="s">
        <v>159</v>
      </c>
      <c r="H17" s="13" t="s">
        <v>182</v>
      </c>
      <c r="I17" s="13" t="s">
        <v>182</v>
      </c>
      <c r="J17" s="13" t="s">
        <v>182</v>
      </c>
      <c r="K17" s="13" t="s">
        <v>160</v>
      </c>
      <c r="L17" s="13" t="s">
        <v>160</v>
      </c>
      <c r="M17" s="13" t="s">
        <v>160</v>
      </c>
      <c r="N17" s="13" t="s">
        <v>160</v>
      </c>
      <c r="O17" s="13" t="s">
        <v>159</v>
      </c>
      <c r="P17" s="13" t="s">
        <v>160</v>
      </c>
      <c r="Q17" s="13" t="s">
        <v>159</v>
      </c>
      <c r="R17" s="13" t="s">
        <v>160</v>
      </c>
      <c r="S17" s="13" t="s">
        <v>160</v>
      </c>
      <c r="T17" s="13" t="s">
        <v>160</v>
      </c>
      <c r="U17" s="13" t="s">
        <v>160</v>
      </c>
      <c r="V17" s="13" t="s">
        <v>159</v>
      </c>
      <c r="W17" s="13" t="s">
        <v>160</v>
      </c>
      <c r="X17" s="13" t="s">
        <v>159</v>
      </c>
      <c r="Y17" s="13" t="s">
        <v>159</v>
      </c>
      <c r="Z17" s="13" t="s">
        <v>159</v>
      </c>
      <c r="AA17" s="13" t="s">
        <v>159</v>
      </c>
      <c r="AB17" s="13" t="s">
        <v>159</v>
      </c>
      <c r="AC17" s="9">
        <f t="shared" si="0"/>
        <v>10</v>
      </c>
      <c r="AD17" s="9">
        <f t="shared" si="1"/>
        <v>10</v>
      </c>
      <c r="AE17" s="10">
        <f t="shared" si="2"/>
        <v>0</v>
      </c>
    </row>
    <row r="18" spans="1:31" ht="21" customHeight="1" x14ac:dyDescent="0.35">
      <c r="A18" s="6">
        <v>17</v>
      </c>
      <c r="B18" s="6" t="s">
        <v>562</v>
      </c>
      <c r="C18" s="6" t="s">
        <v>563</v>
      </c>
      <c r="D18" s="7" t="s">
        <v>564</v>
      </c>
      <c r="E18" s="8" t="s">
        <v>159</v>
      </c>
      <c r="F18" s="8" t="s">
        <v>159</v>
      </c>
      <c r="G18" s="8" t="s">
        <v>159</v>
      </c>
      <c r="H18" s="8" t="s">
        <v>159</v>
      </c>
      <c r="I18" s="8" t="s">
        <v>159</v>
      </c>
      <c r="J18" s="8" t="s">
        <v>159</v>
      </c>
      <c r="K18" s="8" t="s">
        <v>159</v>
      </c>
      <c r="L18" s="8" t="s">
        <v>159</v>
      </c>
      <c r="M18" s="8" t="s">
        <v>159</v>
      </c>
      <c r="N18" s="8" t="s">
        <v>159</v>
      </c>
      <c r="O18" s="8" t="s">
        <v>159</v>
      </c>
      <c r="P18" s="8" t="s">
        <v>159</v>
      </c>
      <c r="Q18" s="8" t="s">
        <v>159</v>
      </c>
      <c r="R18" s="8" t="s">
        <v>159</v>
      </c>
      <c r="S18" s="8" t="s">
        <v>160</v>
      </c>
      <c r="T18" s="8" t="s">
        <v>159</v>
      </c>
      <c r="U18" s="8" t="s">
        <v>160</v>
      </c>
      <c r="V18" s="8" t="s">
        <v>159</v>
      </c>
      <c r="W18" s="8" t="s">
        <v>160</v>
      </c>
      <c r="X18" s="8" t="s">
        <v>159</v>
      </c>
      <c r="Y18" s="8" t="s">
        <v>159</v>
      </c>
      <c r="Z18" s="8" t="s">
        <v>159</v>
      </c>
      <c r="AA18" s="8" t="s">
        <v>159</v>
      </c>
      <c r="AB18" s="8" t="s">
        <v>159</v>
      </c>
      <c r="AC18" s="9">
        <f t="shared" si="0"/>
        <v>3</v>
      </c>
      <c r="AD18" s="9">
        <f t="shared" si="1"/>
        <v>21</v>
      </c>
      <c r="AE18" s="10">
        <f t="shared" si="2"/>
        <v>90</v>
      </c>
    </row>
    <row r="19" spans="1:31" ht="21" customHeight="1" x14ac:dyDescent="0.35">
      <c r="A19" s="11">
        <v>18</v>
      </c>
      <c r="B19" s="11" t="s">
        <v>565</v>
      </c>
      <c r="C19" s="11" t="s">
        <v>566</v>
      </c>
      <c r="D19" s="12" t="s">
        <v>567</v>
      </c>
      <c r="E19" s="13" t="s">
        <v>159</v>
      </c>
      <c r="F19" s="13" t="s">
        <v>159</v>
      </c>
      <c r="G19" s="13" t="s">
        <v>182</v>
      </c>
      <c r="H19" s="13" t="s">
        <v>159</v>
      </c>
      <c r="I19" s="13" t="s">
        <v>160</v>
      </c>
      <c r="J19" s="13" t="s">
        <v>159</v>
      </c>
      <c r="K19" s="13" t="s">
        <v>159</v>
      </c>
      <c r="L19" s="13" t="s">
        <v>159</v>
      </c>
      <c r="M19" s="13" t="s">
        <v>159</v>
      </c>
      <c r="N19" s="13" t="s">
        <v>159</v>
      </c>
      <c r="O19" s="13" t="s">
        <v>160</v>
      </c>
      <c r="P19" s="13" t="s">
        <v>159</v>
      </c>
      <c r="Q19" s="13" t="s">
        <v>160</v>
      </c>
      <c r="R19" s="13" t="s">
        <v>159</v>
      </c>
      <c r="S19" s="13" t="s">
        <v>160</v>
      </c>
      <c r="T19" s="13" t="s">
        <v>159</v>
      </c>
      <c r="U19" s="13" t="s">
        <v>160</v>
      </c>
      <c r="V19" s="13" t="s">
        <v>159</v>
      </c>
      <c r="W19" s="13" t="s">
        <v>160</v>
      </c>
      <c r="X19" s="13" t="s">
        <v>159</v>
      </c>
      <c r="Y19" s="13" t="s">
        <v>159</v>
      </c>
      <c r="Z19" s="13" t="s">
        <v>159</v>
      </c>
      <c r="AA19" s="13" t="s">
        <v>159</v>
      </c>
      <c r="AB19" s="13" t="s">
        <v>159</v>
      </c>
      <c r="AC19" s="9">
        <f t="shared" si="0"/>
        <v>6</v>
      </c>
      <c r="AD19" s="9">
        <f t="shared" si="1"/>
        <v>17</v>
      </c>
      <c r="AE19" s="10">
        <f t="shared" si="2"/>
        <v>55</v>
      </c>
    </row>
    <row r="20" spans="1:31" ht="21" customHeight="1" x14ac:dyDescent="0.35">
      <c r="A20" s="6">
        <v>19</v>
      </c>
      <c r="B20" s="6" t="s">
        <v>568</v>
      </c>
      <c r="C20" s="6" t="s">
        <v>569</v>
      </c>
      <c r="D20" s="7" t="s">
        <v>570</v>
      </c>
      <c r="E20" s="8" t="s">
        <v>159</v>
      </c>
      <c r="F20" s="8" t="s">
        <v>159</v>
      </c>
      <c r="G20" s="8" t="s">
        <v>159</v>
      </c>
      <c r="H20" s="8" t="s">
        <v>159</v>
      </c>
      <c r="I20" s="8" t="s">
        <v>159</v>
      </c>
      <c r="J20" s="8" t="s">
        <v>159</v>
      </c>
      <c r="K20" s="8" t="s">
        <v>160</v>
      </c>
      <c r="L20" s="8" t="s">
        <v>159</v>
      </c>
      <c r="M20" s="8" t="s">
        <v>159</v>
      </c>
      <c r="N20" s="8" t="s">
        <v>159</v>
      </c>
      <c r="O20" s="8" t="s">
        <v>159</v>
      </c>
      <c r="P20" s="8" t="s">
        <v>160</v>
      </c>
      <c r="Q20" s="8" t="s">
        <v>159</v>
      </c>
      <c r="R20" s="8" t="s">
        <v>159</v>
      </c>
      <c r="S20" s="8" t="s">
        <v>159</v>
      </c>
      <c r="T20" s="8" t="s">
        <v>159</v>
      </c>
      <c r="U20" s="8" t="s">
        <v>159</v>
      </c>
      <c r="V20" s="8" t="s">
        <v>159</v>
      </c>
      <c r="W20" s="8" t="s">
        <v>159</v>
      </c>
      <c r="X20" s="8" t="s">
        <v>159</v>
      </c>
      <c r="Y20" s="8" t="s">
        <v>159</v>
      </c>
      <c r="Z20" s="8" t="s">
        <v>159</v>
      </c>
      <c r="AA20" s="8" t="s">
        <v>159</v>
      </c>
      <c r="AB20" s="8" t="s">
        <v>159</v>
      </c>
      <c r="AC20" s="9">
        <f t="shared" si="0"/>
        <v>2</v>
      </c>
      <c r="AD20" s="9">
        <f t="shared" si="1"/>
        <v>22</v>
      </c>
      <c r="AE20" s="10">
        <f t="shared" si="2"/>
        <v>100</v>
      </c>
    </row>
    <row r="21" spans="1:31" ht="21" customHeight="1" x14ac:dyDescent="0.35">
      <c r="A21" s="11">
        <v>20</v>
      </c>
      <c r="B21" s="11" t="s">
        <v>571</v>
      </c>
      <c r="C21" s="11" t="s">
        <v>572</v>
      </c>
      <c r="D21" s="12" t="s">
        <v>573</v>
      </c>
      <c r="E21" s="13" t="s">
        <v>159</v>
      </c>
      <c r="F21" s="13" t="s">
        <v>159</v>
      </c>
      <c r="G21" s="13" t="s">
        <v>159</v>
      </c>
      <c r="H21" s="13" t="s">
        <v>159</v>
      </c>
      <c r="I21" s="13" t="s">
        <v>159</v>
      </c>
      <c r="J21" s="13" t="s">
        <v>159</v>
      </c>
      <c r="K21" s="13" t="s">
        <v>159</v>
      </c>
      <c r="L21" s="13" t="s">
        <v>159</v>
      </c>
      <c r="M21" s="13" t="s">
        <v>159</v>
      </c>
      <c r="N21" s="13" t="s">
        <v>159</v>
      </c>
      <c r="O21" s="13" t="s">
        <v>159</v>
      </c>
      <c r="P21" s="13" t="s">
        <v>159</v>
      </c>
      <c r="Q21" s="13" t="s">
        <v>159</v>
      </c>
      <c r="R21" s="13" t="s">
        <v>159</v>
      </c>
      <c r="S21" s="13" t="s">
        <v>159</v>
      </c>
      <c r="T21" s="13" t="s">
        <v>159</v>
      </c>
      <c r="U21" s="13" t="s">
        <v>160</v>
      </c>
      <c r="V21" s="13" t="s">
        <v>160</v>
      </c>
      <c r="W21" s="13" t="s">
        <v>159</v>
      </c>
      <c r="X21" s="13" t="s">
        <v>159</v>
      </c>
      <c r="Y21" s="13" t="s">
        <v>159</v>
      </c>
      <c r="Z21" s="13" t="s">
        <v>159</v>
      </c>
      <c r="AA21" s="13" t="s">
        <v>159</v>
      </c>
      <c r="AB21" s="13" t="s">
        <v>159</v>
      </c>
      <c r="AC21" s="9">
        <f t="shared" si="0"/>
        <v>2</v>
      </c>
      <c r="AD21" s="9">
        <f t="shared" si="1"/>
        <v>22</v>
      </c>
      <c r="AE21" s="10">
        <f t="shared" si="2"/>
        <v>100</v>
      </c>
    </row>
    <row r="22" spans="1:31" ht="21" customHeight="1" x14ac:dyDescent="0.35">
      <c r="A22" s="6">
        <v>21</v>
      </c>
      <c r="B22" s="6" t="s">
        <v>574</v>
      </c>
      <c r="C22" s="6" t="s">
        <v>575</v>
      </c>
      <c r="D22" s="7" t="s">
        <v>576</v>
      </c>
      <c r="E22" s="8" t="s">
        <v>159</v>
      </c>
      <c r="F22" s="8" t="s">
        <v>159</v>
      </c>
      <c r="G22" s="8" t="s">
        <v>182</v>
      </c>
      <c r="H22" s="8" t="s">
        <v>159</v>
      </c>
      <c r="I22" s="8" t="s">
        <v>159</v>
      </c>
      <c r="J22" s="8" t="s">
        <v>159</v>
      </c>
      <c r="K22" s="8" t="s">
        <v>160</v>
      </c>
      <c r="L22" s="8" t="s">
        <v>159</v>
      </c>
      <c r="M22" s="8" t="s">
        <v>160</v>
      </c>
      <c r="N22" s="8" t="s">
        <v>160</v>
      </c>
      <c r="O22" s="8" t="s">
        <v>160</v>
      </c>
      <c r="P22" s="8" t="s">
        <v>160</v>
      </c>
      <c r="Q22" s="8" t="s">
        <v>159</v>
      </c>
      <c r="R22" s="8" t="s">
        <v>159</v>
      </c>
      <c r="S22" s="8" t="s">
        <v>159</v>
      </c>
      <c r="T22" s="8" t="s">
        <v>159</v>
      </c>
      <c r="U22" s="8" t="s">
        <v>159</v>
      </c>
      <c r="V22" s="8" t="s">
        <v>159</v>
      </c>
      <c r="W22" s="8" t="s">
        <v>160</v>
      </c>
      <c r="X22" s="8" t="s">
        <v>159</v>
      </c>
      <c r="Y22" s="8" t="s">
        <v>159</v>
      </c>
      <c r="Z22" s="8" t="s">
        <v>159</v>
      </c>
      <c r="AA22" s="8" t="s">
        <v>159</v>
      </c>
      <c r="AB22" s="8" t="s">
        <v>159</v>
      </c>
      <c r="AC22" s="9">
        <f t="shared" si="0"/>
        <v>6</v>
      </c>
      <c r="AD22" s="9">
        <f t="shared" si="1"/>
        <v>17</v>
      </c>
      <c r="AE22" s="10">
        <f t="shared" si="2"/>
        <v>55</v>
      </c>
    </row>
    <row r="23" spans="1:31" ht="21" customHeight="1" x14ac:dyDescent="0.35">
      <c r="A23" s="11">
        <v>22</v>
      </c>
      <c r="B23" s="11" t="s">
        <v>577</v>
      </c>
      <c r="C23" s="11" t="s">
        <v>578</v>
      </c>
      <c r="D23" s="12" t="s">
        <v>579</v>
      </c>
      <c r="E23" s="13" t="s">
        <v>159</v>
      </c>
      <c r="F23" s="13" t="s">
        <v>159</v>
      </c>
      <c r="G23" s="13" t="s">
        <v>182</v>
      </c>
      <c r="H23" s="13" t="s">
        <v>159</v>
      </c>
      <c r="I23" s="13" t="s">
        <v>159</v>
      </c>
      <c r="J23" s="13" t="s">
        <v>160</v>
      </c>
      <c r="K23" s="13" t="s">
        <v>160</v>
      </c>
      <c r="L23" s="13" t="s">
        <v>159</v>
      </c>
      <c r="M23" s="13" t="s">
        <v>159</v>
      </c>
      <c r="N23" s="13" t="s">
        <v>160</v>
      </c>
      <c r="O23" s="13" t="s">
        <v>159</v>
      </c>
      <c r="P23" s="13" t="s">
        <v>160</v>
      </c>
      <c r="Q23" s="13" t="s">
        <v>160</v>
      </c>
      <c r="R23" s="13" t="s">
        <v>160</v>
      </c>
      <c r="S23" s="13" t="s">
        <v>160</v>
      </c>
      <c r="T23" s="13" t="s">
        <v>160</v>
      </c>
      <c r="U23" s="13" t="s">
        <v>159</v>
      </c>
      <c r="V23" s="13" t="s">
        <v>160</v>
      </c>
      <c r="W23" s="13" t="s">
        <v>160</v>
      </c>
      <c r="X23" s="13" t="s">
        <v>159</v>
      </c>
      <c r="Y23" s="13" t="s">
        <v>159</v>
      </c>
      <c r="Z23" s="13" t="s">
        <v>159</v>
      </c>
      <c r="AA23" s="13" t="s">
        <v>159</v>
      </c>
      <c r="AB23" s="13" t="s">
        <v>159</v>
      </c>
      <c r="AC23" s="9">
        <f t="shared" si="0"/>
        <v>10</v>
      </c>
      <c r="AD23" s="9">
        <f t="shared" si="1"/>
        <v>13</v>
      </c>
      <c r="AE23" s="10">
        <f t="shared" si="2"/>
        <v>15</v>
      </c>
    </row>
    <row r="24" spans="1:31" ht="21" customHeight="1" x14ac:dyDescent="0.35">
      <c r="A24" s="6">
        <v>23</v>
      </c>
      <c r="B24" s="6" t="s">
        <v>580</v>
      </c>
      <c r="C24" s="6" t="s">
        <v>581</v>
      </c>
      <c r="D24" s="7" t="s">
        <v>582</v>
      </c>
      <c r="E24" s="8" t="s">
        <v>159</v>
      </c>
      <c r="F24" s="8" t="s">
        <v>159</v>
      </c>
      <c r="G24" s="8" t="s">
        <v>160</v>
      </c>
      <c r="H24" s="8" t="s">
        <v>160</v>
      </c>
      <c r="I24" s="8" t="s">
        <v>159</v>
      </c>
      <c r="J24" s="8" t="s">
        <v>160</v>
      </c>
      <c r="K24" s="8" t="s">
        <v>159</v>
      </c>
      <c r="L24" s="8" t="s">
        <v>159</v>
      </c>
      <c r="M24" s="8" t="s">
        <v>159</v>
      </c>
      <c r="N24" s="8" t="s">
        <v>159</v>
      </c>
      <c r="O24" s="8" t="s">
        <v>159</v>
      </c>
      <c r="P24" s="8" t="s">
        <v>159</v>
      </c>
      <c r="Q24" s="8" t="s">
        <v>159</v>
      </c>
      <c r="R24" s="8" t="s">
        <v>159</v>
      </c>
      <c r="S24" s="8" t="s">
        <v>160</v>
      </c>
      <c r="T24" s="8" t="s">
        <v>159</v>
      </c>
      <c r="U24" s="8" t="s">
        <v>159</v>
      </c>
      <c r="V24" s="8" t="s">
        <v>159</v>
      </c>
      <c r="W24" s="8" t="s">
        <v>160</v>
      </c>
      <c r="X24" s="8" t="s">
        <v>159</v>
      </c>
      <c r="Y24" s="8" t="s">
        <v>159</v>
      </c>
      <c r="Z24" s="8" t="s">
        <v>159</v>
      </c>
      <c r="AA24" s="8" t="s">
        <v>159</v>
      </c>
      <c r="AB24" s="8" t="s">
        <v>159</v>
      </c>
      <c r="AC24" s="9">
        <f t="shared" si="0"/>
        <v>5</v>
      </c>
      <c r="AD24" s="9">
        <f t="shared" si="1"/>
        <v>19</v>
      </c>
      <c r="AE24" s="10">
        <f t="shared" si="2"/>
        <v>70</v>
      </c>
    </row>
    <row r="25" spans="1:31" ht="21" customHeight="1" x14ac:dyDescent="0.35">
      <c r="A25" s="11">
        <v>24</v>
      </c>
      <c r="B25" s="11" t="s">
        <v>583</v>
      </c>
      <c r="C25" s="11" t="s">
        <v>584</v>
      </c>
      <c r="D25" s="12" t="s">
        <v>585</v>
      </c>
      <c r="E25" s="13" t="s">
        <v>159</v>
      </c>
      <c r="F25" s="13" t="s">
        <v>160</v>
      </c>
      <c r="G25" s="13" t="s">
        <v>159</v>
      </c>
      <c r="H25" s="13" t="s">
        <v>159</v>
      </c>
      <c r="I25" s="13" t="s">
        <v>160</v>
      </c>
      <c r="J25" s="13" t="s">
        <v>160</v>
      </c>
      <c r="K25" s="13" t="s">
        <v>160</v>
      </c>
      <c r="L25" s="13" t="s">
        <v>160</v>
      </c>
      <c r="M25" s="13" t="s">
        <v>159</v>
      </c>
      <c r="N25" s="13" t="s">
        <v>159</v>
      </c>
      <c r="O25" s="13" t="s">
        <v>159</v>
      </c>
      <c r="P25" s="13" t="s">
        <v>159</v>
      </c>
      <c r="Q25" s="13" t="s">
        <v>159</v>
      </c>
      <c r="R25" s="13" t="s">
        <v>159</v>
      </c>
      <c r="S25" s="13" t="s">
        <v>160</v>
      </c>
      <c r="T25" s="13" t="s">
        <v>159</v>
      </c>
      <c r="U25" s="13" t="s">
        <v>160</v>
      </c>
      <c r="V25" s="13" t="s">
        <v>159</v>
      </c>
      <c r="W25" s="13" t="s">
        <v>160</v>
      </c>
      <c r="X25" s="13" t="s">
        <v>159</v>
      </c>
      <c r="Y25" s="13" t="s">
        <v>159</v>
      </c>
      <c r="Z25" s="13" t="s">
        <v>159</v>
      </c>
      <c r="AA25" s="13" t="s">
        <v>159</v>
      </c>
      <c r="AB25" s="13" t="s">
        <v>159</v>
      </c>
      <c r="AC25" s="9">
        <f t="shared" si="0"/>
        <v>8</v>
      </c>
      <c r="AD25" s="9">
        <f t="shared" si="1"/>
        <v>16</v>
      </c>
      <c r="AE25" s="10">
        <f t="shared" si="2"/>
        <v>40</v>
      </c>
    </row>
    <row r="26" spans="1:31" ht="21" customHeight="1" x14ac:dyDescent="0.35">
      <c r="A26" s="6">
        <v>25</v>
      </c>
      <c r="B26" s="6" t="s">
        <v>586</v>
      </c>
      <c r="C26" s="6" t="s">
        <v>587</v>
      </c>
      <c r="D26" s="7" t="s">
        <v>588</v>
      </c>
      <c r="E26" s="8" t="s">
        <v>159</v>
      </c>
      <c r="F26" s="8" t="s">
        <v>160</v>
      </c>
      <c r="G26" s="8" t="s">
        <v>159</v>
      </c>
      <c r="H26" s="8" t="s">
        <v>159</v>
      </c>
      <c r="I26" s="8" t="s">
        <v>160</v>
      </c>
      <c r="J26" s="8" t="s">
        <v>160</v>
      </c>
      <c r="K26" s="8" t="s">
        <v>159</v>
      </c>
      <c r="L26" s="8" t="s">
        <v>160</v>
      </c>
      <c r="M26" s="8" t="s">
        <v>159</v>
      </c>
      <c r="N26" s="8" t="s">
        <v>159</v>
      </c>
      <c r="O26" s="8" t="s">
        <v>159</v>
      </c>
      <c r="P26" s="8" t="s">
        <v>159</v>
      </c>
      <c r="Q26" s="8" t="s">
        <v>159</v>
      </c>
      <c r="R26" s="8" t="s">
        <v>159</v>
      </c>
      <c r="S26" s="8" t="s">
        <v>160</v>
      </c>
      <c r="T26" s="8" t="s">
        <v>159</v>
      </c>
      <c r="U26" s="8" t="s">
        <v>159</v>
      </c>
      <c r="V26" s="8" t="s">
        <v>160</v>
      </c>
      <c r="W26" s="8" t="s">
        <v>160</v>
      </c>
      <c r="X26" s="8" t="s">
        <v>159</v>
      </c>
      <c r="Y26" s="8" t="s">
        <v>159</v>
      </c>
      <c r="Z26" s="8" t="s">
        <v>159</v>
      </c>
      <c r="AA26" s="8" t="s">
        <v>159</v>
      </c>
      <c r="AB26" s="8" t="s">
        <v>159</v>
      </c>
      <c r="AC26" s="9">
        <f t="shared" si="0"/>
        <v>7</v>
      </c>
      <c r="AD26" s="9">
        <f t="shared" si="1"/>
        <v>17</v>
      </c>
      <c r="AE26" s="10">
        <f t="shared" si="2"/>
        <v>50</v>
      </c>
    </row>
    <row r="27" spans="1:31" ht="21" customHeight="1" x14ac:dyDescent="0.35">
      <c r="A27" s="11">
        <v>26</v>
      </c>
      <c r="B27" s="11" t="s">
        <v>589</v>
      </c>
      <c r="C27" s="11" t="s">
        <v>590</v>
      </c>
      <c r="D27" s="12" t="s">
        <v>591</v>
      </c>
      <c r="E27" s="13" t="s">
        <v>160</v>
      </c>
      <c r="F27" s="13" t="s">
        <v>182</v>
      </c>
      <c r="G27" s="13" t="s">
        <v>159</v>
      </c>
      <c r="H27" s="13" t="s">
        <v>182</v>
      </c>
      <c r="I27" s="13" t="s">
        <v>159</v>
      </c>
      <c r="J27" s="13" t="s">
        <v>160</v>
      </c>
      <c r="K27" s="13" t="s">
        <v>160</v>
      </c>
      <c r="L27" s="13" t="s">
        <v>160</v>
      </c>
      <c r="M27" s="13" t="s">
        <v>159</v>
      </c>
      <c r="N27" s="13" t="s">
        <v>159</v>
      </c>
      <c r="O27" s="13" t="s">
        <v>159</v>
      </c>
      <c r="P27" s="13" t="s">
        <v>160</v>
      </c>
      <c r="Q27" s="13" t="s">
        <v>159</v>
      </c>
      <c r="R27" s="13" t="s">
        <v>159</v>
      </c>
      <c r="S27" s="13" t="s">
        <v>160</v>
      </c>
      <c r="T27" s="13" t="s">
        <v>159</v>
      </c>
      <c r="U27" s="13" t="s">
        <v>160</v>
      </c>
      <c r="V27" s="13" t="s">
        <v>159</v>
      </c>
      <c r="W27" s="13" t="s">
        <v>160</v>
      </c>
      <c r="X27" s="13" t="s">
        <v>159</v>
      </c>
      <c r="Y27" s="13" t="s">
        <v>159</v>
      </c>
      <c r="Z27" s="13" t="s">
        <v>159</v>
      </c>
      <c r="AA27" s="13" t="s">
        <v>159</v>
      </c>
      <c r="AB27" s="13" t="s">
        <v>159</v>
      </c>
      <c r="AC27" s="9">
        <f t="shared" si="0"/>
        <v>8</v>
      </c>
      <c r="AD27" s="9">
        <f t="shared" si="1"/>
        <v>14</v>
      </c>
      <c r="AE27" s="10">
        <f t="shared" si="2"/>
        <v>30</v>
      </c>
    </row>
    <row r="28" spans="1:31" ht="21" customHeight="1" x14ac:dyDescent="0.35">
      <c r="A28" s="6">
        <v>27</v>
      </c>
      <c r="B28" s="6" t="s">
        <v>592</v>
      </c>
      <c r="C28" s="6" t="s">
        <v>593</v>
      </c>
      <c r="D28" s="7" t="s">
        <v>594</v>
      </c>
      <c r="E28" s="8" t="s">
        <v>159</v>
      </c>
      <c r="F28" s="8" t="s">
        <v>159</v>
      </c>
      <c r="G28" s="8" t="s">
        <v>159</v>
      </c>
      <c r="H28" s="8" t="s">
        <v>159</v>
      </c>
      <c r="I28" s="8" t="s">
        <v>160</v>
      </c>
      <c r="J28" s="8" t="s">
        <v>159</v>
      </c>
      <c r="K28" s="8" t="s">
        <v>160</v>
      </c>
      <c r="L28" s="8" t="s">
        <v>159</v>
      </c>
      <c r="M28" s="8" t="s">
        <v>159</v>
      </c>
      <c r="N28" s="8" t="s">
        <v>159</v>
      </c>
      <c r="O28" s="8" t="s">
        <v>159</v>
      </c>
      <c r="P28" s="8" t="s">
        <v>159</v>
      </c>
      <c r="Q28" s="8" t="s">
        <v>160</v>
      </c>
      <c r="R28" s="8" t="s">
        <v>160</v>
      </c>
      <c r="S28" s="8" t="s">
        <v>160</v>
      </c>
      <c r="T28" s="8" t="s">
        <v>159</v>
      </c>
      <c r="U28" s="8" t="s">
        <v>159</v>
      </c>
      <c r="V28" s="8" t="s">
        <v>160</v>
      </c>
      <c r="W28" s="8" t="s">
        <v>160</v>
      </c>
      <c r="X28" s="8" t="s">
        <v>159</v>
      </c>
      <c r="Y28" s="8" t="s">
        <v>159</v>
      </c>
      <c r="Z28" s="8" t="s">
        <v>159</v>
      </c>
      <c r="AA28" s="8" t="s">
        <v>159</v>
      </c>
      <c r="AB28" s="8" t="s">
        <v>159</v>
      </c>
      <c r="AC28" s="9">
        <f t="shared" si="0"/>
        <v>7</v>
      </c>
      <c r="AD28" s="9">
        <f t="shared" si="1"/>
        <v>17</v>
      </c>
      <c r="AE28" s="10">
        <f t="shared" si="2"/>
        <v>50</v>
      </c>
    </row>
    <row r="29" spans="1:31" ht="21" customHeight="1" x14ac:dyDescent="0.35">
      <c r="A29" s="11">
        <v>28</v>
      </c>
      <c r="B29" s="11" t="s">
        <v>595</v>
      </c>
      <c r="C29" s="11" t="s">
        <v>596</v>
      </c>
      <c r="D29" s="12" t="s">
        <v>597</v>
      </c>
      <c r="E29" s="13" t="s">
        <v>159</v>
      </c>
      <c r="F29" s="13" t="s">
        <v>159</v>
      </c>
      <c r="G29" s="13" t="s">
        <v>159</v>
      </c>
      <c r="H29" s="13" t="s">
        <v>159</v>
      </c>
      <c r="I29" s="13" t="s">
        <v>159</v>
      </c>
      <c r="J29" s="13" t="s">
        <v>159</v>
      </c>
      <c r="K29" s="13" t="s">
        <v>159</v>
      </c>
      <c r="L29" s="13" t="s">
        <v>160</v>
      </c>
      <c r="M29" s="13" t="s">
        <v>159</v>
      </c>
      <c r="N29" s="13" t="s">
        <v>159</v>
      </c>
      <c r="O29" s="13" t="s">
        <v>159</v>
      </c>
      <c r="P29" s="13" t="s">
        <v>159</v>
      </c>
      <c r="Q29" s="13" t="s">
        <v>159</v>
      </c>
      <c r="R29" s="13" t="s">
        <v>159</v>
      </c>
      <c r="S29" s="13" t="s">
        <v>159</v>
      </c>
      <c r="T29" s="13" t="s">
        <v>159</v>
      </c>
      <c r="U29" s="13" t="s">
        <v>159</v>
      </c>
      <c r="V29" s="13" t="s">
        <v>159</v>
      </c>
      <c r="W29" s="13" t="s">
        <v>159</v>
      </c>
      <c r="X29" s="13" t="s">
        <v>159</v>
      </c>
      <c r="Y29" s="13" t="s">
        <v>159</v>
      </c>
      <c r="Z29" s="13" t="s">
        <v>159</v>
      </c>
      <c r="AA29" s="13" t="s">
        <v>159</v>
      </c>
      <c r="AB29" s="13" t="s">
        <v>159</v>
      </c>
      <c r="AC29" s="9">
        <f t="shared" si="0"/>
        <v>1</v>
      </c>
      <c r="AD29" s="9">
        <f t="shared" si="1"/>
        <v>23</v>
      </c>
      <c r="AE29" s="10">
        <f t="shared" si="2"/>
        <v>110</v>
      </c>
    </row>
    <row r="30" spans="1:31" ht="21" customHeight="1" x14ac:dyDescent="0.35">
      <c r="A30" s="6">
        <v>29</v>
      </c>
      <c r="B30" s="6" t="s">
        <v>598</v>
      </c>
      <c r="C30" s="6" t="s">
        <v>599</v>
      </c>
      <c r="D30" s="7" t="s">
        <v>600</v>
      </c>
      <c r="E30" s="8" t="s">
        <v>159</v>
      </c>
      <c r="F30" s="8" t="s">
        <v>182</v>
      </c>
      <c r="G30" s="8" t="s">
        <v>159</v>
      </c>
      <c r="H30" s="8" t="s">
        <v>159</v>
      </c>
      <c r="I30" s="8" t="s">
        <v>159</v>
      </c>
      <c r="J30" s="8" t="s">
        <v>160</v>
      </c>
      <c r="K30" s="8" t="s">
        <v>159</v>
      </c>
      <c r="L30" s="8" t="s">
        <v>159</v>
      </c>
      <c r="M30" s="8" t="s">
        <v>160</v>
      </c>
      <c r="N30" s="8" t="s">
        <v>159</v>
      </c>
      <c r="O30" s="8" t="s">
        <v>159</v>
      </c>
      <c r="P30" s="8" t="s">
        <v>159</v>
      </c>
      <c r="Q30" s="8" t="s">
        <v>159</v>
      </c>
      <c r="R30" s="8" t="s">
        <v>159</v>
      </c>
      <c r="S30" s="8" t="s">
        <v>160</v>
      </c>
      <c r="T30" s="8" t="s">
        <v>160</v>
      </c>
      <c r="U30" s="8" t="s">
        <v>160</v>
      </c>
      <c r="V30" s="8" t="s">
        <v>159</v>
      </c>
      <c r="W30" s="8" t="s">
        <v>159</v>
      </c>
      <c r="X30" s="8" t="s">
        <v>159</v>
      </c>
      <c r="Y30" s="8" t="s">
        <v>159</v>
      </c>
      <c r="Z30" s="8" t="s">
        <v>159</v>
      </c>
      <c r="AA30" s="8" t="s">
        <v>159</v>
      </c>
      <c r="AB30" s="8" t="s">
        <v>159</v>
      </c>
      <c r="AC30" s="9">
        <f t="shared" si="0"/>
        <v>5</v>
      </c>
      <c r="AD30" s="9">
        <f t="shared" si="1"/>
        <v>18</v>
      </c>
      <c r="AE30" s="10">
        <f t="shared" si="2"/>
        <v>65</v>
      </c>
    </row>
    <row r="31" spans="1:31" ht="21" customHeight="1" x14ac:dyDescent="0.35">
      <c r="A31" s="11">
        <v>30</v>
      </c>
      <c r="B31" s="11" t="s">
        <v>601</v>
      </c>
      <c r="C31" s="11" t="s">
        <v>602</v>
      </c>
      <c r="D31" s="12" t="s">
        <v>603</v>
      </c>
      <c r="E31" s="13" t="s">
        <v>159</v>
      </c>
      <c r="F31" s="13" t="s">
        <v>182</v>
      </c>
      <c r="G31" s="13" t="s">
        <v>159</v>
      </c>
      <c r="H31" s="13" t="s">
        <v>159</v>
      </c>
      <c r="I31" s="13" t="s">
        <v>159</v>
      </c>
      <c r="J31" s="13" t="s">
        <v>160</v>
      </c>
      <c r="K31" s="13" t="s">
        <v>160</v>
      </c>
      <c r="L31" s="13" t="s">
        <v>160</v>
      </c>
      <c r="M31" s="13" t="s">
        <v>159</v>
      </c>
      <c r="N31" s="13" t="s">
        <v>159</v>
      </c>
      <c r="O31" s="13" t="s">
        <v>159</v>
      </c>
      <c r="P31" s="13" t="s">
        <v>160</v>
      </c>
      <c r="Q31" s="13" t="s">
        <v>160</v>
      </c>
      <c r="R31" s="13" t="s">
        <v>160</v>
      </c>
      <c r="S31" s="13" t="s">
        <v>159</v>
      </c>
      <c r="T31" s="13" t="s">
        <v>159</v>
      </c>
      <c r="U31" s="13" t="s">
        <v>160</v>
      </c>
      <c r="V31" s="13" t="s">
        <v>159</v>
      </c>
      <c r="W31" s="13" t="s">
        <v>160</v>
      </c>
      <c r="X31" s="13" t="s">
        <v>159</v>
      </c>
      <c r="Y31" s="13" t="s">
        <v>159</v>
      </c>
      <c r="Z31" s="13" t="s">
        <v>159</v>
      </c>
      <c r="AA31" s="13" t="s">
        <v>159</v>
      </c>
      <c r="AB31" s="13" t="s">
        <v>159</v>
      </c>
      <c r="AC31" s="9">
        <f t="shared" si="0"/>
        <v>8</v>
      </c>
      <c r="AD31" s="9">
        <f t="shared" si="1"/>
        <v>15</v>
      </c>
      <c r="AE31" s="10">
        <f t="shared" si="2"/>
        <v>35</v>
      </c>
    </row>
    <row r="32" spans="1:31" ht="21" customHeight="1" x14ac:dyDescent="0.35">
      <c r="A32" s="6">
        <v>31</v>
      </c>
      <c r="B32" s="6" t="s">
        <v>604</v>
      </c>
      <c r="C32" s="6" t="s">
        <v>605</v>
      </c>
      <c r="D32" s="7" t="s">
        <v>606</v>
      </c>
      <c r="E32" s="8" t="s">
        <v>159</v>
      </c>
      <c r="F32" s="8" t="s">
        <v>159</v>
      </c>
      <c r="G32" s="8" t="s">
        <v>159</v>
      </c>
      <c r="H32" s="8" t="s">
        <v>159</v>
      </c>
      <c r="I32" s="8" t="s">
        <v>159</v>
      </c>
      <c r="J32" s="8" t="s">
        <v>159</v>
      </c>
      <c r="K32" s="8" t="s">
        <v>159</v>
      </c>
      <c r="L32" s="8" t="s">
        <v>159</v>
      </c>
      <c r="M32" s="8" t="s">
        <v>159</v>
      </c>
      <c r="N32" s="8" t="s">
        <v>159</v>
      </c>
      <c r="O32" s="8" t="s">
        <v>159</v>
      </c>
      <c r="P32" s="8" t="s">
        <v>159</v>
      </c>
      <c r="Q32" s="8" t="s">
        <v>159</v>
      </c>
      <c r="R32" s="8" t="s">
        <v>159</v>
      </c>
      <c r="S32" s="8" t="s">
        <v>159</v>
      </c>
      <c r="T32" s="8" t="s">
        <v>159</v>
      </c>
      <c r="U32" s="8" t="s">
        <v>160</v>
      </c>
      <c r="V32" s="8" t="s">
        <v>159</v>
      </c>
      <c r="W32" s="8" t="s">
        <v>159</v>
      </c>
      <c r="X32" s="8" t="s">
        <v>159</v>
      </c>
      <c r="Y32" s="8" t="s">
        <v>159</v>
      </c>
      <c r="Z32" s="8" t="s">
        <v>159</v>
      </c>
      <c r="AA32" s="8" t="s">
        <v>159</v>
      </c>
      <c r="AB32" s="8" t="s">
        <v>159</v>
      </c>
      <c r="AC32" s="9">
        <f t="shared" si="0"/>
        <v>1</v>
      </c>
      <c r="AD32" s="9">
        <f t="shared" si="1"/>
        <v>23</v>
      </c>
      <c r="AE32" s="10">
        <f t="shared" si="2"/>
        <v>110</v>
      </c>
    </row>
    <row r="33" spans="1:31" ht="21" customHeight="1" x14ac:dyDescent="0.35">
      <c r="A33" s="11">
        <v>32</v>
      </c>
      <c r="B33" s="11" t="s">
        <v>607</v>
      </c>
      <c r="C33" s="11" t="s">
        <v>608</v>
      </c>
      <c r="D33" s="12" t="s">
        <v>609</v>
      </c>
      <c r="E33" s="13" t="s">
        <v>160</v>
      </c>
      <c r="F33" s="13" t="s">
        <v>160</v>
      </c>
      <c r="G33" s="13" t="s">
        <v>159</v>
      </c>
      <c r="H33" s="13" t="s">
        <v>159</v>
      </c>
      <c r="I33" s="13" t="s">
        <v>159</v>
      </c>
      <c r="J33" s="13" t="s">
        <v>159</v>
      </c>
      <c r="K33" s="13" t="s">
        <v>160</v>
      </c>
      <c r="L33" s="13" t="s">
        <v>159</v>
      </c>
      <c r="M33" s="13" t="s">
        <v>160</v>
      </c>
      <c r="N33" s="13" t="s">
        <v>159</v>
      </c>
      <c r="O33" s="13" t="s">
        <v>160</v>
      </c>
      <c r="P33" s="13" t="s">
        <v>160</v>
      </c>
      <c r="Q33" s="13" t="s">
        <v>159</v>
      </c>
      <c r="R33" s="13" t="s">
        <v>160</v>
      </c>
      <c r="S33" s="13" t="s">
        <v>160</v>
      </c>
      <c r="T33" s="13" t="s">
        <v>160</v>
      </c>
      <c r="U33" s="13" t="s">
        <v>160</v>
      </c>
      <c r="V33" s="13" t="s">
        <v>160</v>
      </c>
      <c r="W33" s="13" t="s">
        <v>160</v>
      </c>
      <c r="X33" s="13" t="s">
        <v>159</v>
      </c>
      <c r="Y33" s="13" t="s">
        <v>159</v>
      </c>
      <c r="Z33" s="13" t="s">
        <v>159</v>
      </c>
      <c r="AA33" s="13" t="s">
        <v>159</v>
      </c>
      <c r="AB33" s="13" t="s">
        <v>159</v>
      </c>
      <c r="AC33" s="9">
        <f t="shared" si="0"/>
        <v>12</v>
      </c>
      <c r="AD33" s="9">
        <f t="shared" si="1"/>
        <v>12</v>
      </c>
      <c r="AE33" s="10">
        <f t="shared" si="2"/>
        <v>0</v>
      </c>
    </row>
    <row r="34" spans="1:31" ht="21" customHeight="1" x14ac:dyDescent="0.35">
      <c r="A34" s="6">
        <v>33</v>
      </c>
      <c r="B34" s="6" t="s">
        <v>610</v>
      </c>
      <c r="C34" s="6" t="s">
        <v>611</v>
      </c>
      <c r="D34" s="7" t="s">
        <v>612</v>
      </c>
      <c r="E34" s="8" t="s">
        <v>160</v>
      </c>
      <c r="F34" s="8" t="s">
        <v>160</v>
      </c>
      <c r="G34" s="8" t="s">
        <v>182</v>
      </c>
      <c r="H34" s="8" t="s">
        <v>159</v>
      </c>
      <c r="I34" s="8" t="s">
        <v>160</v>
      </c>
      <c r="J34" s="8" t="s">
        <v>159</v>
      </c>
      <c r="K34" s="8" t="s">
        <v>159</v>
      </c>
      <c r="L34" s="8" t="s">
        <v>159</v>
      </c>
      <c r="M34" s="8" t="s">
        <v>159</v>
      </c>
      <c r="N34" s="8" t="s">
        <v>160</v>
      </c>
      <c r="O34" s="8" t="s">
        <v>159</v>
      </c>
      <c r="P34" s="8" t="s">
        <v>159</v>
      </c>
      <c r="Q34" s="8" t="s">
        <v>160</v>
      </c>
      <c r="R34" s="8" t="s">
        <v>159</v>
      </c>
      <c r="S34" s="8" t="s">
        <v>160</v>
      </c>
      <c r="T34" s="8" t="s">
        <v>159</v>
      </c>
      <c r="U34" s="8" t="s">
        <v>159</v>
      </c>
      <c r="V34" s="8" t="s">
        <v>159</v>
      </c>
      <c r="W34" s="8" t="s">
        <v>159</v>
      </c>
      <c r="X34" s="8" t="s">
        <v>159</v>
      </c>
      <c r="Y34" s="8" t="s">
        <v>159</v>
      </c>
      <c r="Z34" s="8" t="s">
        <v>159</v>
      </c>
      <c r="AA34" s="8" t="s">
        <v>159</v>
      </c>
      <c r="AB34" s="8" t="s">
        <v>159</v>
      </c>
      <c r="AC34" s="9">
        <f t="shared" si="0"/>
        <v>6</v>
      </c>
      <c r="AD34" s="9">
        <f t="shared" si="1"/>
        <v>17</v>
      </c>
      <c r="AE34" s="10">
        <f t="shared" si="2"/>
        <v>55</v>
      </c>
    </row>
    <row r="35" spans="1:31" ht="21" customHeight="1" x14ac:dyDescent="0.35">
      <c r="A35" s="11">
        <v>34</v>
      </c>
      <c r="B35" s="11" t="s">
        <v>613</v>
      </c>
      <c r="C35" s="11" t="s">
        <v>614</v>
      </c>
      <c r="D35" s="12" t="s">
        <v>615</v>
      </c>
      <c r="E35" s="13" t="s">
        <v>160</v>
      </c>
      <c r="F35" s="13" t="s">
        <v>159</v>
      </c>
      <c r="G35" s="13" t="s">
        <v>159</v>
      </c>
      <c r="H35" s="13" t="s">
        <v>160</v>
      </c>
      <c r="I35" s="13" t="s">
        <v>159</v>
      </c>
      <c r="J35" s="13" t="s">
        <v>159</v>
      </c>
      <c r="K35" s="13" t="s">
        <v>160</v>
      </c>
      <c r="L35" s="13" t="s">
        <v>159</v>
      </c>
      <c r="M35" s="13" t="s">
        <v>160</v>
      </c>
      <c r="N35" s="13" t="s">
        <v>160</v>
      </c>
      <c r="O35" s="13" t="s">
        <v>159</v>
      </c>
      <c r="P35" s="13" t="s">
        <v>160</v>
      </c>
      <c r="Q35" s="13" t="s">
        <v>159</v>
      </c>
      <c r="R35" s="13" t="s">
        <v>159</v>
      </c>
      <c r="S35" s="13" t="s">
        <v>159</v>
      </c>
      <c r="T35" s="13" t="s">
        <v>159</v>
      </c>
      <c r="U35" s="13" t="s">
        <v>159</v>
      </c>
      <c r="V35" s="13" t="s">
        <v>160</v>
      </c>
      <c r="W35" s="13" t="s">
        <v>159</v>
      </c>
      <c r="X35" s="13" t="s">
        <v>159</v>
      </c>
      <c r="Y35" s="13" t="s">
        <v>159</v>
      </c>
      <c r="Z35" s="13" t="s">
        <v>159</v>
      </c>
      <c r="AA35" s="13" t="s">
        <v>159</v>
      </c>
      <c r="AB35" s="13" t="s">
        <v>159</v>
      </c>
      <c r="AC35" s="9">
        <f t="shared" si="0"/>
        <v>7</v>
      </c>
      <c r="AD35" s="9">
        <f t="shared" si="1"/>
        <v>17</v>
      </c>
      <c r="AE35" s="10">
        <f t="shared" si="2"/>
        <v>50</v>
      </c>
    </row>
    <row r="36" spans="1:31" ht="21" customHeight="1" x14ac:dyDescent="0.35">
      <c r="A36" s="6">
        <v>35</v>
      </c>
      <c r="B36" s="6" t="s">
        <v>616</v>
      </c>
      <c r="C36" s="6" t="s">
        <v>617</v>
      </c>
      <c r="D36" s="7" t="s">
        <v>618</v>
      </c>
      <c r="E36" s="8" t="s">
        <v>159</v>
      </c>
      <c r="F36" s="8" t="s">
        <v>159</v>
      </c>
      <c r="G36" s="8" t="s">
        <v>160</v>
      </c>
      <c r="H36" s="8" t="s">
        <v>159</v>
      </c>
      <c r="I36" s="8" t="s">
        <v>159</v>
      </c>
      <c r="J36" s="8" t="s">
        <v>160</v>
      </c>
      <c r="K36" s="8" t="s">
        <v>159</v>
      </c>
      <c r="L36" s="8" t="s">
        <v>159</v>
      </c>
      <c r="M36" s="8" t="s">
        <v>159</v>
      </c>
      <c r="N36" s="8" t="s">
        <v>159</v>
      </c>
      <c r="O36" s="8" t="s">
        <v>160</v>
      </c>
      <c r="P36" s="8" t="s">
        <v>159</v>
      </c>
      <c r="Q36" s="8" t="s">
        <v>159</v>
      </c>
      <c r="R36" s="8" t="s">
        <v>159</v>
      </c>
      <c r="S36" s="8" t="s">
        <v>159</v>
      </c>
      <c r="T36" s="8" t="s">
        <v>160</v>
      </c>
      <c r="U36" s="8" t="s">
        <v>159</v>
      </c>
      <c r="V36" s="8" t="s">
        <v>159</v>
      </c>
      <c r="W36" s="8" t="s">
        <v>159</v>
      </c>
      <c r="X36" s="8" t="s">
        <v>159</v>
      </c>
      <c r="Y36" s="8" t="s">
        <v>159</v>
      </c>
      <c r="Z36" s="8" t="s">
        <v>159</v>
      </c>
      <c r="AA36" s="8" t="s">
        <v>159</v>
      </c>
      <c r="AB36" s="8" t="s">
        <v>159</v>
      </c>
      <c r="AC36" s="9">
        <f t="shared" si="0"/>
        <v>4</v>
      </c>
      <c r="AD36" s="9">
        <f t="shared" si="1"/>
        <v>20</v>
      </c>
      <c r="AE36" s="10">
        <f t="shared" si="2"/>
        <v>80</v>
      </c>
    </row>
    <row r="37" spans="1:31" ht="21" customHeight="1" x14ac:dyDescent="0.35">
      <c r="A37" s="11">
        <v>36</v>
      </c>
      <c r="B37" s="11" t="s">
        <v>619</v>
      </c>
      <c r="C37" s="11" t="s">
        <v>620</v>
      </c>
      <c r="D37" s="12" t="s">
        <v>621</v>
      </c>
      <c r="E37" s="13" t="s">
        <v>160</v>
      </c>
      <c r="F37" s="13" t="s">
        <v>159</v>
      </c>
      <c r="G37" s="13" t="s">
        <v>182</v>
      </c>
      <c r="H37" s="13" t="s">
        <v>159</v>
      </c>
      <c r="I37" s="13" t="s">
        <v>159</v>
      </c>
      <c r="J37" s="13" t="s">
        <v>159</v>
      </c>
      <c r="K37" s="13" t="s">
        <v>159</v>
      </c>
      <c r="L37" s="13" t="s">
        <v>159</v>
      </c>
      <c r="M37" s="13" t="s">
        <v>159</v>
      </c>
      <c r="N37" s="13" t="s">
        <v>159</v>
      </c>
      <c r="O37" s="13" t="s">
        <v>159</v>
      </c>
      <c r="P37" s="13" t="s">
        <v>159</v>
      </c>
      <c r="Q37" s="13" t="s">
        <v>160</v>
      </c>
      <c r="R37" s="13" t="s">
        <v>159</v>
      </c>
      <c r="S37" s="13" t="s">
        <v>160</v>
      </c>
      <c r="T37" s="13" t="s">
        <v>160</v>
      </c>
      <c r="U37" s="13" t="s">
        <v>160</v>
      </c>
      <c r="V37" s="13" t="s">
        <v>159</v>
      </c>
      <c r="W37" s="13" t="s">
        <v>160</v>
      </c>
      <c r="X37" s="13" t="s">
        <v>159</v>
      </c>
      <c r="Y37" s="13" t="s">
        <v>159</v>
      </c>
      <c r="Z37" s="13" t="s">
        <v>159</v>
      </c>
      <c r="AA37" s="13" t="s">
        <v>159</v>
      </c>
      <c r="AB37" s="13" t="s">
        <v>159</v>
      </c>
      <c r="AC37" s="9">
        <f t="shared" si="0"/>
        <v>6</v>
      </c>
      <c r="AD37" s="9">
        <f t="shared" si="1"/>
        <v>17</v>
      </c>
      <c r="AE37" s="10">
        <f t="shared" si="2"/>
        <v>55</v>
      </c>
    </row>
    <row r="38" spans="1:31" ht="21" customHeight="1" x14ac:dyDescent="0.35">
      <c r="A38" s="6">
        <v>37</v>
      </c>
      <c r="B38" s="6" t="s">
        <v>622</v>
      </c>
      <c r="C38" s="6" t="s">
        <v>623</v>
      </c>
      <c r="D38" s="7" t="s">
        <v>624</v>
      </c>
      <c r="E38" s="8" t="s">
        <v>182</v>
      </c>
      <c r="F38" s="8" t="s">
        <v>159</v>
      </c>
      <c r="G38" s="8" t="s">
        <v>159</v>
      </c>
      <c r="H38" s="8" t="s">
        <v>160</v>
      </c>
      <c r="I38" s="8" t="s">
        <v>160</v>
      </c>
      <c r="J38" s="8" t="s">
        <v>160</v>
      </c>
      <c r="K38" s="8" t="s">
        <v>159</v>
      </c>
      <c r="L38" s="8" t="s">
        <v>159</v>
      </c>
      <c r="M38" s="8" t="s">
        <v>159</v>
      </c>
      <c r="N38" s="8" t="s">
        <v>159</v>
      </c>
      <c r="O38" s="8" t="s">
        <v>159</v>
      </c>
      <c r="P38" s="8" t="s">
        <v>159</v>
      </c>
      <c r="Q38" s="8" t="s">
        <v>159</v>
      </c>
      <c r="R38" s="8" t="s">
        <v>159</v>
      </c>
      <c r="S38" s="8" t="s">
        <v>160</v>
      </c>
      <c r="T38" s="8" t="s">
        <v>159</v>
      </c>
      <c r="U38" s="8" t="s">
        <v>159</v>
      </c>
      <c r="V38" s="8" t="s">
        <v>159</v>
      </c>
      <c r="W38" s="8" t="s">
        <v>159</v>
      </c>
      <c r="X38" s="8" t="s">
        <v>159</v>
      </c>
      <c r="Y38" s="8" t="s">
        <v>159</v>
      </c>
      <c r="Z38" s="8" t="s">
        <v>159</v>
      </c>
      <c r="AA38" s="8" t="s">
        <v>159</v>
      </c>
      <c r="AB38" s="8" t="s">
        <v>159</v>
      </c>
      <c r="AC38" s="9">
        <f t="shared" si="0"/>
        <v>4</v>
      </c>
      <c r="AD38" s="9">
        <f t="shared" si="1"/>
        <v>19</v>
      </c>
      <c r="AE38" s="10">
        <f t="shared" si="2"/>
        <v>75</v>
      </c>
    </row>
  </sheetData>
  <autoFilter ref="A1:AE38" xr:uid="{00000000-0009-0000-0000-000009000000}"/>
  <conditionalFormatting sqref="A1:AE1">
    <cfRule type="cellIs" dxfId="46" priority="2" operator="equal">
      <formula>"Present"</formula>
    </cfRule>
    <cfRule type="cellIs" dxfId="45" priority="3" operator="equal">
      <formula>"Absent"</formula>
    </cfRule>
  </conditionalFormatting>
  <conditionalFormatting sqref="E3:M37">
    <cfRule type="cellIs" dxfId="44" priority="8" operator="equal">
      <formula>"Present"</formula>
    </cfRule>
    <cfRule type="cellIs" dxfId="43" priority="9" operator="equal">
      <formula>"Absent"</formula>
    </cfRule>
  </conditionalFormatting>
  <conditionalFormatting sqref="E2:P2 N3:P38 M38">
    <cfRule type="cellIs" dxfId="42" priority="16" operator="equal">
      <formula>"Present"</formula>
    </cfRule>
    <cfRule type="cellIs" dxfId="41" priority="17" operator="equal">
      <formula>"Absent"</formula>
    </cfRule>
  </conditionalFormatting>
  <conditionalFormatting sqref="E2:AB38">
    <cfRule type="cellIs" dxfId="40" priority="18" operator="equal">
      <formula>"Present"</formula>
    </cfRule>
    <cfRule type="cellIs" dxfId="39" priority="18" operator="equal">
      <formula>"Absent"</formula>
    </cfRule>
    <cfRule type="cellIs" dxfId="38" priority="19" operator="equal">
      <formula>"Late"</formula>
    </cfRule>
  </conditionalFormatting>
  <conditionalFormatting sqref="Q2:AB38">
    <cfRule type="cellIs" dxfId="37" priority="6" operator="equal">
      <formula>"Present"</formula>
    </cfRule>
    <cfRule type="cellIs" dxfId="36" priority="7" operator="equal">
      <formula>"Absent"</formula>
    </cfRule>
  </conditionalFormatting>
  <dataValidations count="2">
    <dataValidation type="list" allowBlank="1" showInputMessage="1" showErrorMessage="1" sqref="E1:AE1" xr:uid="{00000000-0002-0000-0900-000000000000}">
      <formula1>$A$1:$AE$1</formula1>
      <formula2>0</formula2>
    </dataValidation>
    <dataValidation type="list" allowBlank="1" showInputMessage="1" showErrorMessage="1" sqref="E2:AB37 M38:AB38" xr:uid="{00000000-0002-0000-0900-000001000000}">
      <formula1>"Present,Absent,Excused absence"</formula1>
      <formula2>0</formula2>
    </dataValidation>
  </dataValidations>
  <pageMargins left="0.25" right="0.25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  <pageSetUpPr fitToPage="1"/>
  </sheetPr>
  <dimension ref="A1:AE42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C2" sqref="AC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6.453125" customWidth="1"/>
    <col min="33" max="33" width="13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45961</v>
      </c>
      <c r="AC1" s="4" t="s">
        <v>153</v>
      </c>
      <c r="AD1" s="4" t="s">
        <v>154</v>
      </c>
      <c r="AE1" s="4" t="s">
        <v>155</v>
      </c>
    </row>
    <row r="2" spans="1:31" ht="21" customHeight="1" x14ac:dyDescent="0.35">
      <c r="A2" s="6">
        <v>1</v>
      </c>
      <c r="B2" s="6" t="s">
        <v>30</v>
      </c>
      <c r="C2" s="6" t="s">
        <v>31</v>
      </c>
      <c r="D2" s="7" t="s">
        <v>32</v>
      </c>
      <c r="E2" s="8" t="s">
        <v>159</v>
      </c>
      <c r="F2" s="8" t="s">
        <v>159</v>
      </c>
      <c r="G2" s="8" t="s">
        <v>159</v>
      </c>
      <c r="H2" s="8" t="s">
        <v>159</v>
      </c>
      <c r="I2" s="8" t="s">
        <v>159</v>
      </c>
      <c r="J2" s="8" t="s">
        <v>159</v>
      </c>
      <c r="K2" s="8" t="s">
        <v>159</v>
      </c>
      <c r="L2" s="8" t="s">
        <v>159</v>
      </c>
      <c r="M2" s="8" t="s">
        <v>160</v>
      </c>
      <c r="N2" s="8" t="s">
        <v>159</v>
      </c>
      <c r="O2" s="8" t="s">
        <v>159</v>
      </c>
      <c r="P2" s="8" t="s">
        <v>159</v>
      </c>
      <c r="Q2" s="8" t="s">
        <v>159</v>
      </c>
      <c r="R2" s="8" t="s">
        <v>159</v>
      </c>
      <c r="S2" s="8" t="s">
        <v>160</v>
      </c>
      <c r="T2" s="8" t="s">
        <v>160</v>
      </c>
      <c r="U2" s="8" t="s">
        <v>160</v>
      </c>
      <c r="V2" s="8" t="s">
        <v>159</v>
      </c>
      <c r="W2" s="8" t="s">
        <v>160</v>
      </c>
      <c r="X2" s="8" t="s">
        <v>160</v>
      </c>
      <c r="Y2" s="8" t="s">
        <v>160</v>
      </c>
      <c r="Z2" s="8" t="s">
        <v>182</v>
      </c>
      <c r="AA2" s="8" t="s">
        <v>160</v>
      </c>
      <c r="AB2" s="8" t="s">
        <v>159</v>
      </c>
      <c r="AC2" s="9">
        <f t="shared" ref="AC2:AC41" si="0">COUNTIF(E2:AB2,"Absent")</f>
        <v>8</v>
      </c>
      <c r="AD2" s="9">
        <f t="shared" ref="AD2:AD41" si="1">COUNTIF(E2:AB2,"Present")</f>
        <v>15</v>
      </c>
      <c r="AE2" s="10">
        <f t="shared" ref="AE2:AE41" si="2">(AD2*5)+(AC2*-5)</f>
        <v>35</v>
      </c>
    </row>
    <row r="3" spans="1:31" ht="21" customHeight="1" x14ac:dyDescent="0.35">
      <c r="A3" s="11">
        <v>2</v>
      </c>
      <c r="B3" s="11" t="s">
        <v>33</v>
      </c>
      <c r="C3" s="11" t="s">
        <v>34</v>
      </c>
      <c r="D3" s="12" t="s">
        <v>35</v>
      </c>
      <c r="E3" s="13" t="s">
        <v>159</v>
      </c>
      <c r="F3" s="13" t="s">
        <v>159</v>
      </c>
      <c r="G3" s="13" t="s">
        <v>160</v>
      </c>
      <c r="H3" s="13" t="s">
        <v>159</v>
      </c>
      <c r="I3" s="13" t="s">
        <v>159</v>
      </c>
      <c r="J3" s="13" t="s">
        <v>160</v>
      </c>
      <c r="K3" s="13" t="s">
        <v>159</v>
      </c>
      <c r="L3" s="13" t="s">
        <v>159</v>
      </c>
      <c r="M3" s="13" t="s">
        <v>159</v>
      </c>
      <c r="N3" s="13" t="s">
        <v>159</v>
      </c>
      <c r="O3" s="13" t="s">
        <v>159</v>
      </c>
      <c r="P3" s="13" t="s">
        <v>159</v>
      </c>
      <c r="Q3" s="13" t="s">
        <v>159</v>
      </c>
      <c r="R3" s="13" t="s">
        <v>160</v>
      </c>
      <c r="S3" s="13" t="s">
        <v>160</v>
      </c>
      <c r="T3" s="13" t="s">
        <v>159</v>
      </c>
      <c r="U3" s="13" t="s">
        <v>160</v>
      </c>
      <c r="V3" s="13" t="s">
        <v>159</v>
      </c>
      <c r="W3" s="13" t="s">
        <v>160</v>
      </c>
      <c r="X3" s="13" t="s">
        <v>160</v>
      </c>
      <c r="Y3" s="13" t="s">
        <v>159</v>
      </c>
      <c r="Z3" s="13" t="s">
        <v>159</v>
      </c>
      <c r="AA3" s="13" t="s">
        <v>159</v>
      </c>
      <c r="AB3" s="13" t="s">
        <v>159</v>
      </c>
      <c r="AC3" s="9">
        <f t="shared" si="0"/>
        <v>7</v>
      </c>
      <c r="AD3" s="9">
        <f t="shared" si="1"/>
        <v>17</v>
      </c>
      <c r="AE3" s="10">
        <f t="shared" si="2"/>
        <v>50</v>
      </c>
    </row>
    <row r="4" spans="1:31" ht="21" customHeight="1" x14ac:dyDescent="0.35">
      <c r="A4" s="6">
        <v>3</v>
      </c>
      <c r="B4" s="6" t="s">
        <v>36</v>
      </c>
      <c r="C4" s="6" t="s">
        <v>37</v>
      </c>
      <c r="D4" s="7" t="s">
        <v>38</v>
      </c>
      <c r="E4" s="8" t="s">
        <v>159</v>
      </c>
      <c r="F4" s="8" t="s">
        <v>160</v>
      </c>
      <c r="G4" s="8" t="s">
        <v>160</v>
      </c>
      <c r="H4" s="8" t="s">
        <v>159</v>
      </c>
      <c r="I4" s="8" t="s">
        <v>159</v>
      </c>
      <c r="J4" s="8" t="s">
        <v>159</v>
      </c>
      <c r="K4" s="8" t="s">
        <v>159</v>
      </c>
      <c r="L4" s="8" t="s">
        <v>159</v>
      </c>
      <c r="M4" s="8" t="s">
        <v>159</v>
      </c>
      <c r="N4" s="8" t="s">
        <v>160</v>
      </c>
      <c r="O4" s="8" t="s">
        <v>159</v>
      </c>
      <c r="P4" s="8" t="s">
        <v>159</v>
      </c>
      <c r="Q4" s="8" t="s">
        <v>160</v>
      </c>
      <c r="R4" s="8" t="s">
        <v>160</v>
      </c>
      <c r="S4" s="8" t="s">
        <v>160</v>
      </c>
      <c r="T4" s="8" t="s">
        <v>160</v>
      </c>
      <c r="U4" s="8" t="s">
        <v>160</v>
      </c>
      <c r="V4" s="8" t="s">
        <v>160</v>
      </c>
      <c r="W4" s="8" t="s">
        <v>160</v>
      </c>
      <c r="X4" s="8" t="s">
        <v>159</v>
      </c>
      <c r="Y4" s="8" t="s">
        <v>159</v>
      </c>
      <c r="Z4" s="8" t="s">
        <v>159</v>
      </c>
      <c r="AA4" s="8" t="s">
        <v>159</v>
      </c>
      <c r="AB4" s="8" t="s">
        <v>159</v>
      </c>
      <c r="AC4" s="9">
        <f t="shared" si="0"/>
        <v>10</v>
      </c>
      <c r="AD4" s="9">
        <f t="shared" si="1"/>
        <v>14</v>
      </c>
      <c r="AE4" s="10">
        <f t="shared" si="2"/>
        <v>20</v>
      </c>
    </row>
    <row r="5" spans="1:31" ht="21" customHeight="1" x14ac:dyDescent="0.35">
      <c r="A5" s="11">
        <v>4</v>
      </c>
      <c r="B5" s="11" t="s">
        <v>39</v>
      </c>
      <c r="C5" s="11" t="s">
        <v>40</v>
      </c>
      <c r="D5" s="12" t="s">
        <v>41</v>
      </c>
      <c r="E5" s="13" t="s">
        <v>160</v>
      </c>
      <c r="F5" s="13" t="s">
        <v>159</v>
      </c>
      <c r="G5" s="13" t="s">
        <v>160</v>
      </c>
      <c r="H5" s="13" t="s">
        <v>160</v>
      </c>
      <c r="I5" s="13" t="s">
        <v>160</v>
      </c>
      <c r="J5" s="13" t="s">
        <v>159</v>
      </c>
      <c r="K5" s="13" t="s">
        <v>160</v>
      </c>
      <c r="L5" s="13" t="s">
        <v>160</v>
      </c>
      <c r="M5" s="13" t="s">
        <v>159</v>
      </c>
      <c r="N5" s="13" t="s">
        <v>160</v>
      </c>
      <c r="O5" s="13" t="s">
        <v>160</v>
      </c>
      <c r="P5" s="13" t="s">
        <v>159</v>
      </c>
      <c r="Q5" s="13" t="s">
        <v>160</v>
      </c>
      <c r="R5" s="13" t="s">
        <v>160</v>
      </c>
      <c r="S5" s="13" t="s">
        <v>160</v>
      </c>
      <c r="T5" s="13" t="s">
        <v>160</v>
      </c>
      <c r="U5" s="13" t="s">
        <v>159</v>
      </c>
      <c r="V5" s="13" t="s">
        <v>160</v>
      </c>
      <c r="W5" s="13" t="s">
        <v>160</v>
      </c>
      <c r="X5" s="13" t="s">
        <v>159</v>
      </c>
      <c r="Y5" s="13" t="s">
        <v>160</v>
      </c>
      <c r="Z5" s="13" t="s">
        <v>159</v>
      </c>
      <c r="AA5" s="13" t="s">
        <v>159</v>
      </c>
      <c r="AB5" s="13" t="s">
        <v>159</v>
      </c>
      <c r="AC5" s="9">
        <f t="shared" si="0"/>
        <v>15</v>
      </c>
      <c r="AD5" s="9">
        <f t="shared" si="1"/>
        <v>9</v>
      </c>
      <c r="AE5" s="10">
        <f t="shared" si="2"/>
        <v>-30</v>
      </c>
    </row>
    <row r="6" spans="1:31" ht="21" customHeight="1" x14ac:dyDescent="0.35">
      <c r="A6" s="6">
        <v>5</v>
      </c>
      <c r="B6" s="6" t="s">
        <v>42</v>
      </c>
      <c r="C6" s="6" t="s">
        <v>43</v>
      </c>
      <c r="D6" s="7" t="s">
        <v>44</v>
      </c>
      <c r="E6" s="8" t="s">
        <v>159</v>
      </c>
      <c r="F6" s="8" t="s">
        <v>160</v>
      </c>
      <c r="G6" s="8" t="s">
        <v>159</v>
      </c>
      <c r="H6" s="8" t="s">
        <v>159</v>
      </c>
      <c r="I6" s="8" t="s">
        <v>159</v>
      </c>
      <c r="J6" s="8" t="s">
        <v>159</v>
      </c>
      <c r="K6" s="8" t="s">
        <v>160</v>
      </c>
      <c r="L6" s="8" t="s">
        <v>159</v>
      </c>
      <c r="M6" s="8" t="s">
        <v>159</v>
      </c>
      <c r="N6" s="8" t="s">
        <v>159</v>
      </c>
      <c r="O6" s="8" t="s">
        <v>159</v>
      </c>
      <c r="P6" s="8" t="s">
        <v>160</v>
      </c>
      <c r="Q6" s="8" t="s">
        <v>159</v>
      </c>
      <c r="R6" s="8" t="s">
        <v>159</v>
      </c>
      <c r="S6" s="8" t="s">
        <v>160</v>
      </c>
      <c r="T6" s="8" t="s">
        <v>159</v>
      </c>
      <c r="U6" s="8" t="s">
        <v>160</v>
      </c>
      <c r="V6" s="8" t="s">
        <v>159</v>
      </c>
      <c r="W6" s="8" t="s">
        <v>159</v>
      </c>
      <c r="X6" s="8" t="s">
        <v>159</v>
      </c>
      <c r="Y6" s="8" t="s">
        <v>182</v>
      </c>
      <c r="Z6" s="8" t="s">
        <v>159</v>
      </c>
      <c r="AA6" s="8" t="s">
        <v>160</v>
      </c>
      <c r="AB6" s="8" t="s">
        <v>159</v>
      </c>
      <c r="AC6" s="9">
        <f t="shared" si="0"/>
        <v>6</v>
      </c>
      <c r="AD6" s="9">
        <f t="shared" si="1"/>
        <v>17</v>
      </c>
      <c r="AE6" s="10">
        <f t="shared" si="2"/>
        <v>55</v>
      </c>
    </row>
    <row r="7" spans="1:31" ht="21" customHeight="1" x14ac:dyDescent="0.35">
      <c r="A7" s="14">
        <v>6</v>
      </c>
      <c r="B7" s="14" t="s">
        <v>45</v>
      </c>
      <c r="C7" s="14" t="s">
        <v>46</v>
      </c>
      <c r="D7" s="20" t="s">
        <v>47</v>
      </c>
      <c r="E7" s="13" t="s">
        <v>159</v>
      </c>
      <c r="F7" s="13" t="s">
        <v>159</v>
      </c>
      <c r="G7" s="13" t="s">
        <v>159</v>
      </c>
      <c r="H7" s="13" t="s">
        <v>159</v>
      </c>
      <c r="I7" s="13" t="s">
        <v>160</v>
      </c>
      <c r="J7" s="13" t="s">
        <v>159</v>
      </c>
      <c r="K7" s="13" t="s">
        <v>159</v>
      </c>
      <c r="L7" s="13" t="s">
        <v>159</v>
      </c>
      <c r="M7" s="13" t="s">
        <v>159</v>
      </c>
      <c r="N7" s="13" t="s">
        <v>159</v>
      </c>
      <c r="O7" s="13" t="s">
        <v>159</v>
      </c>
      <c r="P7" s="13" t="s">
        <v>159</v>
      </c>
      <c r="Q7" s="13" t="s">
        <v>159</v>
      </c>
      <c r="R7" s="13" t="s">
        <v>160</v>
      </c>
      <c r="S7" s="13" t="s">
        <v>160</v>
      </c>
      <c r="T7" s="13" t="s">
        <v>160</v>
      </c>
      <c r="U7" s="13" t="s">
        <v>160</v>
      </c>
      <c r="V7" s="13" t="s">
        <v>160</v>
      </c>
      <c r="W7" s="13" t="s">
        <v>160</v>
      </c>
      <c r="X7" s="13" t="s">
        <v>159</v>
      </c>
      <c r="Y7" s="13" t="s">
        <v>159</v>
      </c>
      <c r="Z7" s="13" t="s">
        <v>159</v>
      </c>
      <c r="AA7" s="13" t="s">
        <v>159</v>
      </c>
      <c r="AB7" s="13" t="s">
        <v>160</v>
      </c>
      <c r="AC7" s="9">
        <f t="shared" si="0"/>
        <v>8</v>
      </c>
      <c r="AD7" s="9">
        <f t="shared" si="1"/>
        <v>16</v>
      </c>
      <c r="AE7" s="10">
        <f t="shared" si="2"/>
        <v>40</v>
      </c>
    </row>
    <row r="8" spans="1:31" ht="21" customHeight="1" x14ac:dyDescent="0.35">
      <c r="A8" s="6">
        <v>7</v>
      </c>
      <c r="B8" s="6" t="s">
        <v>48</v>
      </c>
      <c r="C8" s="6" t="s">
        <v>49</v>
      </c>
      <c r="D8" s="7" t="s">
        <v>50</v>
      </c>
      <c r="E8" s="8" t="s">
        <v>159</v>
      </c>
      <c r="F8" s="8" t="s">
        <v>160</v>
      </c>
      <c r="G8" s="8" t="s">
        <v>159</v>
      </c>
      <c r="H8" s="8" t="s">
        <v>159</v>
      </c>
      <c r="I8" s="8" t="s">
        <v>159</v>
      </c>
      <c r="J8" s="8" t="s">
        <v>159</v>
      </c>
      <c r="K8" s="8" t="s">
        <v>159</v>
      </c>
      <c r="L8" s="8" t="s">
        <v>159</v>
      </c>
      <c r="M8" s="8" t="s">
        <v>159</v>
      </c>
      <c r="N8" s="8" t="s">
        <v>159</v>
      </c>
      <c r="O8" s="8" t="s">
        <v>159</v>
      </c>
      <c r="P8" s="8" t="s">
        <v>160</v>
      </c>
      <c r="Q8" s="8" t="s">
        <v>160</v>
      </c>
      <c r="R8" s="8" t="s">
        <v>159</v>
      </c>
      <c r="S8" s="8" t="s">
        <v>160</v>
      </c>
      <c r="T8" s="8" t="s">
        <v>159</v>
      </c>
      <c r="U8" s="8" t="s">
        <v>160</v>
      </c>
      <c r="V8" s="8" t="s">
        <v>159</v>
      </c>
      <c r="W8" s="8" t="s">
        <v>160</v>
      </c>
      <c r="X8" s="8" t="s">
        <v>159</v>
      </c>
      <c r="Y8" s="8" t="s">
        <v>160</v>
      </c>
      <c r="Z8" s="8" t="s">
        <v>159</v>
      </c>
      <c r="AA8" s="8" t="s">
        <v>182</v>
      </c>
      <c r="AB8" s="8" t="s">
        <v>159</v>
      </c>
      <c r="AC8" s="9">
        <f t="shared" si="0"/>
        <v>7</v>
      </c>
      <c r="AD8" s="9">
        <f t="shared" si="1"/>
        <v>16</v>
      </c>
      <c r="AE8" s="10">
        <f t="shared" si="2"/>
        <v>45</v>
      </c>
    </row>
    <row r="9" spans="1:31" ht="21" customHeight="1" x14ac:dyDescent="0.35">
      <c r="A9" s="11">
        <v>8</v>
      </c>
      <c r="B9" s="11" t="s">
        <v>51</v>
      </c>
      <c r="C9" s="11" t="s">
        <v>52</v>
      </c>
      <c r="D9" s="12" t="s">
        <v>53</v>
      </c>
      <c r="E9" s="13" t="s">
        <v>159</v>
      </c>
      <c r="F9" s="13" t="s">
        <v>159</v>
      </c>
      <c r="G9" s="13" t="s">
        <v>159</v>
      </c>
      <c r="H9" s="13" t="s">
        <v>159</v>
      </c>
      <c r="I9" s="13" t="s">
        <v>159</v>
      </c>
      <c r="J9" s="13" t="s">
        <v>159</v>
      </c>
      <c r="K9" s="13" t="s">
        <v>159</v>
      </c>
      <c r="L9" s="13" t="s">
        <v>159</v>
      </c>
      <c r="M9" s="13" t="s">
        <v>159</v>
      </c>
      <c r="N9" s="13" t="s">
        <v>159</v>
      </c>
      <c r="O9" s="13" t="s">
        <v>159</v>
      </c>
      <c r="P9" s="13" t="s">
        <v>160</v>
      </c>
      <c r="Q9" s="13" t="s">
        <v>159</v>
      </c>
      <c r="R9" s="13" t="s">
        <v>159</v>
      </c>
      <c r="S9" s="13" t="s">
        <v>159</v>
      </c>
      <c r="T9" s="13" t="s">
        <v>159</v>
      </c>
      <c r="U9" s="13" t="s">
        <v>160</v>
      </c>
      <c r="V9" s="13" t="s">
        <v>160</v>
      </c>
      <c r="W9" s="13" t="s">
        <v>160</v>
      </c>
      <c r="X9" s="13" t="s">
        <v>159</v>
      </c>
      <c r="Y9" s="13" t="s">
        <v>160</v>
      </c>
      <c r="Z9" s="13" t="s">
        <v>159</v>
      </c>
      <c r="AA9" s="13" t="s">
        <v>159</v>
      </c>
      <c r="AB9" s="13" t="s">
        <v>160</v>
      </c>
      <c r="AC9" s="9">
        <f t="shared" si="0"/>
        <v>6</v>
      </c>
      <c r="AD9" s="9">
        <f t="shared" si="1"/>
        <v>18</v>
      </c>
      <c r="AE9" s="10">
        <f t="shared" si="2"/>
        <v>60</v>
      </c>
    </row>
    <row r="10" spans="1:31" ht="21" customHeight="1" x14ac:dyDescent="0.35">
      <c r="A10" s="6">
        <v>9</v>
      </c>
      <c r="B10" s="6" t="s">
        <v>54</v>
      </c>
      <c r="C10" s="6" t="s">
        <v>55</v>
      </c>
      <c r="D10" s="7" t="s">
        <v>56</v>
      </c>
      <c r="E10" s="8" t="s">
        <v>159</v>
      </c>
      <c r="F10" s="8" t="s">
        <v>159</v>
      </c>
      <c r="G10" s="8" t="s">
        <v>159</v>
      </c>
      <c r="H10" s="8" t="s">
        <v>159</v>
      </c>
      <c r="I10" s="8" t="s">
        <v>159</v>
      </c>
      <c r="J10" s="8" t="s">
        <v>159</v>
      </c>
      <c r="K10" s="8" t="s">
        <v>159</v>
      </c>
      <c r="L10" s="8" t="s">
        <v>159</v>
      </c>
      <c r="M10" s="8" t="s">
        <v>159</v>
      </c>
      <c r="N10" s="8" t="s">
        <v>159</v>
      </c>
      <c r="O10" s="8" t="s">
        <v>159</v>
      </c>
      <c r="P10" s="8" t="s">
        <v>159</v>
      </c>
      <c r="Q10" s="8" t="s">
        <v>160</v>
      </c>
      <c r="R10" s="8" t="s">
        <v>160</v>
      </c>
      <c r="S10" s="8" t="s">
        <v>159</v>
      </c>
      <c r="T10" s="8" t="s">
        <v>159</v>
      </c>
      <c r="U10" s="8" t="s">
        <v>160</v>
      </c>
      <c r="V10" s="8" t="s">
        <v>160</v>
      </c>
      <c r="W10" s="8" t="s">
        <v>160</v>
      </c>
      <c r="X10" s="8" t="s">
        <v>159</v>
      </c>
      <c r="Y10" s="8" t="s">
        <v>159</v>
      </c>
      <c r="Z10" s="8" t="s">
        <v>159</v>
      </c>
      <c r="AA10" s="8" t="s">
        <v>160</v>
      </c>
      <c r="AB10" s="8" t="s">
        <v>159</v>
      </c>
      <c r="AC10" s="9">
        <f t="shared" si="0"/>
        <v>6</v>
      </c>
      <c r="AD10" s="9">
        <f t="shared" si="1"/>
        <v>18</v>
      </c>
      <c r="AE10" s="10">
        <f t="shared" si="2"/>
        <v>60</v>
      </c>
    </row>
    <row r="11" spans="1:31" ht="21" customHeight="1" x14ac:dyDescent="0.35">
      <c r="A11" s="11">
        <v>10</v>
      </c>
      <c r="B11" s="11" t="s">
        <v>57</v>
      </c>
      <c r="C11" s="11" t="s">
        <v>58</v>
      </c>
      <c r="D11" s="12" t="s">
        <v>59</v>
      </c>
      <c r="E11" s="13" t="s">
        <v>159</v>
      </c>
      <c r="F11" s="13" t="s">
        <v>159</v>
      </c>
      <c r="G11" s="13" t="s">
        <v>159</v>
      </c>
      <c r="H11" s="13" t="s">
        <v>159</v>
      </c>
      <c r="I11" s="13" t="s">
        <v>159</v>
      </c>
      <c r="J11" s="13" t="s">
        <v>159</v>
      </c>
      <c r="K11" s="13" t="s">
        <v>159</v>
      </c>
      <c r="L11" s="13" t="s">
        <v>159</v>
      </c>
      <c r="M11" s="13" t="s">
        <v>159</v>
      </c>
      <c r="N11" s="13" t="s">
        <v>159</v>
      </c>
      <c r="O11" s="13" t="s">
        <v>159</v>
      </c>
      <c r="P11" s="13" t="s">
        <v>159</v>
      </c>
      <c r="Q11" s="13" t="s">
        <v>159</v>
      </c>
      <c r="R11" s="13" t="s">
        <v>159</v>
      </c>
      <c r="S11" s="13" t="s">
        <v>159</v>
      </c>
      <c r="T11" s="13" t="s">
        <v>159</v>
      </c>
      <c r="U11" s="13" t="s">
        <v>159</v>
      </c>
      <c r="V11" s="13" t="s">
        <v>159</v>
      </c>
      <c r="W11" s="13" t="s">
        <v>160</v>
      </c>
      <c r="X11" s="13" t="s">
        <v>159</v>
      </c>
      <c r="Y11" s="13" t="s">
        <v>159</v>
      </c>
      <c r="Z11" s="13" t="s">
        <v>160</v>
      </c>
      <c r="AA11" s="13" t="s">
        <v>160</v>
      </c>
      <c r="AB11" s="13" t="s">
        <v>159</v>
      </c>
      <c r="AC11" s="9">
        <f t="shared" si="0"/>
        <v>3</v>
      </c>
      <c r="AD11" s="9">
        <f t="shared" si="1"/>
        <v>21</v>
      </c>
      <c r="AE11" s="10">
        <f t="shared" si="2"/>
        <v>90</v>
      </c>
    </row>
    <row r="12" spans="1:31" ht="21" customHeight="1" x14ac:dyDescent="0.35">
      <c r="A12" s="6">
        <v>11</v>
      </c>
      <c r="B12" s="6" t="s">
        <v>60</v>
      </c>
      <c r="C12" s="6" t="s">
        <v>61</v>
      </c>
      <c r="D12" s="7" t="s">
        <v>62</v>
      </c>
      <c r="E12" s="8" t="s">
        <v>159</v>
      </c>
      <c r="F12" s="8" t="s">
        <v>159</v>
      </c>
      <c r="G12" s="8" t="s">
        <v>159</v>
      </c>
      <c r="H12" s="8" t="s">
        <v>159</v>
      </c>
      <c r="I12" s="8" t="s">
        <v>159</v>
      </c>
      <c r="J12" s="8" t="s">
        <v>159</v>
      </c>
      <c r="K12" s="8" t="s">
        <v>159</v>
      </c>
      <c r="L12" s="8" t="s">
        <v>159</v>
      </c>
      <c r="M12" s="8" t="s">
        <v>159</v>
      </c>
      <c r="N12" s="8" t="s">
        <v>160</v>
      </c>
      <c r="O12" s="8" t="s">
        <v>159</v>
      </c>
      <c r="P12" s="8" t="s">
        <v>159</v>
      </c>
      <c r="Q12" s="8" t="s">
        <v>160</v>
      </c>
      <c r="R12" s="8" t="s">
        <v>159</v>
      </c>
      <c r="S12" s="8" t="s">
        <v>159</v>
      </c>
      <c r="T12" s="8" t="s">
        <v>159</v>
      </c>
      <c r="U12" s="8" t="s">
        <v>160</v>
      </c>
      <c r="V12" s="8" t="s">
        <v>159</v>
      </c>
      <c r="W12" s="8" t="s">
        <v>160</v>
      </c>
      <c r="X12" s="8" t="s">
        <v>160</v>
      </c>
      <c r="Y12" s="8" t="s">
        <v>159</v>
      </c>
      <c r="Z12" s="8" t="s">
        <v>159</v>
      </c>
      <c r="AA12" s="8" t="s">
        <v>159</v>
      </c>
      <c r="AB12" s="8" t="s">
        <v>159</v>
      </c>
      <c r="AC12" s="9">
        <f t="shared" si="0"/>
        <v>5</v>
      </c>
      <c r="AD12" s="9">
        <f t="shared" si="1"/>
        <v>19</v>
      </c>
      <c r="AE12" s="10">
        <f t="shared" si="2"/>
        <v>70</v>
      </c>
    </row>
    <row r="13" spans="1:31" ht="21" customHeight="1" x14ac:dyDescent="0.35">
      <c r="A13" s="11">
        <v>12</v>
      </c>
      <c r="B13" s="11" t="s">
        <v>63</v>
      </c>
      <c r="C13" s="11" t="s">
        <v>64</v>
      </c>
      <c r="D13" s="12" t="s">
        <v>65</v>
      </c>
      <c r="E13" s="13" t="s">
        <v>182</v>
      </c>
      <c r="F13" s="13" t="s">
        <v>159</v>
      </c>
      <c r="G13" s="13" t="s">
        <v>159</v>
      </c>
      <c r="H13" s="13" t="s">
        <v>159</v>
      </c>
      <c r="I13" s="13" t="s">
        <v>159</v>
      </c>
      <c r="J13" s="13" t="s">
        <v>159</v>
      </c>
      <c r="K13" s="13" t="s">
        <v>160</v>
      </c>
      <c r="L13" s="13" t="s">
        <v>159</v>
      </c>
      <c r="M13" s="13" t="s">
        <v>159</v>
      </c>
      <c r="N13" s="13" t="s">
        <v>159</v>
      </c>
      <c r="O13" s="13" t="s">
        <v>159</v>
      </c>
      <c r="P13" s="13" t="s">
        <v>159</v>
      </c>
      <c r="Q13" s="13" t="s">
        <v>159</v>
      </c>
      <c r="R13" s="13" t="s">
        <v>159</v>
      </c>
      <c r="S13" s="13" t="s">
        <v>160</v>
      </c>
      <c r="T13" s="13" t="s">
        <v>160</v>
      </c>
      <c r="U13" s="13" t="s">
        <v>159</v>
      </c>
      <c r="V13" s="13" t="s">
        <v>159</v>
      </c>
      <c r="W13" s="13" t="s">
        <v>159</v>
      </c>
      <c r="X13" s="13" t="s">
        <v>160</v>
      </c>
      <c r="Y13" s="13" t="s">
        <v>159</v>
      </c>
      <c r="Z13" s="13" t="s">
        <v>159</v>
      </c>
      <c r="AA13" s="13" t="s">
        <v>160</v>
      </c>
      <c r="AB13" s="13" t="s">
        <v>159</v>
      </c>
      <c r="AC13" s="9">
        <f t="shared" si="0"/>
        <v>5</v>
      </c>
      <c r="AD13" s="9">
        <f t="shared" si="1"/>
        <v>18</v>
      </c>
      <c r="AE13" s="10">
        <f t="shared" si="2"/>
        <v>65</v>
      </c>
    </row>
    <row r="14" spans="1:31" ht="21" customHeight="1" x14ac:dyDescent="0.35">
      <c r="A14" s="6">
        <v>13</v>
      </c>
      <c r="B14" s="6" t="s">
        <v>66</v>
      </c>
      <c r="C14" s="6" t="s">
        <v>67</v>
      </c>
      <c r="D14" s="7" t="s">
        <v>68</v>
      </c>
      <c r="E14" s="8" t="s">
        <v>159</v>
      </c>
      <c r="F14" s="8" t="s">
        <v>159</v>
      </c>
      <c r="G14" s="8" t="s">
        <v>160</v>
      </c>
      <c r="H14" s="8" t="s">
        <v>159</v>
      </c>
      <c r="I14" s="8" t="s">
        <v>159</v>
      </c>
      <c r="J14" s="8" t="s">
        <v>159</v>
      </c>
      <c r="K14" s="8" t="s">
        <v>159</v>
      </c>
      <c r="L14" s="8" t="s">
        <v>159</v>
      </c>
      <c r="M14" s="8" t="s">
        <v>159</v>
      </c>
      <c r="N14" s="8" t="s">
        <v>159</v>
      </c>
      <c r="O14" s="8" t="s">
        <v>159</v>
      </c>
      <c r="P14" s="8" t="s">
        <v>160</v>
      </c>
      <c r="Q14" s="8" t="s">
        <v>159</v>
      </c>
      <c r="R14" s="8" t="s">
        <v>159</v>
      </c>
      <c r="S14" s="8" t="s">
        <v>159</v>
      </c>
      <c r="T14" s="8" t="s">
        <v>160</v>
      </c>
      <c r="U14" s="8" t="s">
        <v>160</v>
      </c>
      <c r="V14" s="8" t="s">
        <v>159</v>
      </c>
      <c r="W14" s="8" t="s">
        <v>160</v>
      </c>
      <c r="X14" s="8" t="s">
        <v>182</v>
      </c>
      <c r="Y14" s="8" t="s">
        <v>159</v>
      </c>
      <c r="Z14" s="8" t="s">
        <v>160</v>
      </c>
      <c r="AA14" s="8" t="s">
        <v>159</v>
      </c>
      <c r="AB14" s="8" t="s">
        <v>159</v>
      </c>
      <c r="AC14" s="9">
        <f t="shared" si="0"/>
        <v>6</v>
      </c>
      <c r="AD14" s="9">
        <f t="shared" si="1"/>
        <v>17</v>
      </c>
      <c r="AE14" s="10">
        <f t="shared" si="2"/>
        <v>55</v>
      </c>
    </row>
    <row r="15" spans="1:31" ht="21" customHeight="1" x14ac:dyDescent="0.35">
      <c r="A15" s="11">
        <v>14</v>
      </c>
      <c r="B15" s="11" t="s">
        <v>69</v>
      </c>
      <c r="C15" s="11" t="s">
        <v>70</v>
      </c>
      <c r="D15" s="12" t="s">
        <v>71</v>
      </c>
      <c r="E15" s="13" t="s">
        <v>159</v>
      </c>
      <c r="F15" s="13" t="s">
        <v>159</v>
      </c>
      <c r="G15" s="13" t="s">
        <v>159</v>
      </c>
      <c r="H15" s="13" t="s">
        <v>159</v>
      </c>
      <c r="I15" s="13" t="s">
        <v>159</v>
      </c>
      <c r="J15" s="13" t="s">
        <v>159</v>
      </c>
      <c r="K15" s="13" t="s">
        <v>159</v>
      </c>
      <c r="L15" s="13" t="s">
        <v>160</v>
      </c>
      <c r="M15" s="13" t="s">
        <v>159</v>
      </c>
      <c r="N15" s="13" t="s">
        <v>159</v>
      </c>
      <c r="O15" s="13" t="s">
        <v>159</v>
      </c>
      <c r="P15" s="13" t="s">
        <v>160</v>
      </c>
      <c r="Q15" s="13" t="s">
        <v>159</v>
      </c>
      <c r="R15" s="13" t="s">
        <v>160</v>
      </c>
      <c r="S15" s="13" t="s">
        <v>160</v>
      </c>
      <c r="T15" s="13" t="s">
        <v>159</v>
      </c>
      <c r="U15" s="13" t="s">
        <v>159</v>
      </c>
      <c r="V15" s="13" t="s">
        <v>160</v>
      </c>
      <c r="W15" s="13" t="s">
        <v>159</v>
      </c>
      <c r="X15" s="13" t="s">
        <v>159</v>
      </c>
      <c r="Y15" s="13" t="s">
        <v>159</v>
      </c>
      <c r="Z15" s="13" t="s">
        <v>160</v>
      </c>
      <c r="AA15" s="13" t="s">
        <v>160</v>
      </c>
      <c r="AB15" s="13" t="s">
        <v>159</v>
      </c>
      <c r="AC15" s="9">
        <f t="shared" si="0"/>
        <v>7</v>
      </c>
      <c r="AD15" s="9">
        <f t="shared" si="1"/>
        <v>17</v>
      </c>
      <c r="AE15" s="10">
        <f t="shared" si="2"/>
        <v>50</v>
      </c>
    </row>
    <row r="16" spans="1:31" ht="21" customHeight="1" x14ac:dyDescent="0.35">
      <c r="A16" s="6">
        <v>15</v>
      </c>
      <c r="B16" s="6" t="s">
        <v>72</v>
      </c>
      <c r="C16" s="6" t="s">
        <v>73</v>
      </c>
      <c r="D16" s="7" t="s">
        <v>74</v>
      </c>
      <c r="E16" s="8" t="s">
        <v>159</v>
      </c>
      <c r="F16" s="8" t="s">
        <v>159</v>
      </c>
      <c r="G16" s="8" t="s">
        <v>159</v>
      </c>
      <c r="H16" s="8" t="s">
        <v>160</v>
      </c>
      <c r="I16" s="8" t="s">
        <v>159</v>
      </c>
      <c r="J16" s="8" t="s">
        <v>159</v>
      </c>
      <c r="K16" s="8" t="s">
        <v>160</v>
      </c>
      <c r="L16" s="8" t="s">
        <v>160</v>
      </c>
      <c r="M16" s="8" t="s">
        <v>159</v>
      </c>
      <c r="N16" s="8" t="s">
        <v>159</v>
      </c>
      <c r="O16" s="8" t="s">
        <v>159</v>
      </c>
      <c r="P16" s="8" t="s">
        <v>159</v>
      </c>
      <c r="Q16" s="8" t="s">
        <v>159</v>
      </c>
      <c r="R16" s="8" t="s">
        <v>159</v>
      </c>
      <c r="S16" s="8" t="s">
        <v>160</v>
      </c>
      <c r="T16" s="8" t="s">
        <v>160</v>
      </c>
      <c r="U16" s="8" t="s">
        <v>160</v>
      </c>
      <c r="V16" s="8" t="s">
        <v>159</v>
      </c>
      <c r="W16" s="8" t="s">
        <v>160</v>
      </c>
      <c r="X16" s="8" t="s">
        <v>159</v>
      </c>
      <c r="Y16" s="8" t="s">
        <v>159</v>
      </c>
      <c r="Z16" s="8" t="s">
        <v>159</v>
      </c>
      <c r="AA16" s="8" t="s">
        <v>159</v>
      </c>
      <c r="AB16" s="8" t="s">
        <v>159</v>
      </c>
      <c r="AC16" s="9">
        <f t="shared" si="0"/>
        <v>7</v>
      </c>
      <c r="AD16" s="9">
        <f t="shared" si="1"/>
        <v>17</v>
      </c>
      <c r="AE16" s="10">
        <f t="shared" si="2"/>
        <v>50</v>
      </c>
    </row>
    <row r="17" spans="1:31" ht="21" customHeight="1" x14ac:dyDescent="0.35">
      <c r="A17" s="11">
        <v>16</v>
      </c>
      <c r="B17" s="11" t="s">
        <v>75</v>
      </c>
      <c r="C17" s="11" t="s">
        <v>76</v>
      </c>
      <c r="D17" s="12" t="s">
        <v>77</v>
      </c>
      <c r="E17" s="13" t="s">
        <v>159</v>
      </c>
      <c r="F17" s="13" t="s">
        <v>159</v>
      </c>
      <c r="G17" s="13" t="s">
        <v>160</v>
      </c>
      <c r="H17" s="13" t="s">
        <v>159</v>
      </c>
      <c r="I17" s="13" t="s">
        <v>159</v>
      </c>
      <c r="J17" s="13" t="s">
        <v>159</v>
      </c>
      <c r="K17" s="13" t="s">
        <v>159</v>
      </c>
      <c r="L17" s="13" t="s">
        <v>159</v>
      </c>
      <c r="M17" s="13" t="s">
        <v>159</v>
      </c>
      <c r="N17" s="13" t="s">
        <v>160</v>
      </c>
      <c r="O17" s="13" t="s">
        <v>159</v>
      </c>
      <c r="P17" s="13" t="s">
        <v>160</v>
      </c>
      <c r="Q17" s="13" t="s">
        <v>160</v>
      </c>
      <c r="R17" s="13" t="s">
        <v>160</v>
      </c>
      <c r="S17" s="13" t="s">
        <v>159</v>
      </c>
      <c r="T17" s="13" t="s">
        <v>159</v>
      </c>
      <c r="U17" s="13" t="s">
        <v>160</v>
      </c>
      <c r="V17" s="13" t="s">
        <v>159</v>
      </c>
      <c r="W17" s="13" t="s">
        <v>160</v>
      </c>
      <c r="X17" s="13" t="s">
        <v>159</v>
      </c>
      <c r="Y17" s="13" t="s">
        <v>159</v>
      </c>
      <c r="Z17" s="13" t="s">
        <v>159</v>
      </c>
      <c r="AA17" s="13" t="s">
        <v>159</v>
      </c>
      <c r="AB17" s="13" t="s">
        <v>159</v>
      </c>
      <c r="AC17" s="9">
        <f t="shared" si="0"/>
        <v>7</v>
      </c>
      <c r="AD17" s="9">
        <f t="shared" si="1"/>
        <v>17</v>
      </c>
      <c r="AE17" s="10">
        <f t="shared" si="2"/>
        <v>50</v>
      </c>
    </row>
    <row r="18" spans="1:31" ht="21" customHeight="1" x14ac:dyDescent="0.35">
      <c r="A18" s="6">
        <v>17</v>
      </c>
      <c r="B18" s="6" t="s">
        <v>78</v>
      </c>
      <c r="C18" s="6" t="s">
        <v>79</v>
      </c>
      <c r="D18" s="7" t="s">
        <v>80</v>
      </c>
      <c r="E18" s="8" t="s">
        <v>159</v>
      </c>
      <c r="F18" s="8" t="s">
        <v>159</v>
      </c>
      <c r="G18" s="8" t="s">
        <v>159</v>
      </c>
      <c r="H18" s="8" t="s">
        <v>159</v>
      </c>
      <c r="I18" s="8" t="s">
        <v>159</v>
      </c>
      <c r="J18" s="8" t="s">
        <v>159</v>
      </c>
      <c r="K18" s="8" t="s">
        <v>159</v>
      </c>
      <c r="L18" s="8" t="s">
        <v>159</v>
      </c>
      <c r="M18" s="8" t="s">
        <v>160</v>
      </c>
      <c r="N18" s="8" t="s">
        <v>159</v>
      </c>
      <c r="O18" s="8" t="s">
        <v>159</v>
      </c>
      <c r="P18" s="8" t="s">
        <v>159</v>
      </c>
      <c r="Q18" s="8" t="s">
        <v>160</v>
      </c>
      <c r="R18" s="8" t="s">
        <v>160</v>
      </c>
      <c r="S18" s="8" t="s">
        <v>159</v>
      </c>
      <c r="T18" s="8" t="s">
        <v>159</v>
      </c>
      <c r="U18" s="8" t="s">
        <v>160</v>
      </c>
      <c r="V18" s="8" t="s">
        <v>160</v>
      </c>
      <c r="W18" s="8" t="s">
        <v>159</v>
      </c>
      <c r="X18" s="8" t="s">
        <v>159</v>
      </c>
      <c r="Y18" s="8" t="s">
        <v>159</v>
      </c>
      <c r="Z18" s="8" t="s">
        <v>160</v>
      </c>
      <c r="AA18" s="8" t="s">
        <v>159</v>
      </c>
      <c r="AB18" s="8" t="s">
        <v>159</v>
      </c>
      <c r="AC18" s="9">
        <f t="shared" si="0"/>
        <v>6</v>
      </c>
      <c r="AD18" s="9">
        <f t="shared" si="1"/>
        <v>18</v>
      </c>
      <c r="AE18" s="10">
        <f t="shared" si="2"/>
        <v>60</v>
      </c>
    </row>
    <row r="19" spans="1:31" ht="21" customHeight="1" x14ac:dyDescent="0.35">
      <c r="A19" s="11">
        <v>18</v>
      </c>
      <c r="B19" s="11" t="s">
        <v>81</v>
      </c>
      <c r="C19" s="11" t="s">
        <v>82</v>
      </c>
      <c r="D19" s="12" t="s">
        <v>83</v>
      </c>
      <c r="E19" s="13" t="s">
        <v>159</v>
      </c>
      <c r="F19" s="13" t="s">
        <v>160</v>
      </c>
      <c r="G19" s="13" t="s">
        <v>160</v>
      </c>
      <c r="H19" s="13" t="s">
        <v>159</v>
      </c>
      <c r="I19" s="13" t="s">
        <v>160</v>
      </c>
      <c r="J19" s="13" t="s">
        <v>159</v>
      </c>
      <c r="K19" s="13" t="s">
        <v>159</v>
      </c>
      <c r="L19" s="13" t="s">
        <v>160</v>
      </c>
      <c r="M19" s="13" t="s">
        <v>160</v>
      </c>
      <c r="N19" s="13" t="s">
        <v>160</v>
      </c>
      <c r="O19" s="13" t="s">
        <v>159</v>
      </c>
      <c r="P19" s="13" t="s">
        <v>160</v>
      </c>
      <c r="Q19" s="13" t="s">
        <v>159</v>
      </c>
      <c r="R19" s="13" t="s">
        <v>160</v>
      </c>
      <c r="S19" s="13" t="s">
        <v>159</v>
      </c>
      <c r="T19" s="13" t="s">
        <v>160</v>
      </c>
      <c r="U19" s="13" t="s">
        <v>160</v>
      </c>
      <c r="V19" s="13" t="s">
        <v>159</v>
      </c>
      <c r="W19" s="13" t="s">
        <v>159</v>
      </c>
      <c r="X19" s="13" t="s">
        <v>159</v>
      </c>
      <c r="Y19" s="13" t="s">
        <v>159</v>
      </c>
      <c r="Z19" s="13" t="s">
        <v>159</v>
      </c>
      <c r="AA19" s="13" t="s">
        <v>160</v>
      </c>
      <c r="AB19" s="13" t="s">
        <v>159</v>
      </c>
      <c r="AC19" s="9">
        <f t="shared" si="0"/>
        <v>11</v>
      </c>
      <c r="AD19" s="9">
        <f t="shared" si="1"/>
        <v>13</v>
      </c>
      <c r="AE19" s="10">
        <f t="shared" si="2"/>
        <v>10</v>
      </c>
    </row>
    <row r="20" spans="1:31" ht="21" customHeight="1" x14ac:dyDescent="0.35">
      <c r="A20" s="6">
        <v>19</v>
      </c>
      <c r="B20" s="6" t="s">
        <v>84</v>
      </c>
      <c r="C20" s="6" t="s">
        <v>85</v>
      </c>
      <c r="D20" s="7" t="s">
        <v>86</v>
      </c>
      <c r="E20" s="8" t="s">
        <v>159</v>
      </c>
      <c r="F20" s="8" t="s">
        <v>159</v>
      </c>
      <c r="G20" s="8" t="s">
        <v>159</v>
      </c>
      <c r="H20" s="8" t="s">
        <v>159</v>
      </c>
      <c r="I20" s="8" t="s">
        <v>159</v>
      </c>
      <c r="J20" s="8" t="s">
        <v>159</v>
      </c>
      <c r="K20" s="8" t="s">
        <v>160</v>
      </c>
      <c r="L20" s="8" t="s">
        <v>159</v>
      </c>
      <c r="M20" s="8" t="s">
        <v>159</v>
      </c>
      <c r="N20" s="8" t="s">
        <v>160</v>
      </c>
      <c r="O20" s="8" t="s">
        <v>160</v>
      </c>
      <c r="P20" s="8" t="s">
        <v>160</v>
      </c>
      <c r="Q20" s="8" t="s">
        <v>160</v>
      </c>
      <c r="R20" s="8" t="s">
        <v>159</v>
      </c>
      <c r="S20" s="8" t="s">
        <v>159</v>
      </c>
      <c r="T20" s="8" t="s">
        <v>160</v>
      </c>
      <c r="U20" s="8" t="s">
        <v>159</v>
      </c>
      <c r="V20" s="8" t="s">
        <v>159</v>
      </c>
      <c r="W20" s="8" t="s">
        <v>160</v>
      </c>
      <c r="X20" s="8" t="s">
        <v>159</v>
      </c>
      <c r="Y20" s="8" t="s">
        <v>159</v>
      </c>
      <c r="Z20" s="8" t="s">
        <v>160</v>
      </c>
      <c r="AA20" s="8" t="s">
        <v>159</v>
      </c>
      <c r="AB20" s="8" t="s">
        <v>159</v>
      </c>
      <c r="AC20" s="9">
        <f t="shared" si="0"/>
        <v>8</v>
      </c>
      <c r="AD20" s="9">
        <f t="shared" si="1"/>
        <v>16</v>
      </c>
      <c r="AE20" s="10">
        <f t="shared" si="2"/>
        <v>40</v>
      </c>
    </row>
    <row r="21" spans="1:31" ht="21" customHeight="1" x14ac:dyDescent="0.35">
      <c r="A21" s="11">
        <v>20</v>
      </c>
      <c r="B21" s="11" t="s">
        <v>87</v>
      </c>
      <c r="C21" s="11" t="s">
        <v>88</v>
      </c>
      <c r="D21" s="12" t="s">
        <v>89</v>
      </c>
      <c r="E21" s="13" t="s">
        <v>159</v>
      </c>
      <c r="F21" s="13" t="s">
        <v>159</v>
      </c>
      <c r="G21" s="13" t="s">
        <v>159</v>
      </c>
      <c r="H21" s="13" t="s">
        <v>159</v>
      </c>
      <c r="I21" s="13" t="s">
        <v>159</v>
      </c>
      <c r="J21" s="13" t="s">
        <v>159</v>
      </c>
      <c r="K21" s="13" t="s">
        <v>159</v>
      </c>
      <c r="L21" s="13" t="s">
        <v>160</v>
      </c>
      <c r="M21" s="13" t="s">
        <v>159</v>
      </c>
      <c r="N21" s="13" t="s">
        <v>160</v>
      </c>
      <c r="O21" s="13" t="s">
        <v>160</v>
      </c>
      <c r="P21" s="13" t="s">
        <v>159</v>
      </c>
      <c r="Q21" s="13" t="s">
        <v>159</v>
      </c>
      <c r="R21" s="13" t="s">
        <v>159</v>
      </c>
      <c r="S21" s="13" t="s">
        <v>159</v>
      </c>
      <c r="T21" s="13" t="s">
        <v>159</v>
      </c>
      <c r="U21" s="13" t="s">
        <v>159</v>
      </c>
      <c r="V21" s="13" t="s">
        <v>159</v>
      </c>
      <c r="W21" s="13" t="s">
        <v>159</v>
      </c>
      <c r="X21" s="13" t="s">
        <v>182</v>
      </c>
      <c r="Y21" s="13" t="s">
        <v>159</v>
      </c>
      <c r="Z21" s="13" t="s">
        <v>160</v>
      </c>
      <c r="AA21" s="13" t="s">
        <v>159</v>
      </c>
      <c r="AB21" s="13" t="s">
        <v>159</v>
      </c>
      <c r="AC21" s="9">
        <f t="shared" si="0"/>
        <v>4</v>
      </c>
      <c r="AD21" s="9">
        <f t="shared" si="1"/>
        <v>19</v>
      </c>
      <c r="AE21" s="10">
        <f t="shared" si="2"/>
        <v>75</v>
      </c>
    </row>
    <row r="22" spans="1:31" ht="21" customHeight="1" x14ac:dyDescent="0.35">
      <c r="A22" s="6">
        <v>21</v>
      </c>
      <c r="B22" s="6" t="s">
        <v>90</v>
      </c>
      <c r="C22" s="6" t="s">
        <v>91</v>
      </c>
      <c r="D22" s="7" t="s">
        <v>92</v>
      </c>
      <c r="E22" s="8" t="s">
        <v>159</v>
      </c>
      <c r="F22" s="8" t="s">
        <v>159</v>
      </c>
      <c r="G22" s="8" t="s">
        <v>159</v>
      </c>
      <c r="H22" s="8" t="s">
        <v>159</v>
      </c>
      <c r="I22" s="8" t="s">
        <v>159</v>
      </c>
      <c r="J22" s="8" t="s">
        <v>159</v>
      </c>
      <c r="K22" s="8" t="s">
        <v>159</v>
      </c>
      <c r="L22" s="8" t="s">
        <v>159</v>
      </c>
      <c r="M22" s="8" t="s">
        <v>159</v>
      </c>
      <c r="N22" s="8" t="s">
        <v>160</v>
      </c>
      <c r="O22" s="8" t="s">
        <v>160</v>
      </c>
      <c r="P22" s="8" t="s">
        <v>159</v>
      </c>
      <c r="Q22" s="8" t="s">
        <v>159</v>
      </c>
      <c r="R22" s="8" t="s">
        <v>159</v>
      </c>
      <c r="S22" s="8" t="s">
        <v>160</v>
      </c>
      <c r="T22" s="8" t="s">
        <v>159</v>
      </c>
      <c r="U22" s="8" t="s">
        <v>159</v>
      </c>
      <c r="V22" s="8" t="s">
        <v>159</v>
      </c>
      <c r="W22" s="8" t="s">
        <v>159</v>
      </c>
      <c r="X22" s="8" t="s">
        <v>160</v>
      </c>
      <c r="Y22" s="8" t="s">
        <v>159</v>
      </c>
      <c r="Z22" s="8" t="s">
        <v>159</v>
      </c>
      <c r="AA22" s="8" t="s">
        <v>160</v>
      </c>
      <c r="AB22" s="8" t="s">
        <v>160</v>
      </c>
      <c r="AC22" s="9">
        <f t="shared" si="0"/>
        <v>6</v>
      </c>
      <c r="AD22" s="9">
        <f t="shared" si="1"/>
        <v>18</v>
      </c>
      <c r="AE22" s="10">
        <f t="shared" si="2"/>
        <v>60</v>
      </c>
    </row>
    <row r="23" spans="1:31" ht="21" customHeight="1" x14ac:dyDescent="0.35">
      <c r="A23" s="11">
        <v>22</v>
      </c>
      <c r="B23" s="11" t="s">
        <v>93</v>
      </c>
      <c r="C23" s="11" t="s">
        <v>94</v>
      </c>
      <c r="D23" s="12" t="s">
        <v>95</v>
      </c>
      <c r="E23" s="13" t="s">
        <v>159</v>
      </c>
      <c r="F23" s="13" t="s">
        <v>182</v>
      </c>
      <c r="G23" s="13" t="s">
        <v>159</v>
      </c>
      <c r="H23" s="13" t="s">
        <v>159</v>
      </c>
      <c r="I23" s="13" t="s">
        <v>159</v>
      </c>
      <c r="J23" s="13" t="s">
        <v>159</v>
      </c>
      <c r="K23" s="13" t="s">
        <v>159</v>
      </c>
      <c r="L23" s="13" t="s">
        <v>159</v>
      </c>
      <c r="M23" s="13" t="s">
        <v>159</v>
      </c>
      <c r="N23" s="13" t="s">
        <v>160</v>
      </c>
      <c r="O23" s="13" t="s">
        <v>160</v>
      </c>
      <c r="P23" s="13" t="s">
        <v>159</v>
      </c>
      <c r="Q23" s="13" t="s">
        <v>159</v>
      </c>
      <c r="R23" s="13" t="s">
        <v>159</v>
      </c>
      <c r="S23" s="13" t="s">
        <v>160</v>
      </c>
      <c r="T23" s="13" t="s">
        <v>159</v>
      </c>
      <c r="U23" s="13" t="s">
        <v>160</v>
      </c>
      <c r="V23" s="13" t="s">
        <v>159</v>
      </c>
      <c r="W23" s="13" t="s">
        <v>160</v>
      </c>
      <c r="X23" s="13" t="s">
        <v>182</v>
      </c>
      <c r="Y23" s="13" t="s">
        <v>159</v>
      </c>
      <c r="Z23" s="13" t="s">
        <v>159</v>
      </c>
      <c r="AA23" s="13" t="s">
        <v>159</v>
      </c>
      <c r="AB23" s="13" t="s">
        <v>160</v>
      </c>
      <c r="AC23" s="9">
        <f t="shared" si="0"/>
        <v>6</v>
      </c>
      <c r="AD23" s="9">
        <f t="shared" si="1"/>
        <v>16</v>
      </c>
      <c r="AE23" s="10">
        <f t="shared" si="2"/>
        <v>50</v>
      </c>
    </row>
    <row r="24" spans="1:31" ht="21" customHeight="1" x14ac:dyDescent="0.35">
      <c r="A24" s="6">
        <v>23</v>
      </c>
      <c r="B24" s="6" t="s">
        <v>96</v>
      </c>
      <c r="C24" s="6" t="s">
        <v>97</v>
      </c>
      <c r="D24" s="7" t="s">
        <v>98</v>
      </c>
      <c r="E24" s="8" t="s">
        <v>160</v>
      </c>
      <c r="F24" s="8" t="s">
        <v>159</v>
      </c>
      <c r="G24" s="8" t="s">
        <v>159</v>
      </c>
      <c r="H24" s="8" t="s">
        <v>159</v>
      </c>
      <c r="I24" s="8" t="s">
        <v>159</v>
      </c>
      <c r="J24" s="8" t="s">
        <v>159</v>
      </c>
      <c r="K24" s="8" t="s">
        <v>159</v>
      </c>
      <c r="L24" s="8" t="s">
        <v>159</v>
      </c>
      <c r="M24" s="8" t="s">
        <v>159</v>
      </c>
      <c r="N24" s="8" t="s">
        <v>159</v>
      </c>
      <c r="O24" s="8" t="s">
        <v>160</v>
      </c>
      <c r="P24" s="8" t="s">
        <v>159</v>
      </c>
      <c r="Q24" s="8" t="s">
        <v>159</v>
      </c>
      <c r="R24" s="8" t="s">
        <v>159</v>
      </c>
      <c r="S24" s="8" t="s">
        <v>160</v>
      </c>
      <c r="T24" s="8" t="s">
        <v>159</v>
      </c>
      <c r="U24" s="8" t="s">
        <v>160</v>
      </c>
      <c r="V24" s="8" t="s">
        <v>159</v>
      </c>
      <c r="W24" s="8" t="s">
        <v>160</v>
      </c>
      <c r="X24" s="8" t="s">
        <v>159</v>
      </c>
      <c r="Y24" s="8" t="s">
        <v>159</v>
      </c>
      <c r="Z24" s="8" t="s">
        <v>159</v>
      </c>
      <c r="AA24" s="8" t="s">
        <v>160</v>
      </c>
      <c r="AB24" s="8" t="s">
        <v>159</v>
      </c>
      <c r="AC24" s="9">
        <f t="shared" si="0"/>
        <v>6</v>
      </c>
      <c r="AD24" s="9">
        <f t="shared" si="1"/>
        <v>18</v>
      </c>
      <c r="AE24" s="10">
        <f t="shared" si="2"/>
        <v>60</v>
      </c>
    </row>
    <row r="25" spans="1:31" ht="21" customHeight="1" x14ac:dyDescent="0.35">
      <c r="A25" s="11">
        <v>24</v>
      </c>
      <c r="B25" s="11" t="s">
        <v>99</v>
      </c>
      <c r="C25" s="11" t="s">
        <v>100</v>
      </c>
      <c r="D25" s="12" t="s">
        <v>101</v>
      </c>
      <c r="E25" s="13" t="s">
        <v>159</v>
      </c>
      <c r="F25" s="13" t="s">
        <v>159</v>
      </c>
      <c r="G25" s="13" t="s">
        <v>159</v>
      </c>
      <c r="H25" s="13" t="s">
        <v>160</v>
      </c>
      <c r="I25" s="13" t="s">
        <v>159</v>
      </c>
      <c r="J25" s="13" t="s">
        <v>159</v>
      </c>
      <c r="K25" s="13" t="s">
        <v>159</v>
      </c>
      <c r="L25" s="13" t="s">
        <v>160</v>
      </c>
      <c r="M25" s="13" t="s">
        <v>159</v>
      </c>
      <c r="N25" s="13" t="s">
        <v>160</v>
      </c>
      <c r="O25" s="13" t="s">
        <v>160</v>
      </c>
      <c r="P25" s="13" t="s">
        <v>159</v>
      </c>
      <c r="Q25" s="13" t="s">
        <v>159</v>
      </c>
      <c r="R25" s="13" t="s">
        <v>159</v>
      </c>
      <c r="S25" s="13" t="s">
        <v>159</v>
      </c>
      <c r="T25" s="13" t="s">
        <v>160</v>
      </c>
      <c r="U25" s="13" t="s">
        <v>160</v>
      </c>
      <c r="V25" s="13" t="s">
        <v>160</v>
      </c>
      <c r="W25" s="13" t="s">
        <v>160</v>
      </c>
      <c r="X25" s="13" t="s">
        <v>159</v>
      </c>
      <c r="Y25" s="13" t="s">
        <v>159</v>
      </c>
      <c r="Z25" s="13" t="s">
        <v>160</v>
      </c>
      <c r="AA25" s="13" t="s">
        <v>159</v>
      </c>
      <c r="AB25" s="13" t="s">
        <v>159</v>
      </c>
      <c r="AC25" s="9">
        <f t="shared" si="0"/>
        <v>9</v>
      </c>
      <c r="AD25" s="9">
        <f t="shared" si="1"/>
        <v>15</v>
      </c>
      <c r="AE25" s="10">
        <f t="shared" si="2"/>
        <v>30</v>
      </c>
    </row>
    <row r="26" spans="1:31" ht="21" customHeight="1" x14ac:dyDescent="0.35">
      <c r="A26" s="6">
        <v>25</v>
      </c>
      <c r="B26" s="6" t="s">
        <v>102</v>
      </c>
      <c r="C26" s="6" t="s">
        <v>103</v>
      </c>
      <c r="D26" s="7" t="s">
        <v>104</v>
      </c>
      <c r="E26" s="8" t="s">
        <v>159</v>
      </c>
      <c r="F26" s="8" t="s">
        <v>159</v>
      </c>
      <c r="G26" s="8" t="s">
        <v>159</v>
      </c>
      <c r="H26" s="8" t="s">
        <v>160</v>
      </c>
      <c r="I26" s="8" t="s">
        <v>159</v>
      </c>
      <c r="J26" s="8" t="s">
        <v>159</v>
      </c>
      <c r="K26" s="8" t="s">
        <v>159</v>
      </c>
      <c r="L26" s="8" t="s">
        <v>159</v>
      </c>
      <c r="M26" s="8" t="s">
        <v>159</v>
      </c>
      <c r="N26" s="8" t="s">
        <v>159</v>
      </c>
      <c r="O26" s="8" t="s">
        <v>159</v>
      </c>
      <c r="P26" s="8" t="s">
        <v>159</v>
      </c>
      <c r="Q26" s="8" t="s">
        <v>159</v>
      </c>
      <c r="R26" s="8" t="s">
        <v>160</v>
      </c>
      <c r="S26" s="8" t="s">
        <v>159</v>
      </c>
      <c r="T26" s="8" t="s">
        <v>160</v>
      </c>
      <c r="U26" s="8" t="s">
        <v>159</v>
      </c>
      <c r="V26" s="8" t="s">
        <v>159</v>
      </c>
      <c r="W26" s="8" t="s">
        <v>160</v>
      </c>
      <c r="X26" s="8" t="s">
        <v>159</v>
      </c>
      <c r="Y26" s="8" t="s">
        <v>160</v>
      </c>
      <c r="Z26" s="8" t="s">
        <v>159</v>
      </c>
      <c r="AA26" s="8" t="s">
        <v>160</v>
      </c>
      <c r="AB26" s="8" t="s">
        <v>159</v>
      </c>
      <c r="AC26" s="9">
        <f t="shared" si="0"/>
        <v>6</v>
      </c>
      <c r="AD26" s="9">
        <f t="shared" si="1"/>
        <v>18</v>
      </c>
      <c r="AE26" s="10">
        <f t="shared" si="2"/>
        <v>60</v>
      </c>
    </row>
    <row r="27" spans="1:31" ht="21" customHeight="1" x14ac:dyDescent="0.35">
      <c r="A27" s="11">
        <v>26</v>
      </c>
      <c r="B27" s="11" t="s">
        <v>105</v>
      </c>
      <c r="C27" s="11" t="s">
        <v>106</v>
      </c>
      <c r="D27" s="12" t="s">
        <v>107</v>
      </c>
      <c r="E27" s="13" t="s">
        <v>182</v>
      </c>
      <c r="F27" s="13" t="s">
        <v>159</v>
      </c>
      <c r="G27" s="13" t="s">
        <v>159</v>
      </c>
      <c r="H27" s="13" t="s">
        <v>159</v>
      </c>
      <c r="I27" s="13" t="s">
        <v>159</v>
      </c>
      <c r="J27" s="13" t="s">
        <v>159</v>
      </c>
      <c r="K27" s="13" t="s">
        <v>159</v>
      </c>
      <c r="L27" s="13" t="s">
        <v>159</v>
      </c>
      <c r="M27" s="13" t="s">
        <v>160</v>
      </c>
      <c r="N27" s="13" t="s">
        <v>159</v>
      </c>
      <c r="O27" s="13" t="s">
        <v>159</v>
      </c>
      <c r="P27" s="13" t="s">
        <v>159</v>
      </c>
      <c r="Q27" s="13" t="s">
        <v>159</v>
      </c>
      <c r="R27" s="13" t="s">
        <v>160</v>
      </c>
      <c r="S27" s="13" t="s">
        <v>159</v>
      </c>
      <c r="T27" s="13" t="s">
        <v>159</v>
      </c>
      <c r="U27" s="13" t="s">
        <v>160</v>
      </c>
      <c r="V27" s="13" t="s">
        <v>159</v>
      </c>
      <c r="W27" s="13" t="s">
        <v>159</v>
      </c>
      <c r="X27" s="13" t="s">
        <v>160</v>
      </c>
      <c r="Y27" s="13" t="s">
        <v>159</v>
      </c>
      <c r="Z27" s="13" t="s">
        <v>159</v>
      </c>
      <c r="AA27" s="13" t="s">
        <v>159</v>
      </c>
      <c r="AB27" s="13" t="s">
        <v>182</v>
      </c>
      <c r="AC27" s="9">
        <f t="shared" si="0"/>
        <v>4</v>
      </c>
      <c r="AD27" s="9">
        <f t="shared" si="1"/>
        <v>18</v>
      </c>
      <c r="AE27" s="10">
        <f t="shared" si="2"/>
        <v>70</v>
      </c>
    </row>
    <row r="28" spans="1:31" ht="21" customHeight="1" x14ac:dyDescent="0.35">
      <c r="A28" s="6">
        <v>27</v>
      </c>
      <c r="B28" s="6" t="s">
        <v>108</v>
      </c>
      <c r="C28" s="6" t="s">
        <v>109</v>
      </c>
      <c r="D28" s="7" t="s">
        <v>110</v>
      </c>
      <c r="E28" s="8" t="s">
        <v>159</v>
      </c>
      <c r="F28" s="8" t="s">
        <v>159</v>
      </c>
      <c r="G28" s="8" t="s">
        <v>159</v>
      </c>
      <c r="H28" s="8" t="s">
        <v>159</v>
      </c>
      <c r="I28" s="8" t="s">
        <v>182</v>
      </c>
      <c r="J28" s="8" t="s">
        <v>159</v>
      </c>
      <c r="K28" s="8" t="s">
        <v>159</v>
      </c>
      <c r="L28" s="8" t="s">
        <v>159</v>
      </c>
      <c r="M28" s="8" t="s">
        <v>159</v>
      </c>
      <c r="N28" s="8" t="s">
        <v>159</v>
      </c>
      <c r="O28" s="8" t="s">
        <v>159</v>
      </c>
      <c r="P28" s="8" t="s">
        <v>159</v>
      </c>
      <c r="Q28" s="8" t="s">
        <v>159</v>
      </c>
      <c r="R28" s="8" t="s">
        <v>160</v>
      </c>
      <c r="S28" s="8" t="s">
        <v>159</v>
      </c>
      <c r="T28" s="8" t="s">
        <v>159</v>
      </c>
      <c r="U28" s="8" t="s">
        <v>160</v>
      </c>
      <c r="V28" s="8" t="s">
        <v>160</v>
      </c>
      <c r="W28" s="8" t="s">
        <v>160</v>
      </c>
      <c r="X28" s="8" t="s">
        <v>159</v>
      </c>
      <c r="Y28" s="8" t="s">
        <v>160</v>
      </c>
      <c r="Z28" s="8" t="s">
        <v>159</v>
      </c>
      <c r="AA28" s="8" t="s">
        <v>182</v>
      </c>
      <c r="AB28" s="8" t="s">
        <v>159</v>
      </c>
      <c r="AC28" s="9">
        <f t="shared" si="0"/>
        <v>5</v>
      </c>
      <c r="AD28" s="9">
        <f t="shared" si="1"/>
        <v>17</v>
      </c>
      <c r="AE28" s="10">
        <f t="shared" si="2"/>
        <v>60</v>
      </c>
    </row>
    <row r="29" spans="1:31" ht="21" customHeight="1" x14ac:dyDescent="0.35">
      <c r="A29" s="11">
        <v>28</v>
      </c>
      <c r="B29" s="11" t="s">
        <v>111</v>
      </c>
      <c r="C29" s="11" t="s">
        <v>112</v>
      </c>
      <c r="D29" s="12" t="s">
        <v>113</v>
      </c>
      <c r="E29" s="13" t="s">
        <v>159</v>
      </c>
      <c r="F29" s="13" t="s">
        <v>159</v>
      </c>
      <c r="G29" s="13" t="s">
        <v>159</v>
      </c>
      <c r="H29" s="13" t="s">
        <v>182</v>
      </c>
      <c r="I29" s="13" t="s">
        <v>160</v>
      </c>
      <c r="J29" s="13" t="s">
        <v>182</v>
      </c>
      <c r="K29" s="13" t="s">
        <v>160</v>
      </c>
      <c r="L29" s="13" t="s">
        <v>160</v>
      </c>
      <c r="M29" s="13" t="s">
        <v>160</v>
      </c>
      <c r="N29" s="13" t="s">
        <v>159</v>
      </c>
      <c r="O29" s="13" t="s">
        <v>160</v>
      </c>
      <c r="P29" s="13" t="s">
        <v>159</v>
      </c>
      <c r="Q29" s="13" t="s">
        <v>160</v>
      </c>
      <c r="R29" s="13" t="s">
        <v>160</v>
      </c>
      <c r="S29" s="13" t="s">
        <v>159</v>
      </c>
      <c r="T29" s="13" t="s">
        <v>160</v>
      </c>
      <c r="U29" s="13" t="s">
        <v>159</v>
      </c>
      <c r="V29" s="13" t="s">
        <v>160</v>
      </c>
      <c r="W29" s="13" t="s">
        <v>160</v>
      </c>
      <c r="X29" s="13" t="s">
        <v>182</v>
      </c>
      <c r="Y29" s="13" t="s">
        <v>159</v>
      </c>
      <c r="Z29" s="13" t="s">
        <v>159</v>
      </c>
      <c r="AA29" s="13" t="s">
        <v>159</v>
      </c>
      <c r="AB29" s="13" t="s">
        <v>159</v>
      </c>
      <c r="AC29" s="9">
        <f t="shared" si="0"/>
        <v>10</v>
      </c>
      <c r="AD29" s="9">
        <f t="shared" si="1"/>
        <v>11</v>
      </c>
      <c r="AE29" s="10">
        <f t="shared" si="2"/>
        <v>5</v>
      </c>
    </row>
    <row r="30" spans="1:31" ht="21" customHeight="1" x14ac:dyDescent="0.35">
      <c r="A30" s="6">
        <v>29</v>
      </c>
      <c r="B30" s="6" t="s">
        <v>114</v>
      </c>
      <c r="C30" s="6" t="s">
        <v>115</v>
      </c>
      <c r="D30" s="7" t="s">
        <v>116</v>
      </c>
      <c r="E30" s="8" t="s">
        <v>160</v>
      </c>
      <c r="F30" s="8" t="s">
        <v>159</v>
      </c>
      <c r="G30" s="8" t="s">
        <v>160</v>
      </c>
      <c r="H30" s="8" t="s">
        <v>182</v>
      </c>
      <c r="I30" s="8" t="s">
        <v>160</v>
      </c>
      <c r="J30" s="8" t="s">
        <v>159</v>
      </c>
      <c r="K30" s="8" t="s">
        <v>159</v>
      </c>
      <c r="L30" s="8" t="s">
        <v>159</v>
      </c>
      <c r="M30" s="8" t="s">
        <v>159</v>
      </c>
      <c r="N30" s="8" t="s">
        <v>159</v>
      </c>
      <c r="O30" s="8" t="s">
        <v>159</v>
      </c>
      <c r="P30" s="8" t="s">
        <v>159</v>
      </c>
      <c r="Q30" s="8" t="s">
        <v>160</v>
      </c>
      <c r="R30" s="8" t="s">
        <v>160</v>
      </c>
      <c r="S30" s="8" t="s">
        <v>159</v>
      </c>
      <c r="T30" s="8" t="s">
        <v>159</v>
      </c>
      <c r="U30" s="8" t="s">
        <v>160</v>
      </c>
      <c r="V30" s="8" t="s">
        <v>159</v>
      </c>
      <c r="W30" s="8" t="s">
        <v>159</v>
      </c>
      <c r="X30" s="8" t="s">
        <v>159</v>
      </c>
      <c r="Y30" s="8" t="s">
        <v>160</v>
      </c>
      <c r="Z30" s="8" t="s">
        <v>182</v>
      </c>
      <c r="AA30" s="8" t="s">
        <v>160</v>
      </c>
      <c r="AB30" s="8" t="s">
        <v>159</v>
      </c>
      <c r="AC30" s="9">
        <f t="shared" si="0"/>
        <v>8</v>
      </c>
      <c r="AD30" s="9">
        <f t="shared" si="1"/>
        <v>14</v>
      </c>
      <c r="AE30" s="10">
        <f t="shared" si="2"/>
        <v>30</v>
      </c>
    </row>
    <row r="31" spans="1:31" ht="21" customHeight="1" x14ac:dyDescent="0.35">
      <c r="A31" s="11">
        <v>30</v>
      </c>
      <c r="B31" s="11" t="s">
        <v>117</v>
      </c>
      <c r="C31" s="11" t="s">
        <v>118</v>
      </c>
      <c r="D31" s="12" t="s">
        <v>119</v>
      </c>
      <c r="E31" s="13" t="s">
        <v>159</v>
      </c>
      <c r="F31" s="13" t="s">
        <v>159</v>
      </c>
      <c r="G31" s="13" t="s">
        <v>160</v>
      </c>
      <c r="H31" s="13" t="s">
        <v>159</v>
      </c>
      <c r="I31" s="13" t="s">
        <v>182</v>
      </c>
      <c r="J31" s="13" t="s">
        <v>159</v>
      </c>
      <c r="K31" s="13" t="s">
        <v>159</v>
      </c>
      <c r="L31" s="13" t="s">
        <v>159</v>
      </c>
      <c r="M31" s="13" t="s">
        <v>159</v>
      </c>
      <c r="N31" s="13" t="s">
        <v>159</v>
      </c>
      <c r="O31" s="13" t="s">
        <v>159</v>
      </c>
      <c r="P31" s="13" t="s">
        <v>159</v>
      </c>
      <c r="Q31" s="13" t="s">
        <v>159</v>
      </c>
      <c r="R31" s="13" t="s">
        <v>160</v>
      </c>
      <c r="S31" s="13" t="s">
        <v>159</v>
      </c>
      <c r="T31" s="13" t="s">
        <v>159</v>
      </c>
      <c r="U31" s="13" t="s">
        <v>160</v>
      </c>
      <c r="V31" s="13" t="s">
        <v>160</v>
      </c>
      <c r="W31" s="13" t="s">
        <v>159</v>
      </c>
      <c r="X31" s="13" t="s">
        <v>159</v>
      </c>
      <c r="Y31" s="13" t="s">
        <v>160</v>
      </c>
      <c r="Z31" s="13" t="s">
        <v>159</v>
      </c>
      <c r="AA31" s="13" t="s">
        <v>159</v>
      </c>
      <c r="AB31" s="13" t="s">
        <v>160</v>
      </c>
      <c r="AC31" s="9">
        <f t="shared" si="0"/>
        <v>6</v>
      </c>
      <c r="AD31" s="9">
        <f t="shared" si="1"/>
        <v>17</v>
      </c>
      <c r="AE31" s="10">
        <f t="shared" si="2"/>
        <v>55</v>
      </c>
    </row>
    <row r="32" spans="1:31" ht="21" customHeight="1" x14ac:dyDescent="0.35">
      <c r="A32" s="6">
        <v>31</v>
      </c>
      <c r="B32" s="6" t="s">
        <v>120</v>
      </c>
      <c r="C32" s="6" t="s">
        <v>121</v>
      </c>
      <c r="D32" s="7" t="s">
        <v>122</v>
      </c>
      <c r="E32" s="8" t="s">
        <v>160</v>
      </c>
      <c r="F32" s="8" t="s">
        <v>160</v>
      </c>
      <c r="G32" s="8" t="s">
        <v>159</v>
      </c>
      <c r="H32" s="8" t="s">
        <v>159</v>
      </c>
      <c r="I32" s="8" t="s">
        <v>159</v>
      </c>
      <c r="J32" s="8" t="s">
        <v>159</v>
      </c>
      <c r="K32" s="8" t="s">
        <v>159</v>
      </c>
      <c r="L32" s="8" t="s">
        <v>160</v>
      </c>
      <c r="M32" s="8" t="s">
        <v>160</v>
      </c>
      <c r="N32" s="8" t="s">
        <v>159</v>
      </c>
      <c r="O32" s="8" t="s">
        <v>160</v>
      </c>
      <c r="P32" s="8" t="s">
        <v>160</v>
      </c>
      <c r="Q32" s="8" t="s">
        <v>160</v>
      </c>
      <c r="R32" s="8" t="s">
        <v>160</v>
      </c>
      <c r="S32" s="8" t="s">
        <v>159</v>
      </c>
      <c r="T32" s="8" t="s">
        <v>159</v>
      </c>
      <c r="U32" s="8" t="s">
        <v>160</v>
      </c>
      <c r="V32" s="8" t="s">
        <v>160</v>
      </c>
      <c r="W32" s="8" t="s">
        <v>159</v>
      </c>
      <c r="X32" s="8" t="s">
        <v>159</v>
      </c>
      <c r="Y32" s="8" t="s">
        <v>159</v>
      </c>
      <c r="Z32" s="8" t="s">
        <v>160</v>
      </c>
      <c r="AA32" s="8" t="s">
        <v>159</v>
      </c>
      <c r="AB32" s="8" t="s">
        <v>159</v>
      </c>
      <c r="AC32" s="9">
        <f t="shared" si="0"/>
        <v>11</v>
      </c>
      <c r="AD32" s="9">
        <f t="shared" si="1"/>
        <v>13</v>
      </c>
      <c r="AE32" s="10">
        <f t="shared" si="2"/>
        <v>10</v>
      </c>
    </row>
    <row r="33" spans="1:31" ht="21" customHeight="1" x14ac:dyDescent="0.35">
      <c r="A33" s="11">
        <v>32</v>
      </c>
      <c r="B33" s="11" t="s">
        <v>123</v>
      </c>
      <c r="C33" s="11" t="s">
        <v>124</v>
      </c>
      <c r="D33" s="12" t="s">
        <v>125</v>
      </c>
      <c r="E33" s="21" t="s">
        <v>159</v>
      </c>
      <c r="F33" s="21" t="s">
        <v>160</v>
      </c>
      <c r="G33" s="21" t="s">
        <v>159</v>
      </c>
      <c r="H33" s="21" t="s">
        <v>159</v>
      </c>
      <c r="I33" s="21" t="s">
        <v>159</v>
      </c>
      <c r="J33" s="21" t="s">
        <v>159</v>
      </c>
      <c r="K33" s="13" t="s">
        <v>160</v>
      </c>
      <c r="L33" s="13" t="s">
        <v>160</v>
      </c>
      <c r="M33" s="13" t="s">
        <v>160</v>
      </c>
      <c r="N33" s="13" t="s">
        <v>159</v>
      </c>
      <c r="O33" s="21" t="s">
        <v>160</v>
      </c>
      <c r="P33" s="21" t="s">
        <v>160</v>
      </c>
      <c r="Q33" s="21" t="s">
        <v>160</v>
      </c>
      <c r="R33" s="13" t="s">
        <v>160</v>
      </c>
      <c r="S33" s="13" t="s">
        <v>159</v>
      </c>
      <c r="T33" s="13" t="s">
        <v>160</v>
      </c>
      <c r="U33" s="13" t="s">
        <v>160</v>
      </c>
      <c r="V33" s="13" t="s">
        <v>160</v>
      </c>
      <c r="W33" s="13" t="s">
        <v>160</v>
      </c>
      <c r="X33" s="13" t="s">
        <v>159</v>
      </c>
      <c r="Y33" s="13" t="s">
        <v>159</v>
      </c>
      <c r="Z33" s="13" t="s">
        <v>182</v>
      </c>
      <c r="AA33" s="13" t="s">
        <v>159</v>
      </c>
      <c r="AB33" s="13" t="s">
        <v>159</v>
      </c>
      <c r="AC33" s="9">
        <f t="shared" si="0"/>
        <v>12</v>
      </c>
      <c r="AD33" s="9">
        <f t="shared" si="1"/>
        <v>11</v>
      </c>
      <c r="AE33" s="10">
        <f t="shared" si="2"/>
        <v>-5</v>
      </c>
    </row>
    <row r="34" spans="1:31" ht="21" customHeight="1" x14ac:dyDescent="0.35">
      <c r="A34" s="6">
        <v>33</v>
      </c>
      <c r="B34" s="6" t="s">
        <v>126</v>
      </c>
      <c r="C34" s="6" t="s">
        <v>127</v>
      </c>
      <c r="D34" s="7" t="s">
        <v>128</v>
      </c>
      <c r="E34" s="8" t="s">
        <v>159</v>
      </c>
      <c r="F34" s="8" t="s">
        <v>159</v>
      </c>
      <c r="G34" s="8" t="s">
        <v>160</v>
      </c>
      <c r="H34" s="8" t="s">
        <v>159</v>
      </c>
      <c r="I34" s="8" t="s">
        <v>159</v>
      </c>
      <c r="J34" s="8" t="s">
        <v>159</v>
      </c>
      <c r="K34" s="8" t="s">
        <v>159</v>
      </c>
      <c r="L34" s="8" t="s">
        <v>159</v>
      </c>
      <c r="M34" s="8" t="s">
        <v>160</v>
      </c>
      <c r="N34" s="8" t="s">
        <v>160</v>
      </c>
      <c r="O34" s="8" t="s">
        <v>159</v>
      </c>
      <c r="P34" s="8" t="s">
        <v>159</v>
      </c>
      <c r="Q34" s="8" t="s">
        <v>159</v>
      </c>
      <c r="R34" s="8" t="s">
        <v>159</v>
      </c>
      <c r="S34" s="8" t="s">
        <v>159</v>
      </c>
      <c r="T34" s="8" t="s">
        <v>160</v>
      </c>
      <c r="U34" s="8" t="s">
        <v>159</v>
      </c>
      <c r="V34" s="8" t="s">
        <v>159</v>
      </c>
      <c r="W34" s="8" t="s">
        <v>159</v>
      </c>
      <c r="X34" s="8" t="s">
        <v>159</v>
      </c>
      <c r="Y34" s="8" t="s">
        <v>159</v>
      </c>
      <c r="Z34" s="8" t="s">
        <v>159</v>
      </c>
      <c r="AA34" s="8" t="s">
        <v>159</v>
      </c>
      <c r="AB34" s="8" t="s">
        <v>159</v>
      </c>
      <c r="AC34" s="9">
        <f t="shared" si="0"/>
        <v>4</v>
      </c>
      <c r="AD34" s="9">
        <f t="shared" si="1"/>
        <v>20</v>
      </c>
      <c r="AE34" s="10">
        <f t="shared" si="2"/>
        <v>80</v>
      </c>
    </row>
    <row r="35" spans="1:31" ht="21" customHeight="1" x14ac:dyDescent="0.35">
      <c r="A35" s="11">
        <v>34</v>
      </c>
      <c r="B35" s="11" t="s">
        <v>129</v>
      </c>
      <c r="C35" s="11" t="s">
        <v>130</v>
      </c>
      <c r="D35" s="12" t="s">
        <v>131</v>
      </c>
      <c r="E35" s="13" t="s">
        <v>159</v>
      </c>
      <c r="F35" s="13" t="s">
        <v>159</v>
      </c>
      <c r="G35" s="13" t="s">
        <v>159</v>
      </c>
      <c r="H35" s="13" t="s">
        <v>159</v>
      </c>
      <c r="I35" s="13" t="s">
        <v>160</v>
      </c>
      <c r="J35" s="13" t="s">
        <v>159</v>
      </c>
      <c r="K35" s="13" t="s">
        <v>160</v>
      </c>
      <c r="L35" s="13" t="s">
        <v>159</v>
      </c>
      <c r="M35" s="13" t="s">
        <v>159</v>
      </c>
      <c r="N35" s="13" t="s">
        <v>159</v>
      </c>
      <c r="O35" s="13" t="s">
        <v>159</v>
      </c>
      <c r="P35" s="13" t="s">
        <v>159</v>
      </c>
      <c r="Q35" s="13" t="s">
        <v>160</v>
      </c>
      <c r="R35" s="13" t="s">
        <v>160</v>
      </c>
      <c r="S35" s="13" t="s">
        <v>160</v>
      </c>
      <c r="T35" s="13" t="s">
        <v>160</v>
      </c>
      <c r="U35" s="13" t="s">
        <v>160</v>
      </c>
      <c r="V35" s="13" t="s">
        <v>160</v>
      </c>
      <c r="W35" s="13" t="s">
        <v>160</v>
      </c>
      <c r="X35" s="13" t="s">
        <v>159</v>
      </c>
      <c r="Y35" s="13" t="s">
        <v>159</v>
      </c>
      <c r="Z35" s="13" t="s">
        <v>159</v>
      </c>
      <c r="AA35" s="13" t="s">
        <v>159</v>
      </c>
      <c r="AB35" s="13" t="s">
        <v>159</v>
      </c>
      <c r="AC35" s="9">
        <f t="shared" si="0"/>
        <v>9</v>
      </c>
      <c r="AD35" s="9">
        <f t="shared" si="1"/>
        <v>15</v>
      </c>
      <c r="AE35" s="10">
        <f t="shared" si="2"/>
        <v>30</v>
      </c>
    </row>
    <row r="36" spans="1:31" ht="21" customHeight="1" x14ac:dyDescent="0.35">
      <c r="A36" s="6">
        <v>35</v>
      </c>
      <c r="B36" s="6" t="s">
        <v>132</v>
      </c>
      <c r="C36" s="6" t="s">
        <v>133</v>
      </c>
      <c r="D36" s="7" t="s">
        <v>134</v>
      </c>
      <c r="E36" s="8" t="s">
        <v>159</v>
      </c>
      <c r="F36" s="8" t="s">
        <v>159</v>
      </c>
      <c r="G36" s="8" t="s">
        <v>159</v>
      </c>
      <c r="H36" s="8" t="s">
        <v>160</v>
      </c>
      <c r="I36" s="8" t="s">
        <v>159</v>
      </c>
      <c r="J36" s="8" t="s">
        <v>159</v>
      </c>
      <c r="K36" s="8" t="s">
        <v>160</v>
      </c>
      <c r="L36" s="8" t="s">
        <v>159</v>
      </c>
      <c r="M36" s="8" t="s">
        <v>160</v>
      </c>
      <c r="N36" s="8" t="s">
        <v>160</v>
      </c>
      <c r="O36" s="8" t="s">
        <v>160</v>
      </c>
      <c r="P36" s="8" t="s">
        <v>160</v>
      </c>
      <c r="Q36" s="8" t="s">
        <v>160</v>
      </c>
      <c r="R36" s="8" t="s">
        <v>159</v>
      </c>
      <c r="S36" s="8" t="s">
        <v>160</v>
      </c>
      <c r="T36" s="8" t="s">
        <v>160</v>
      </c>
      <c r="U36" s="8" t="s">
        <v>160</v>
      </c>
      <c r="V36" s="8" t="s">
        <v>160</v>
      </c>
      <c r="W36" s="8" t="s">
        <v>160</v>
      </c>
      <c r="X36" s="8" t="s">
        <v>160</v>
      </c>
      <c r="Y36" s="8" t="s">
        <v>160</v>
      </c>
      <c r="Z36" s="8" t="s">
        <v>159</v>
      </c>
      <c r="AA36" s="8" t="s">
        <v>159</v>
      </c>
      <c r="AB36" s="8" t="s">
        <v>159</v>
      </c>
      <c r="AC36" s="9">
        <f t="shared" si="0"/>
        <v>14</v>
      </c>
      <c r="AD36" s="9">
        <f t="shared" si="1"/>
        <v>10</v>
      </c>
      <c r="AE36" s="10">
        <f t="shared" si="2"/>
        <v>-20</v>
      </c>
    </row>
    <row r="37" spans="1:31" ht="21" customHeight="1" x14ac:dyDescent="0.35">
      <c r="A37" s="11">
        <v>36</v>
      </c>
      <c r="B37" s="11" t="s">
        <v>631</v>
      </c>
      <c r="C37" s="11" t="s">
        <v>632</v>
      </c>
      <c r="D37" s="12" t="s">
        <v>633</v>
      </c>
      <c r="E37" s="13" t="s">
        <v>159</v>
      </c>
      <c r="F37" s="13" t="s">
        <v>160</v>
      </c>
      <c r="G37" s="13" t="s">
        <v>159</v>
      </c>
      <c r="H37" s="13" t="s">
        <v>159</v>
      </c>
      <c r="I37" s="13" t="s">
        <v>159</v>
      </c>
      <c r="J37" s="13" t="s">
        <v>160</v>
      </c>
      <c r="K37" s="13" t="s">
        <v>160</v>
      </c>
      <c r="L37" s="13" t="s">
        <v>159</v>
      </c>
      <c r="M37" s="13" t="s">
        <v>159</v>
      </c>
      <c r="N37" s="13" t="s">
        <v>160</v>
      </c>
      <c r="O37" s="13" t="s">
        <v>159</v>
      </c>
      <c r="P37" s="13" t="s">
        <v>160</v>
      </c>
      <c r="Q37" s="13" t="s">
        <v>160</v>
      </c>
      <c r="R37" s="13" t="s">
        <v>160</v>
      </c>
      <c r="S37" s="13" t="s">
        <v>160</v>
      </c>
      <c r="T37" s="13" t="s">
        <v>160</v>
      </c>
      <c r="U37" s="13" t="s">
        <v>160</v>
      </c>
      <c r="V37" s="13" t="s">
        <v>160</v>
      </c>
      <c r="W37" s="13" t="s">
        <v>160</v>
      </c>
      <c r="X37" s="13" t="s">
        <v>159</v>
      </c>
      <c r="Y37" s="13" t="s">
        <v>159</v>
      </c>
      <c r="Z37" s="13" t="s">
        <v>159</v>
      </c>
      <c r="AA37" s="13" t="s">
        <v>159</v>
      </c>
      <c r="AB37" s="13" t="s">
        <v>159</v>
      </c>
      <c r="AC37" s="9">
        <f t="shared" si="0"/>
        <v>12</v>
      </c>
      <c r="AD37" s="9">
        <f t="shared" si="1"/>
        <v>12</v>
      </c>
      <c r="AE37" s="10">
        <f t="shared" si="2"/>
        <v>0</v>
      </c>
    </row>
    <row r="38" spans="1:31" ht="21" customHeight="1" x14ac:dyDescent="0.35">
      <c r="A38" s="6">
        <v>37</v>
      </c>
      <c r="B38" s="6" t="s">
        <v>634</v>
      </c>
      <c r="C38" s="6" t="s">
        <v>635</v>
      </c>
      <c r="D38" s="7" t="s">
        <v>636</v>
      </c>
      <c r="E38" s="8" t="s">
        <v>159</v>
      </c>
      <c r="F38" s="8" t="s">
        <v>159</v>
      </c>
      <c r="G38" s="8" t="s">
        <v>159</v>
      </c>
      <c r="H38" s="8" t="s">
        <v>159</v>
      </c>
      <c r="I38" s="8" t="s">
        <v>159</v>
      </c>
      <c r="J38" s="8" t="s">
        <v>159</v>
      </c>
      <c r="K38" s="8" t="s">
        <v>159</v>
      </c>
      <c r="L38" s="8" t="s">
        <v>160</v>
      </c>
      <c r="M38" s="8" t="s">
        <v>159</v>
      </c>
      <c r="N38" s="8" t="s">
        <v>159</v>
      </c>
      <c r="O38" s="8" t="s">
        <v>160</v>
      </c>
      <c r="P38" s="8" t="s">
        <v>159</v>
      </c>
      <c r="Q38" s="8" t="s">
        <v>159</v>
      </c>
      <c r="R38" s="8" t="s">
        <v>159</v>
      </c>
      <c r="S38" s="8" t="s">
        <v>160</v>
      </c>
      <c r="T38" s="8" t="s">
        <v>159</v>
      </c>
      <c r="U38" s="8" t="s">
        <v>160</v>
      </c>
      <c r="V38" s="8" t="s">
        <v>159</v>
      </c>
      <c r="W38" s="8" t="s">
        <v>160</v>
      </c>
      <c r="X38" s="8" t="s">
        <v>160</v>
      </c>
      <c r="Y38" s="8" t="s">
        <v>159</v>
      </c>
      <c r="Z38" s="8" t="s">
        <v>159</v>
      </c>
      <c r="AA38" s="8" t="s">
        <v>159</v>
      </c>
      <c r="AB38" s="8" t="s">
        <v>160</v>
      </c>
      <c r="AC38" s="9">
        <f t="shared" si="0"/>
        <v>7</v>
      </c>
      <c r="AD38" s="9">
        <f t="shared" si="1"/>
        <v>17</v>
      </c>
      <c r="AE38" s="10">
        <f t="shared" si="2"/>
        <v>50</v>
      </c>
    </row>
    <row r="39" spans="1:31" ht="21" customHeight="1" x14ac:dyDescent="0.35">
      <c r="A39" s="11">
        <v>38</v>
      </c>
      <c r="B39" s="11" t="s">
        <v>634</v>
      </c>
      <c r="C39" s="11" t="s">
        <v>635</v>
      </c>
      <c r="D39" s="12" t="s">
        <v>636</v>
      </c>
      <c r="E39" s="15" t="s">
        <v>159</v>
      </c>
      <c r="F39" s="15" t="s">
        <v>159</v>
      </c>
      <c r="G39" s="15" t="s">
        <v>160</v>
      </c>
      <c r="H39" s="15" t="s">
        <v>159</v>
      </c>
      <c r="I39" s="13" t="s">
        <v>159</v>
      </c>
      <c r="J39" s="15" t="s">
        <v>159</v>
      </c>
      <c r="K39" s="13" t="s">
        <v>159</v>
      </c>
      <c r="L39" s="13" t="s">
        <v>159</v>
      </c>
      <c r="M39" s="13" t="s">
        <v>159</v>
      </c>
      <c r="N39" s="13" t="s">
        <v>159</v>
      </c>
      <c r="O39" s="13" t="s">
        <v>160</v>
      </c>
      <c r="P39" s="13" t="s">
        <v>159</v>
      </c>
      <c r="Q39" s="13" t="s">
        <v>159</v>
      </c>
      <c r="R39" s="13" t="s">
        <v>159</v>
      </c>
      <c r="S39" s="13" t="s">
        <v>160</v>
      </c>
      <c r="T39" s="13" t="s">
        <v>159</v>
      </c>
      <c r="U39" s="13" t="s">
        <v>160</v>
      </c>
      <c r="V39" s="13" t="s">
        <v>159</v>
      </c>
      <c r="W39" s="13" t="s">
        <v>160</v>
      </c>
      <c r="X39" s="13" t="s">
        <v>160</v>
      </c>
      <c r="Y39" s="13" t="s">
        <v>159</v>
      </c>
      <c r="Z39" s="13" t="s">
        <v>159</v>
      </c>
      <c r="AA39" s="13" t="s">
        <v>159</v>
      </c>
      <c r="AB39" s="13" t="s">
        <v>159</v>
      </c>
      <c r="AC39" s="9">
        <f t="shared" si="0"/>
        <v>6</v>
      </c>
      <c r="AD39" s="9">
        <f t="shared" si="1"/>
        <v>18</v>
      </c>
      <c r="AE39" s="10">
        <f t="shared" si="2"/>
        <v>60</v>
      </c>
    </row>
    <row r="40" spans="1:31" ht="21" customHeight="1" x14ac:dyDescent="0.35">
      <c r="A40" s="6">
        <v>39</v>
      </c>
      <c r="B40" s="6" t="s">
        <v>637</v>
      </c>
      <c r="C40" s="6" t="s">
        <v>638</v>
      </c>
      <c r="D40" s="7" t="s">
        <v>639</v>
      </c>
      <c r="E40" s="8" t="s">
        <v>159</v>
      </c>
      <c r="F40" s="8" t="s">
        <v>159</v>
      </c>
      <c r="G40" s="8" t="s">
        <v>159</v>
      </c>
      <c r="H40" s="8" t="s">
        <v>182</v>
      </c>
      <c r="I40" s="8" t="s">
        <v>159</v>
      </c>
      <c r="J40" s="8" t="s">
        <v>160</v>
      </c>
      <c r="K40" s="8" t="s">
        <v>159</v>
      </c>
      <c r="L40" s="8" t="s">
        <v>159</v>
      </c>
      <c r="M40" s="8" t="s">
        <v>159</v>
      </c>
      <c r="N40" s="8" t="s">
        <v>159</v>
      </c>
      <c r="O40" s="8" t="s">
        <v>159</v>
      </c>
      <c r="P40" s="8" t="s">
        <v>159</v>
      </c>
      <c r="Q40" s="8" t="s">
        <v>159</v>
      </c>
      <c r="R40" s="8" t="s">
        <v>159</v>
      </c>
      <c r="S40" s="8" t="s">
        <v>160</v>
      </c>
      <c r="T40" s="8" t="s">
        <v>159</v>
      </c>
      <c r="U40" s="8" t="s">
        <v>160</v>
      </c>
      <c r="V40" s="8" t="s">
        <v>159</v>
      </c>
      <c r="W40" s="8" t="s">
        <v>160</v>
      </c>
      <c r="X40" s="8" t="s">
        <v>159</v>
      </c>
      <c r="Y40" s="8" t="s">
        <v>159</v>
      </c>
      <c r="Z40" s="8" t="s">
        <v>159</v>
      </c>
      <c r="AA40" s="8" t="s">
        <v>159</v>
      </c>
      <c r="AB40" s="8" t="s">
        <v>160</v>
      </c>
      <c r="AC40" s="9">
        <f t="shared" si="0"/>
        <v>5</v>
      </c>
      <c r="AD40" s="9">
        <f t="shared" si="1"/>
        <v>18</v>
      </c>
      <c r="AE40" s="10">
        <f t="shared" si="2"/>
        <v>65</v>
      </c>
    </row>
    <row r="41" spans="1:31" ht="21" customHeight="1" x14ac:dyDescent="0.35">
      <c r="A41" s="11">
        <v>40</v>
      </c>
      <c r="B41" s="11" t="s">
        <v>640</v>
      </c>
      <c r="C41" s="11" t="s">
        <v>641</v>
      </c>
      <c r="D41" s="12" t="s">
        <v>642</v>
      </c>
      <c r="E41" s="15" t="s">
        <v>159</v>
      </c>
      <c r="F41" s="15" t="s">
        <v>159</v>
      </c>
      <c r="G41" s="15" t="s">
        <v>159</v>
      </c>
      <c r="H41" s="15" t="s">
        <v>159</v>
      </c>
      <c r="I41" s="15" t="s">
        <v>159</v>
      </c>
      <c r="J41" s="15" t="s">
        <v>159</v>
      </c>
      <c r="K41" s="15" t="s">
        <v>159</v>
      </c>
      <c r="L41" s="15" t="s">
        <v>160</v>
      </c>
      <c r="M41" s="15" t="s">
        <v>159</v>
      </c>
      <c r="N41" s="15" t="s">
        <v>160</v>
      </c>
      <c r="O41" s="15" t="s">
        <v>159</v>
      </c>
      <c r="P41" s="15" t="s">
        <v>159</v>
      </c>
      <c r="Q41" s="13" t="s">
        <v>159</v>
      </c>
      <c r="R41" s="13" t="s">
        <v>159</v>
      </c>
      <c r="S41" s="13" t="s">
        <v>159</v>
      </c>
      <c r="T41" s="13" t="s">
        <v>159</v>
      </c>
      <c r="U41" s="13" t="s">
        <v>159</v>
      </c>
      <c r="V41" s="13" t="s">
        <v>159</v>
      </c>
      <c r="W41" s="13" t="s">
        <v>160</v>
      </c>
      <c r="X41" s="13" t="s">
        <v>159</v>
      </c>
      <c r="Y41" s="13" t="s">
        <v>159</v>
      </c>
      <c r="Z41" s="13" t="s">
        <v>159</v>
      </c>
      <c r="AA41" s="13" t="s">
        <v>159</v>
      </c>
      <c r="AB41" s="13" t="s">
        <v>160</v>
      </c>
      <c r="AC41" s="9">
        <f t="shared" si="0"/>
        <v>4</v>
      </c>
      <c r="AD41" s="9">
        <f t="shared" si="1"/>
        <v>20</v>
      </c>
      <c r="AE41" s="10">
        <f t="shared" si="2"/>
        <v>80</v>
      </c>
    </row>
    <row r="42" spans="1:31" ht="21" customHeight="1" x14ac:dyDescent="0.35">
      <c r="A42" s="1"/>
      <c r="B42" s="1"/>
      <c r="C42" s="1"/>
      <c r="D42" s="1"/>
      <c r="E42" s="8" t="s">
        <v>159</v>
      </c>
      <c r="F42" s="8" t="s">
        <v>159</v>
      </c>
      <c r="G42" s="8" t="s">
        <v>159</v>
      </c>
      <c r="H42" s="8" t="s">
        <v>160</v>
      </c>
      <c r="I42" s="8" t="s">
        <v>159</v>
      </c>
      <c r="J42" s="8" t="s">
        <v>160</v>
      </c>
      <c r="K42" s="8" t="s">
        <v>159</v>
      </c>
      <c r="L42" s="8" t="s">
        <v>160</v>
      </c>
      <c r="M42" s="8" t="s">
        <v>159</v>
      </c>
      <c r="N42" s="8" t="s">
        <v>159</v>
      </c>
      <c r="O42" s="8" t="s">
        <v>182</v>
      </c>
      <c r="P42" s="8" t="s">
        <v>159</v>
      </c>
      <c r="Q42" s="8" t="s">
        <v>159</v>
      </c>
      <c r="R42" s="8" t="s">
        <v>159</v>
      </c>
      <c r="S42" s="8" t="s">
        <v>160</v>
      </c>
      <c r="T42" s="8" t="s">
        <v>159</v>
      </c>
      <c r="U42" s="8" t="s">
        <v>160</v>
      </c>
      <c r="V42" s="8" t="s">
        <v>160</v>
      </c>
      <c r="W42" s="8" t="s">
        <v>159</v>
      </c>
      <c r="X42" s="8" t="s">
        <v>159</v>
      </c>
      <c r="Y42" s="8" t="s">
        <v>159</v>
      </c>
      <c r="Z42" s="8" t="s">
        <v>160</v>
      </c>
      <c r="AA42" s="8" t="s">
        <v>159</v>
      </c>
      <c r="AB42" s="8" t="s">
        <v>159</v>
      </c>
      <c r="AC42" s="16" t="s">
        <v>159</v>
      </c>
      <c r="AD42" s="16" t="s">
        <v>159</v>
      </c>
      <c r="AE42" s="16" t="s">
        <v>160</v>
      </c>
    </row>
  </sheetData>
  <autoFilter ref="A1:AE42" xr:uid="{00000000-0009-0000-0000-00000C000000}"/>
  <conditionalFormatting sqref="B1:AE1">
    <cfRule type="cellIs" dxfId="31" priority="2" operator="equal">
      <formula>"Present"</formula>
    </cfRule>
    <cfRule type="cellIs" dxfId="30" priority="3" operator="equal">
      <formula>"Absent"</formula>
    </cfRule>
  </conditionalFormatting>
  <conditionalFormatting sqref="E2:H37 I37:I39">
    <cfRule type="cellIs" dxfId="29" priority="24" operator="equal">
      <formula>"Present"</formula>
    </cfRule>
    <cfRule type="cellIs" dxfId="28" priority="25" operator="equal">
      <formula>"Absent"</formula>
    </cfRule>
  </conditionalFormatting>
  <conditionalFormatting sqref="E2:AB42">
    <cfRule type="cellIs" dxfId="27" priority="26" operator="equal">
      <formula>"Present"</formula>
    </cfRule>
    <cfRule type="cellIs" dxfId="26" priority="26" operator="equal">
      <formula>"Absent"</formula>
    </cfRule>
    <cfRule type="cellIs" dxfId="25" priority="27" operator="equal">
      <formula>"Late"</formula>
    </cfRule>
  </conditionalFormatting>
  <conditionalFormatting sqref="I3:J36 K3:M39 J37 M40">
    <cfRule type="cellIs" dxfId="24" priority="8" operator="equal">
      <formula>"Present"</formula>
    </cfRule>
    <cfRule type="cellIs" dxfId="23" priority="9" operator="equal">
      <formula>"Absent"</formula>
    </cfRule>
  </conditionalFormatting>
  <conditionalFormatting sqref="I2:V2 W2:AB4 R3:V4 R5:AB41">
    <cfRule type="cellIs" dxfId="22" priority="14" operator="equal">
      <formula>"Present"</formula>
    </cfRule>
    <cfRule type="cellIs" dxfId="21" priority="15" operator="equal">
      <formula>"Absent"</formula>
    </cfRule>
  </conditionalFormatting>
  <conditionalFormatting sqref="N3:Q40 Q41">
    <cfRule type="cellIs" dxfId="20" priority="6" operator="equal">
      <formula>"Present"</formula>
    </cfRule>
    <cfRule type="cellIs" dxfId="19" priority="7" operator="equal">
      <formula>"Absent"</formula>
    </cfRule>
  </conditionalFormatting>
  <dataValidations count="3">
    <dataValidation type="list" allowBlank="1" showInputMessage="1" showErrorMessage="1" sqref="E1:AB1" xr:uid="{00000000-0002-0000-0C00-000000000000}">
      <formula1>$A$1:$AD$1</formula1>
      <formula2>0</formula2>
    </dataValidation>
    <dataValidation type="list" allowBlank="1" showInputMessage="1" showErrorMessage="1" sqref="E2:AB37 I38:I39 K38:AB39 M40:AB40 Q41:AB41" xr:uid="{00000000-0002-0000-0C00-000001000000}">
      <formula1>"Present,Absent,Excused absence"</formula1>
      <formula2>0</formula2>
    </dataValidation>
    <dataValidation type="list" allowBlank="1" showInputMessage="1" showErrorMessage="1" sqref="AC1:AE1" xr:uid="{00000000-0002-0000-0C00-000002000000}">
      <formula1>$A$1:$AE$1</formula1>
      <formula2>0</formula2>
    </dataValidation>
  </dataValidations>
  <pageMargins left="0.25" right="0.25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AD47"/>
    <pageSetUpPr fitToPage="1"/>
  </sheetPr>
  <dimension ref="A1:AE34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B50" sqref="AB50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8" width="13" customWidth="1"/>
    <col min="29" max="31" width="14" customWidth="1"/>
    <col min="32" max="32" width="10.54296875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5">
        <v>45931</v>
      </c>
      <c r="F1" s="5">
        <v>45936</v>
      </c>
      <c r="G1" s="5">
        <v>45937</v>
      </c>
      <c r="H1" s="5">
        <v>45938</v>
      </c>
      <c r="I1" s="5">
        <v>45943</v>
      </c>
      <c r="J1" s="5">
        <v>45945</v>
      </c>
      <c r="K1" s="5">
        <v>45950</v>
      </c>
      <c r="L1" s="5">
        <v>45952</v>
      </c>
      <c r="M1" s="5">
        <v>45957</v>
      </c>
      <c r="N1" s="5">
        <v>45959</v>
      </c>
      <c r="O1" s="5">
        <v>45964</v>
      </c>
      <c r="P1" s="5">
        <v>45966</v>
      </c>
      <c r="Q1" s="5">
        <v>45971</v>
      </c>
      <c r="R1" s="5">
        <v>45973</v>
      </c>
      <c r="S1" s="5">
        <v>45992</v>
      </c>
      <c r="T1" s="5">
        <v>45994</v>
      </c>
      <c r="U1" s="5">
        <v>45999</v>
      </c>
      <c r="V1" s="5">
        <v>46001</v>
      </c>
      <c r="W1" s="5">
        <v>46006</v>
      </c>
      <c r="X1" s="5">
        <v>46008</v>
      </c>
      <c r="Y1" s="5">
        <v>46013</v>
      </c>
      <c r="Z1" s="5">
        <v>46015</v>
      </c>
      <c r="AA1" s="5">
        <v>46020</v>
      </c>
      <c r="AB1" s="5">
        <v>45961</v>
      </c>
      <c r="AC1" s="4" t="s">
        <v>153</v>
      </c>
      <c r="AD1" s="4" t="s">
        <v>154</v>
      </c>
      <c r="AE1" s="4" t="s">
        <v>155</v>
      </c>
    </row>
    <row r="2" spans="1:31" ht="21" customHeight="1" x14ac:dyDescent="0.35">
      <c r="A2" s="6">
        <v>1</v>
      </c>
      <c r="B2" s="6" t="s">
        <v>643</v>
      </c>
      <c r="C2" s="6" t="s">
        <v>644</v>
      </c>
      <c r="D2" s="7" t="s">
        <v>645</v>
      </c>
      <c r="E2" s="8" t="s">
        <v>159</v>
      </c>
      <c r="F2" s="8" t="s">
        <v>159</v>
      </c>
      <c r="G2" s="8" t="s">
        <v>159</v>
      </c>
      <c r="H2" s="8" t="s">
        <v>182</v>
      </c>
      <c r="I2" s="8" t="s">
        <v>159</v>
      </c>
      <c r="J2" s="8" t="s">
        <v>160</v>
      </c>
      <c r="K2" s="8" t="s">
        <v>159</v>
      </c>
      <c r="L2" s="8" t="s">
        <v>159</v>
      </c>
      <c r="M2" s="8" t="s">
        <v>159</v>
      </c>
      <c r="N2" s="8" t="s">
        <v>160</v>
      </c>
      <c r="O2" s="8" t="s">
        <v>159</v>
      </c>
      <c r="P2" s="8" t="s">
        <v>160</v>
      </c>
      <c r="Q2" s="8" t="s">
        <v>159</v>
      </c>
      <c r="R2" s="8" t="s">
        <v>160</v>
      </c>
      <c r="S2" s="8" t="s">
        <v>160</v>
      </c>
      <c r="T2" s="8" t="s">
        <v>159</v>
      </c>
      <c r="U2" s="8" t="s">
        <v>160</v>
      </c>
      <c r="V2" s="8" t="s">
        <v>160</v>
      </c>
      <c r="W2" s="8" t="s">
        <v>160</v>
      </c>
      <c r="X2" s="8" t="s">
        <v>159</v>
      </c>
      <c r="Y2" s="8" t="s">
        <v>160</v>
      </c>
      <c r="Z2" s="8" t="s">
        <v>159</v>
      </c>
      <c r="AA2" s="8" t="s">
        <v>159</v>
      </c>
      <c r="AB2" s="8" t="s">
        <v>159</v>
      </c>
      <c r="AC2" s="9">
        <f t="shared" ref="AC2:AC34" si="0">COUNTIF(E2:AB2,"Absent")</f>
        <v>9</v>
      </c>
      <c r="AD2" s="9">
        <f t="shared" ref="AD2:AD34" si="1">COUNTIF(E2:AB2,"Present")</f>
        <v>14</v>
      </c>
      <c r="AE2" s="10">
        <f t="shared" ref="AE2:AE34" si="2">(AD2*5)+(AC2*-5)</f>
        <v>25</v>
      </c>
    </row>
    <row r="3" spans="1:31" ht="21" customHeight="1" x14ac:dyDescent="0.35">
      <c r="A3" s="11">
        <v>2</v>
      </c>
      <c r="B3" s="11" t="s">
        <v>646</v>
      </c>
      <c r="C3" s="11" t="s">
        <v>647</v>
      </c>
      <c r="D3" s="12" t="s">
        <v>648</v>
      </c>
      <c r="E3" s="13" t="s">
        <v>159</v>
      </c>
      <c r="F3" s="13" t="s">
        <v>182</v>
      </c>
      <c r="G3" s="13" t="s">
        <v>159</v>
      </c>
      <c r="H3" s="13" t="s">
        <v>182</v>
      </c>
      <c r="I3" s="13" t="s">
        <v>159</v>
      </c>
      <c r="J3" s="13" t="s">
        <v>159</v>
      </c>
      <c r="K3" s="13" t="s">
        <v>159</v>
      </c>
      <c r="L3" s="13" t="s">
        <v>159</v>
      </c>
      <c r="M3" s="13" t="s">
        <v>159</v>
      </c>
      <c r="N3" s="13" t="s">
        <v>160</v>
      </c>
      <c r="O3" s="13" t="s">
        <v>160</v>
      </c>
      <c r="P3" s="13" t="s">
        <v>159</v>
      </c>
      <c r="Q3" s="13" t="s">
        <v>159</v>
      </c>
      <c r="R3" s="13" t="s">
        <v>159</v>
      </c>
      <c r="S3" s="13" t="s">
        <v>159</v>
      </c>
      <c r="T3" s="13" t="s">
        <v>160</v>
      </c>
      <c r="U3" s="13" t="s">
        <v>159</v>
      </c>
      <c r="V3" s="13" t="s">
        <v>159</v>
      </c>
      <c r="W3" s="13" t="s">
        <v>159</v>
      </c>
      <c r="X3" s="13" t="s">
        <v>160</v>
      </c>
      <c r="Y3" s="13" t="s">
        <v>159</v>
      </c>
      <c r="Z3" s="13" t="s">
        <v>159</v>
      </c>
      <c r="AA3" s="13" t="s">
        <v>160</v>
      </c>
      <c r="AB3" s="13" t="s">
        <v>160</v>
      </c>
      <c r="AC3" s="9">
        <f t="shared" si="0"/>
        <v>6</v>
      </c>
      <c r="AD3" s="9">
        <f t="shared" si="1"/>
        <v>16</v>
      </c>
      <c r="AE3" s="10">
        <f t="shared" si="2"/>
        <v>50</v>
      </c>
    </row>
    <row r="4" spans="1:31" ht="21" customHeight="1" x14ac:dyDescent="0.35">
      <c r="A4" s="6">
        <v>3</v>
      </c>
      <c r="B4" s="6" t="s">
        <v>649</v>
      </c>
      <c r="C4" s="6" t="s">
        <v>650</v>
      </c>
      <c r="D4" s="7" t="s">
        <v>651</v>
      </c>
      <c r="E4" s="8" t="s">
        <v>160</v>
      </c>
      <c r="F4" s="8" t="s">
        <v>160</v>
      </c>
      <c r="G4" s="8" t="s">
        <v>159</v>
      </c>
      <c r="H4" s="8" t="s">
        <v>159</v>
      </c>
      <c r="I4" s="8" t="s">
        <v>159</v>
      </c>
      <c r="J4" s="8" t="s">
        <v>160</v>
      </c>
      <c r="K4" s="8" t="s">
        <v>160</v>
      </c>
      <c r="L4" s="8" t="s">
        <v>160</v>
      </c>
      <c r="M4" s="8" t="s">
        <v>160</v>
      </c>
      <c r="N4" s="8" t="s">
        <v>160</v>
      </c>
      <c r="O4" s="8" t="s">
        <v>160</v>
      </c>
      <c r="P4" s="8" t="s">
        <v>160</v>
      </c>
      <c r="Q4" s="8" t="s">
        <v>160</v>
      </c>
      <c r="R4" s="8" t="s">
        <v>160</v>
      </c>
      <c r="S4" s="8" t="s">
        <v>160</v>
      </c>
      <c r="T4" s="8" t="s">
        <v>160</v>
      </c>
      <c r="U4" s="8" t="s">
        <v>159</v>
      </c>
      <c r="V4" s="8" t="s">
        <v>160</v>
      </c>
      <c r="W4" s="8" t="s">
        <v>160</v>
      </c>
      <c r="X4" s="8" t="s">
        <v>159</v>
      </c>
      <c r="Y4" s="8" t="s">
        <v>159</v>
      </c>
      <c r="Z4" s="8" t="s">
        <v>159</v>
      </c>
      <c r="AA4" s="8" t="s">
        <v>160</v>
      </c>
      <c r="AB4" s="8" t="s">
        <v>159</v>
      </c>
      <c r="AC4" s="9">
        <f t="shared" si="0"/>
        <v>16</v>
      </c>
      <c r="AD4" s="9">
        <f t="shared" si="1"/>
        <v>8</v>
      </c>
      <c r="AE4" s="10">
        <f t="shared" si="2"/>
        <v>-40</v>
      </c>
    </row>
    <row r="5" spans="1:31" ht="21" customHeight="1" x14ac:dyDescent="0.35">
      <c r="A5" s="11">
        <v>4</v>
      </c>
      <c r="B5" s="14" t="s">
        <v>652</v>
      </c>
      <c r="C5" s="14" t="s">
        <v>653</v>
      </c>
      <c r="D5" s="20" t="s">
        <v>654</v>
      </c>
      <c r="E5" s="13" t="s">
        <v>160</v>
      </c>
      <c r="F5" s="13" t="s">
        <v>160</v>
      </c>
      <c r="G5" s="13" t="s">
        <v>159</v>
      </c>
      <c r="H5" s="13" t="s">
        <v>159</v>
      </c>
      <c r="I5" s="13" t="s">
        <v>160</v>
      </c>
      <c r="J5" s="13" t="s">
        <v>160</v>
      </c>
      <c r="K5" s="13" t="s">
        <v>160</v>
      </c>
      <c r="L5" s="13" t="s">
        <v>159</v>
      </c>
      <c r="M5" s="13" t="s">
        <v>160</v>
      </c>
      <c r="N5" s="13" t="s">
        <v>160</v>
      </c>
      <c r="O5" s="13" t="s">
        <v>160</v>
      </c>
      <c r="P5" s="13" t="s">
        <v>160</v>
      </c>
      <c r="Q5" s="13" t="s">
        <v>160</v>
      </c>
      <c r="R5" s="13" t="s">
        <v>159</v>
      </c>
      <c r="S5" s="13" t="s">
        <v>160</v>
      </c>
      <c r="T5" s="13" t="s">
        <v>160</v>
      </c>
      <c r="U5" s="13" t="s">
        <v>160</v>
      </c>
      <c r="V5" s="13" t="s">
        <v>160</v>
      </c>
      <c r="W5" s="13" t="s">
        <v>160</v>
      </c>
      <c r="X5" s="13" t="s">
        <v>159</v>
      </c>
      <c r="Y5" s="13" t="s">
        <v>159</v>
      </c>
      <c r="Z5" s="13" t="s">
        <v>159</v>
      </c>
      <c r="AA5" s="13" t="s">
        <v>159</v>
      </c>
      <c r="AB5" s="13" t="s">
        <v>159</v>
      </c>
      <c r="AC5" s="9">
        <f t="shared" si="0"/>
        <v>15</v>
      </c>
      <c r="AD5" s="9">
        <f t="shared" si="1"/>
        <v>9</v>
      </c>
      <c r="AE5" s="10">
        <f t="shared" si="2"/>
        <v>-30</v>
      </c>
    </row>
    <row r="6" spans="1:31" ht="21" customHeight="1" x14ac:dyDescent="0.35">
      <c r="A6" s="6">
        <v>5</v>
      </c>
      <c r="B6" s="6" t="s">
        <v>655</v>
      </c>
      <c r="C6" s="6" t="s">
        <v>656</v>
      </c>
      <c r="D6" s="7" t="s">
        <v>657</v>
      </c>
      <c r="E6" s="8" t="s">
        <v>182</v>
      </c>
      <c r="F6" s="8" t="s">
        <v>159</v>
      </c>
      <c r="G6" s="8" t="s">
        <v>160</v>
      </c>
      <c r="H6" s="8" t="s">
        <v>159</v>
      </c>
      <c r="I6" s="8" t="s">
        <v>160</v>
      </c>
      <c r="J6" s="8" t="s">
        <v>159</v>
      </c>
      <c r="K6" s="8" t="s">
        <v>159</v>
      </c>
      <c r="L6" s="8" t="s">
        <v>160</v>
      </c>
      <c r="M6" s="8" t="s">
        <v>159</v>
      </c>
      <c r="N6" s="8" t="s">
        <v>159</v>
      </c>
      <c r="O6" s="8" t="s">
        <v>160</v>
      </c>
      <c r="P6" s="8" t="s">
        <v>160</v>
      </c>
      <c r="Q6" s="8" t="s">
        <v>159</v>
      </c>
      <c r="R6" s="8" t="s">
        <v>160</v>
      </c>
      <c r="S6" s="8" t="s">
        <v>159</v>
      </c>
      <c r="T6" s="8" t="s">
        <v>159</v>
      </c>
      <c r="U6" s="8" t="s">
        <v>159</v>
      </c>
      <c r="V6" s="8" t="s">
        <v>160</v>
      </c>
      <c r="W6" s="8" t="s">
        <v>159</v>
      </c>
      <c r="X6" s="8" t="s">
        <v>159</v>
      </c>
      <c r="Y6" s="8" t="s">
        <v>159</v>
      </c>
      <c r="Z6" s="8" t="s">
        <v>182</v>
      </c>
      <c r="AA6" s="8" t="s">
        <v>159</v>
      </c>
      <c r="AB6" s="8" t="s">
        <v>159</v>
      </c>
      <c r="AC6" s="9">
        <f t="shared" si="0"/>
        <v>7</v>
      </c>
      <c r="AD6" s="9">
        <f t="shared" si="1"/>
        <v>15</v>
      </c>
      <c r="AE6" s="10">
        <f t="shared" si="2"/>
        <v>40</v>
      </c>
    </row>
    <row r="7" spans="1:31" ht="21" customHeight="1" x14ac:dyDescent="0.35">
      <c r="A7" s="11">
        <v>6</v>
      </c>
      <c r="B7" s="11" t="s">
        <v>658</v>
      </c>
      <c r="C7" s="11" t="s">
        <v>659</v>
      </c>
      <c r="D7" s="12" t="s">
        <v>660</v>
      </c>
      <c r="E7" s="13" t="s">
        <v>159</v>
      </c>
      <c r="F7" s="13" t="s">
        <v>159</v>
      </c>
      <c r="G7" s="13" t="s">
        <v>160</v>
      </c>
      <c r="H7" s="13" t="s">
        <v>182</v>
      </c>
      <c r="I7" s="13" t="s">
        <v>159</v>
      </c>
      <c r="J7" s="13" t="s">
        <v>182</v>
      </c>
      <c r="K7" s="13" t="s">
        <v>159</v>
      </c>
      <c r="L7" s="13" t="s">
        <v>159</v>
      </c>
      <c r="M7" s="13" t="s">
        <v>159</v>
      </c>
      <c r="N7" s="13" t="s">
        <v>160</v>
      </c>
      <c r="O7" s="13" t="s">
        <v>159</v>
      </c>
      <c r="P7" s="13" t="s">
        <v>160</v>
      </c>
      <c r="Q7" s="13" t="s">
        <v>159</v>
      </c>
      <c r="R7" s="13" t="s">
        <v>159</v>
      </c>
      <c r="S7" s="13" t="s">
        <v>160</v>
      </c>
      <c r="T7" s="13" t="s">
        <v>159</v>
      </c>
      <c r="U7" s="13" t="s">
        <v>160</v>
      </c>
      <c r="V7" s="13" t="s">
        <v>160</v>
      </c>
      <c r="W7" s="13" t="s">
        <v>160</v>
      </c>
      <c r="X7" s="13" t="s">
        <v>159</v>
      </c>
      <c r="Y7" s="13" t="s">
        <v>159</v>
      </c>
      <c r="Z7" s="13" t="s">
        <v>159</v>
      </c>
      <c r="AA7" s="13" t="s">
        <v>159</v>
      </c>
      <c r="AB7" s="13" t="s">
        <v>159</v>
      </c>
      <c r="AC7" s="9">
        <f t="shared" si="0"/>
        <v>7</v>
      </c>
      <c r="AD7" s="9">
        <f t="shared" si="1"/>
        <v>15</v>
      </c>
      <c r="AE7" s="10">
        <f t="shared" si="2"/>
        <v>40</v>
      </c>
    </row>
    <row r="8" spans="1:31" ht="21" customHeight="1" x14ac:dyDescent="0.35">
      <c r="A8" s="6">
        <v>7</v>
      </c>
      <c r="B8" s="6" t="s">
        <v>661</v>
      </c>
      <c r="C8" s="6" t="s">
        <v>662</v>
      </c>
      <c r="D8" s="7" t="s">
        <v>663</v>
      </c>
      <c r="E8" s="8" t="s">
        <v>159</v>
      </c>
      <c r="F8" s="8" t="s">
        <v>159</v>
      </c>
      <c r="G8" s="8" t="s">
        <v>159</v>
      </c>
      <c r="H8" s="8" t="s">
        <v>159</v>
      </c>
      <c r="I8" s="8" t="s">
        <v>159</v>
      </c>
      <c r="J8" s="8" t="s">
        <v>159</v>
      </c>
      <c r="K8" s="8" t="s">
        <v>159</v>
      </c>
      <c r="L8" s="8" t="s">
        <v>159</v>
      </c>
      <c r="M8" s="8" t="s">
        <v>159</v>
      </c>
      <c r="N8" s="8" t="s">
        <v>159</v>
      </c>
      <c r="O8" s="8" t="s">
        <v>159</v>
      </c>
      <c r="P8" s="8" t="s">
        <v>160</v>
      </c>
      <c r="Q8" s="8" t="s">
        <v>159</v>
      </c>
      <c r="R8" s="8" t="s">
        <v>159</v>
      </c>
      <c r="S8" s="8" t="s">
        <v>159</v>
      </c>
      <c r="T8" s="8" t="s">
        <v>159</v>
      </c>
      <c r="U8" s="8" t="s">
        <v>160</v>
      </c>
      <c r="V8" s="8" t="s">
        <v>159</v>
      </c>
      <c r="W8" s="8" t="s">
        <v>160</v>
      </c>
      <c r="X8" s="8" t="s">
        <v>159</v>
      </c>
      <c r="Y8" s="8" t="s">
        <v>160</v>
      </c>
      <c r="Z8" s="8" t="s">
        <v>160</v>
      </c>
      <c r="AA8" s="8" t="s">
        <v>159</v>
      </c>
      <c r="AB8" s="8" t="s">
        <v>159</v>
      </c>
      <c r="AC8" s="9">
        <f t="shared" si="0"/>
        <v>5</v>
      </c>
      <c r="AD8" s="9">
        <f t="shared" si="1"/>
        <v>19</v>
      </c>
      <c r="AE8" s="10">
        <f t="shared" si="2"/>
        <v>70</v>
      </c>
    </row>
    <row r="9" spans="1:31" ht="21" customHeight="1" x14ac:dyDescent="0.35">
      <c r="A9" s="11">
        <v>8</v>
      </c>
      <c r="B9" s="11" t="s">
        <v>664</v>
      </c>
      <c r="C9" s="11" t="s">
        <v>665</v>
      </c>
      <c r="D9" s="12" t="s">
        <v>666</v>
      </c>
      <c r="E9" s="13" t="s">
        <v>159</v>
      </c>
      <c r="F9" s="13" t="s">
        <v>159</v>
      </c>
      <c r="G9" s="13" t="s">
        <v>159</v>
      </c>
      <c r="H9" s="13" t="s">
        <v>182</v>
      </c>
      <c r="I9" s="13" t="s">
        <v>159</v>
      </c>
      <c r="J9" s="13" t="s">
        <v>159</v>
      </c>
      <c r="K9" s="13" t="s">
        <v>159</v>
      </c>
      <c r="L9" s="13" t="s">
        <v>159</v>
      </c>
      <c r="M9" s="13" t="s">
        <v>159</v>
      </c>
      <c r="N9" s="13" t="s">
        <v>159</v>
      </c>
      <c r="O9" s="13" t="s">
        <v>159</v>
      </c>
      <c r="P9" s="13" t="s">
        <v>160</v>
      </c>
      <c r="Q9" s="13" t="s">
        <v>160</v>
      </c>
      <c r="R9" s="13" t="s">
        <v>159</v>
      </c>
      <c r="S9" s="13" t="s">
        <v>159</v>
      </c>
      <c r="T9" s="13" t="s">
        <v>159</v>
      </c>
      <c r="U9" s="13" t="s">
        <v>159</v>
      </c>
      <c r="V9" s="13" t="s">
        <v>160</v>
      </c>
      <c r="W9" s="13" t="s">
        <v>160</v>
      </c>
      <c r="X9" s="13" t="s">
        <v>160</v>
      </c>
      <c r="Y9" s="13" t="s">
        <v>159</v>
      </c>
      <c r="Z9" s="13" t="s">
        <v>160</v>
      </c>
      <c r="AA9" s="13" t="s">
        <v>159</v>
      </c>
      <c r="AB9" s="13" t="s">
        <v>159</v>
      </c>
      <c r="AC9" s="9">
        <f t="shared" si="0"/>
        <v>6</v>
      </c>
      <c r="AD9" s="9">
        <f t="shared" si="1"/>
        <v>17</v>
      </c>
      <c r="AE9" s="10">
        <f t="shared" si="2"/>
        <v>55</v>
      </c>
    </row>
    <row r="10" spans="1:31" ht="21" customHeight="1" x14ac:dyDescent="0.35">
      <c r="A10" s="6">
        <v>9</v>
      </c>
      <c r="B10" s="6" t="s">
        <v>667</v>
      </c>
      <c r="C10" s="6" t="s">
        <v>668</v>
      </c>
      <c r="D10" s="7" t="s">
        <v>669</v>
      </c>
      <c r="E10" s="8" t="s">
        <v>159</v>
      </c>
      <c r="F10" s="8" t="s">
        <v>159</v>
      </c>
      <c r="G10" s="8" t="s">
        <v>159</v>
      </c>
      <c r="H10" s="8" t="s">
        <v>182</v>
      </c>
      <c r="I10" s="8" t="s">
        <v>159</v>
      </c>
      <c r="J10" s="8" t="s">
        <v>182</v>
      </c>
      <c r="K10" s="8" t="s">
        <v>159</v>
      </c>
      <c r="L10" s="8" t="s">
        <v>160</v>
      </c>
      <c r="M10" s="8" t="s">
        <v>159</v>
      </c>
      <c r="N10" s="8" t="s">
        <v>159</v>
      </c>
      <c r="O10" s="8" t="s">
        <v>160</v>
      </c>
      <c r="P10" s="8" t="s">
        <v>160</v>
      </c>
      <c r="Q10" s="8" t="s">
        <v>159</v>
      </c>
      <c r="R10" s="8" t="s">
        <v>160</v>
      </c>
      <c r="S10" s="8" t="s">
        <v>160</v>
      </c>
      <c r="T10" s="8" t="s">
        <v>160</v>
      </c>
      <c r="U10" s="8" t="s">
        <v>160</v>
      </c>
      <c r="V10" s="8" t="s">
        <v>159</v>
      </c>
      <c r="W10" s="8" t="s">
        <v>160</v>
      </c>
      <c r="X10" s="8" t="s">
        <v>159</v>
      </c>
      <c r="Y10" s="8" t="s">
        <v>160</v>
      </c>
      <c r="Z10" s="8" t="s">
        <v>159</v>
      </c>
      <c r="AA10" s="8" t="s">
        <v>160</v>
      </c>
      <c r="AB10" s="8" t="s">
        <v>159</v>
      </c>
      <c r="AC10" s="9">
        <f t="shared" si="0"/>
        <v>10</v>
      </c>
      <c r="AD10" s="9">
        <f t="shared" si="1"/>
        <v>12</v>
      </c>
      <c r="AE10" s="10">
        <f t="shared" si="2"/>
        <v>10</v>
      </c>
    </row>
    <row r="11" spans="1:31" ht="21" customHeight="1" x14ac:dyDescent="0.35">
      <c r="A11" s="11">
        <v>10</v>
      </c>
      <c r="B11" s="14" t="s">
        <v>670</v>
      </c>
      <c r="C11" s="14" t="s">
        <v>671</v>
      </c>
      <c r="D11" s="20" t="s">
        <v>672</v>
      </c>
      <c r="E11" s="13" t="s">
        <v>160</v>
      </c>
      <c r="F11" s="13" t="s">
        <v>159</v>
      </c>
      <c r="G11" s="13" t="s">
        <v>159</v>
      </c>
      <c r="H11" s="13" t="s">
        <v>160</v>
      </c>
      <c r="I11" s="13" t="s">
        <v>160</v>
      </c>
      <c r="J11" s="13" t="s">
        <v>160</v>
      </c>
      <c r="K11" s="13" t="s">
        <v>159</v>
      </c>
      <c r="L11" s="13" t="s">
        <v>160</v>
      </c>
      <c r="M11" s="13" t="s">
        <v>159</v>
      </c>
      <c r="N11" s="13" t="s">
        <v>160</v>
      </c>
      <c r="O11" s="13" t="s">
        <v>159</v>
      </c>
      <c r="P11" s="13" t="s">
        <v>159</v>
      </c>
      <c r="Q11" s="13" t="s">
        <v>160</v>
      </c>
      <c r="R11" s="13" t="s">
        <v>160</v>
      </c>
      <c r="S11" s="13" t="s">
        <v>160</v>
      </c>
      <c r="T11" s="13" t="s">
        <v>160</v>
      </c>
      <c r="U11" s="13" t="s">
        <v>160</v>
      </c>
      <c r="V11" s="13" t="s">
        <v>160</v>
      </c>
      <c r="W11" s="13" t="s">
        <v>160</v>
      </c>
      <c r="X11" s="13" t="s">
        <v>159</v>
      </c>
      <c r="Y11" s="13" t="s">
        <v>160</v>
      </c>
      <c r="Z11" s="13" t="s">
        <v>160</v>
      </c>
      <c r="AA11" s="13" t="s">
        <v>159</v>
      </c>
      <c r="AB11" s="13" t="s">
        <v>160</v>
      </c>
      <c r="AC11" s="9">
        <f t="shared" si="0"/>
        <v>16</v>
      </c>
      <c r="AD11" s="9">
        <f t="shared" si="1"/>
        <v>8</v>
      </c>
      <c r="AE11" s="10">
        <f t="shared" si="2"/>
        <v>-40</v>
      </c>
    </row>
    <row r="12" spans="1:31" ht="21" customHeight="1" x14ac:dyDescent="0.35">
      <c r="A12" s="6">
        <v>11</v>
      </c>
      <c r="B12" s="6" t="s">
        <v>673</v>
      </c>
      <c r="C12" s="6" t="s">
        <v>674</v>
      </c>
      <c r="D12" s="7" t="s">
        <v>675</v>
      </c>
      <c r="E12" s="8" t="s">
        <v>159</v>
      </c>
      <c r="F12" s="8" t="s">
        <v>159</v>
      </c>
      <c r="G12" s="8" t="s">
        <v>159</v>
      </c>
      <c r="H12" s="8" t="s">
        <v>160</v>
      </c>
      <c r="I12" s="8" t="s">
        <v>182</v>
      </c>
      <c r="J12" s="8" t="s">
        <v>159</v>
      </c>
      <c r="K12" s="8" t="s">
        <v>159</v>
      </c>
      <c r="L12" s="8" t="s">
        <v>159</v>
      </c>
      <c r="M12" s="8" t="s">
        <v>159</v>
      </c>
      <c r="N12" s="8" t="s">
        <v>159</v>
      </c>
      <c r="O12" s="8" t="s">
        <v>160</v>
      </c>
      <c r="P12" s="8" t="s">
        <v>159</v>
      </c>
      <c r="Q12" s="8" t="s">
        <v>159</v>
      </c>
      <c r="R12" s="8" t="s">
        <v>159</v>
      </c>
      <c r="S12" s="8" t="s">
        <v>160</v>
      </c>
      <c r="T12" s="8" t="s">
        <v>159</v>
      </c>
      <c r="U12" s="8" t="s">
        <v>160</v>
      </c>
      <c r="V12" s="8" t="s">
        <v>160</v>
      </c>
      <c r="W12" s="8" t="s">
        <v>160</v>
      </c>
      <c r="X12" s="8" t="s">
        <v>182</v>
      </c>
      <c r="Y12" s="8" t="s">
        <v>159</v>
      </c>
      <c r="Z12" s="8" t="s">
        <v>160</v>
      </c>
      <c r="AA12" s="8" t="s">
        <v>159</v>
      </c>
      <c r="AB12" s="8" t="s">
        <v>159</v>
      </c>
      <c r="AC12" s="9">
        <f t="shared" si="0"/>
        <v>7</v>
      </c>
      <c r="AD12" s="9">
        <f t="shared" si="1"/>
        <v>15</v>
      </c>
      <c r="AE12" s="10">
        <f t="shared" si="2"/>
        <v>40</v>
      </c>
    </row>
    <row r="13" spans="1:31" ht="21" customHeight="1" x14ac:dyDescent="0.35">
      <c r="A13" s="11">
        <v>12</v>
      </c>
      <c r="B13" s="11" t="s">
        <v>676</v>
      </c>
      <c r="C13" s="11" t="s">
        <v>677</v>
      </c>
      <c r="D13" s="12" t="s">
        <v>678</v>
      </c>
      <c r="E13" s="13" t="s">
        <v>159</v>
      </c>
      <c r="F13" s="13" t="s">
        <v>159</v>
      </c>
      <c r="G13" s="13" t="s">
        <v>159</v>
      </c>
      <c r="H13" s="13" t="s">
        <v>159</v>
      </c>
      <c r="I13" s="13" t="s">
        <v>159</v>
      </c>
      <c r="J13" s="13" t="s">
        <v>182</v>
      </c>
      <c r="K13" s="13" t="s">
        <v>159</v>
      </c>
      <c r="L13" s="13" t="s">
        <v>159</v>
      </c>
      <c r="M13" s="13" t="s">
        <v>159</v>
      </c>
      <c r="N13" s="13" t="s">
        <v>159</v>
      </c>
      <c r="O13" s="13" t="s">
        <v>159</v>
      </c>
      <c r="P13" s="13" t="s">
        <v>159</v>
      </c>
      <c r="Q13" s="13" t="s">
        <v>159</v>
      </c>
      <c r="R13" s="13" t="s">
        <v>159</v>
      </c>
      <c r="S13" s="13" t="s">
        <v>160</v>
      </c>
      <c r="T13" s="13" t="s">
        <v>159</v>
      </c>
      <c r="U13" s="13" t="s">
        <v>159</v>
      </c>
      <c r="V13" s="13" t="s">
        <v>159</v>
      </c>
      <c r="W13" s="13" t="s">
        <v>159</v>
      </c>
      <c r="X13" s="13" t="s">
        <v>159</v>
      </c>
      <c r="Y13" s="13" t="s">
        <v>160</v>
      </c>
      <c r="Z13" s="13" t="s">
        <v>159</v>
      </c>
      <c r="AA13" s="13" t="s">
        <v>159</v>
      </c>
      <c r="AB13" s="13" t="s">
        <v>160</v>
      </c>
      <c r="AC13" s="9">
        <f t="shared" si="0"/>
        <v>3</v>
      </c>
      <c r="AD13" s="9">
        <f t="shared" si="1"/>
        <v>20</v>
      </c>
      <c r="AE13" s="10">
        <f t="shared" si="2"/>
        <v>85</v>
      </c>
    </row>
    <row r="14" spans="1:31" ht="21" customHeight="1" x14ac:dyDescent="0.35">
      <c r="A14" s="6">
        <v>13</v>
      </c>
      <c r="B14" s="6" t="s">
        <v>679</v>
      </c>
      <c r="C14" s="6" t="s">
        <v>680</v>
      </c>
      <c r="D14" s="7" t="s">
        <v>681</v>
      </c>
      <c r="E14" s="8" t="s">
        <v>159</v>
      </c>
      <c r="F14" s="8" t="s">
        <v>159</v>
      </c>
      <c r="G14" s="8" t="s">
        <v>160</v>
      </c>
      <c r="H14" s="8" t="s">
        <v>159</v>
      </c>
      <c r="I14" s="8" t="s">
        <v>159</v>
      </c>
      <c r="J14" s="8" t="s">
        <v>159</v>
      </c>
      <c r="K14" s="8" t="s">
        <v>160</v>
      </c>
      <c r="L14" s="8" t="s">
        <v>159</v>
      </c>
      <c r="M14" s="8" t="s">
        <v>159</v>
      </c>
      <c r="N14" s="8" t="s">
        <v>159</v>
      </c>
      <c r="O14" s="8" t="s">
        <v>159</v>
      </c>
      <c r="P14" s="8" t="s">
        <v>159</v>
      </c>
      <c r="Q14" s="8" t="s">
        <v>159</v>
      </c>
      <c r="R14" s="8" t="s">
        <v>159</v>
      </c>
      <c r="S14" s="8" t="s">
        <v>159</v>
      </c>
      <c r="T14" s="8" t="s">
        <v>159</v>
      </c>
      <c r="U14" s="8" t="s">
        <v>159</v>
      </c>
      <c r="V14" s="8" t="s">
        <v>159</v>
      </c>
      <c r="W14" s="8" t="s">
        <v>159</v>
      </c>
      <c r="X14" s="8" t="s">
        <v>159</v>
      </c>
      <c r="Y14" s="8" t="s">
        <v>159</v>
      </c>
      <c r="Z14" s="8" t="s">
        <v>182</v>
      </c>
      <c r="AA14" s="8" t="s">
        <v>160</v>
      </c>
      <c r="AB14" s="8" t="s">
        <v>160</v>
      </c>
      <c r="AC14" s="9">
        <f t="shared" si="0"/>
        <v>4</v>
      </c>
      <c r="AD14" s="9">
        <f t="shared" si="1"/>
        <v>19</v>
      </c>
      <c r="AE14" s="10">
        <f t="shared" si="2"/>
        <v>75</v>
      </c>
    </row>
    <row r="15" spans="1:31" ht="21" customHeight="1" x14ac:dyDescent="0.35">
      <c r="A15" s="11">
        <v>14</v>
      </c>
      <c r="B15" s="11" t="s">
        <v>682</v>
      </c>
      <c r="C15" s="11" t="s">
        <v>683</v>
      </c>
      <c r="D15" s="12" t="s">
        <v>684</v>
      </c>
      <c r="E15" s="13" t="s">
        <v>159</v>
      </c>
      <c r="F15" s="13" t="s">
        <v>159</v>
      </c>
      <c r="G15" s="13" t="s">
        <v>159</v>
      </c>
      <c r="H15" s="13" t="s">
        <v>159</v>
      </c>
      <c r="I15" s="13" t="s">
        <v>160</v>
      </c>
      <c r="J15" s="13" t="s">
        <v>159</v>
      </c>
      <c r="K15" s="13" t="s">
        <v>159</v>
      </c>
      <c r="L15" s="13" t="s">
        <v>160</v>
      </c>
      <c r="M15" s="13" t="s">
        <v>159</v>
      </c>
      <c r="N15" s="13" t="s">
        <v>159</v>
      </c>
      <c r="O15" s="13" t="s">
        <v>159</v>
      </c>
      <c r="P15" s="13" t="s">
        <v>159</v>
      </c>
      <c r="Q15" s="13" t="s">
        <v>159</v>
      </c>
      <c r="R15" s="13" t="s">
        <v>159</v>
      </c>
      <c r="S15" s="13" t="s">
        <v>160</v>
      </c>
      <c r="T15" s="13" t="s">
        <v>159</v>
      </c>
      <c r="U15" s="13" t="s">
        <v>160</v>
      </c>
      <c r="V15" s="13" t="s">
        <v>159</v>
      </c>
      <c r="W15" s="13" t="s">
        <v>160</v>
      </c>
      <c r="X15" s="13" t="s">
        <v>160</v>
      </c>
      <c r="Y15" s="13" t="s">
        <v>159</v>
      </c>
      <c r="Z15" s="13" t="s">
        <v>159</v>
      </c>
      <c r="AA15" s="13" t="s">
        <v>160</v>
      </c>
      <c r="AB15" s="13" t="s">
        <v>160</v>
      </c>
      <c r="AC15" s="9">
        <f t="shared" si="0"/>
        <v>8</v>
      </c>
      <c r="AD15" s="9">
        <f t="shared" si="1"/>
        <v>16</v>
      </c>
      <c r="AE15" s="10">
        <f t="shared" si="2"/>
        <v>40</v>
      </c>
    </row>
    <row r="16" spans="1:31" ht="21" customHeight="1" x14ac:dyDescent="0.35">
      <c r="A16" s="6">
        <v>15</v>
      </c>
      <c r="B16" s="6" t="s">
        <v>685</v>
      </c>
      <c r="C16" s="6" t="s">
        <v>686</v>
      </c>
      <c r="D16" s="7" t="s">
        <v>687</v>
      </c>
      <c r="E16" s="8" t="s">
        <v>159</v>
      </c>
      <c r="F16" s="8" t="s">
        <v>159</v>
      </c>
      <c r="G16" s="8" t="s">
        <v>160</v>
      </c>
      <c r="H16" s="8" t="s">
        <v>159</v>
      </c>
      <c r="I16" s="8" t="s">
        <v>159</v>
      </c>
      <c r="J16" s="8" t="s">
        <v>182</v>
      </c>
      <c r="K16" s="8" t="s">
        <v>159</v>
      </c>
      <c r="L16" s="8" t="s">
        <v>159</v>
      </c>
      <c r="M16" s="8" t="s">
        <v>159</v>
      </c>
      <c r="N16" s="8" t="s">
        <v>159</v>
      </c>
      <c r="O16" s="8" t="s">
        <v>160</v>
      </c>
      <c r="P16" s="8" t="s">
        <v>159</v>
      </c>
      <c r="Q16" s="8" t="s">
        <v>159</v>
      </c>
      <c r="R16" s="8" t="s">
        <v>160</v>
      </c>
      <c r="S16" s="8" t="s">
        <v>159</v>
      </c>
      <c r="T16" s="8" t="s">
        <v>159</v>
      </c>
      <c r="U16" s="8" t="s">
        <v>160</v>
      </c>
      <c r="V16" s="8" t="s">
        <v>159</v>
      </c>
      <c r="W16" s="8" t="s">
        <v>159</v>
      </c>
      <c r="X16" s="8" t="s">
        <v>159</v>
      </c>
      <c r="Y16" s="8" t="s">
        <v>159</v>
      </c>
      <c r="Z16" s="8" t="s">
        <v>159</v>
      </c>
      <c r="AA16" s="8" t="s">
        <v>182</v>
      </c>
      <c r="AB16" s="8" t="s">
        <v>160</v>
      </c>
      <c r="AC16" s="9">
        <f t="shared" si="0"/>
        <v>5</v>
      </c>
      <c r="AD16" s="9">
        <f t="shared" si="1"/>
        <v>17</v>
      </c>
      <c r="AE16" s="10">
        <f t="shared" si="2"/>
        <v>60</v>
      </c>
    </row>
    <row r="17" spans="1:31" ht="21" customHeight="1" x14ac:dyDescent="0.35">
      <c r="A17" s="11">
        <v>16</v>
      </c>
      <c r="B17" s="14" t="s">
        <v>688</v>
      </c>
      <c r="C17" s="14" t="s">
        <v>689</v>
      </c>
      <c r="D17" s="12" t="s">
        <v>690</v>
      </c>
      <c r="E17" s="13" t="s">
        <v>159</v>
      </c>
      <c r="F17" s="13" t="s">
        <v>182</v>
      </c>
      <c r="G17" s="13" t="s">
        <v>159</v>
      </c>
      <c r="H17" s="13" t="s">
        <v>182</v>
      </c>
      <c r="I17" s="13" t="s">
        <v>182</v>
      </c>
      <c r="J17" s="13" t="s">
        <v>182</v>
      </c>
      <c r="K17" s="13" t="s">
        <v>182</v>
      </c>
      <c r="L17" s="13" t="s">
        <v>182</v>
      </c>
      <c r="M17" s="13" t="s">
        <v>182</v>
      </c>
      <c r="N17" s="13" t="s">
        <v>182</v>
      </c>
      <c r="O17" s="13" t="s">
        <v>159</v>
      </c>
      <c r="P17" s="13" t="s">
        <v>159</v>
      </c>
      <c r="Q17" s="13" t="s">
        <v>182</v>
      </c>
      <c r="R17" s="13" t="s">
        <v>159</v>
      </c>
      <c r="S17" s="13" t="s">
        <v>182</v>
      </c>
      <c r="T17" s="13" t="s">
        <v>182</v>
      </c>
      <c r="U17" s="13" t="s">
        <v>182</v>
      </c>
      <c r="V17" s="13" t="s">
        <v>182</v>
      </c>
      <c r="W17" s="13" t="s">
        <v>182</v>
      </c>
      <c r="X17" s="13" t="s">
        <v>160</v>
      </c>
      <c r="Y17" s="13" t="s">
        <v>159</v>
      </c>
      <c r="Z17" s="13" t="s">
        <v>159</v>
      </c>
      <c r="AA17" s="13" t="s">
        <v>160</v>
      </c>
      <c r="AB17" s="13" t="s">
        <v>160</v>
      </c>
      <c r="AC17" s="9">
        <f t="shared" si="0"/>
        <v>3</v>
      </c>
      <c r="AD17" s="9">
        <f t="shared" si="1"/>
        <v>7</v>
      </c>
      <c r="AE17" s="10">
        <f t="shared" si="2"/>
        <v>20</v>
      </c>
    </row>
    <row r="18" spans="1:31" ht="21" customHeight="1" x14ac:dyDescent="0.35">
      <c r="A18" s="6">
        <v>17</v>
      </c>
      <c r="B18" s="6" t="s">
        <v>691</v>
      </c>
      <c r="C18" s="6" t="s">
        <v>692</v>
      </c>
      <c r="D18" s="7" t="s">
        <v>693</v>
      </c>
      <c r="E18" s="8" t="s">
        <v>159</v>
      </c>
      <c r="F18" s="8" t="s">
        <v>159</v>
      </c>
      <c r="G18" s="8" t="s">
        <v>159</v>
      </c>
      <c r="H18" s="8" t="s">
        <v>159</v>
      </c>
      <c r="I18" s="8" t="s">
        <v>160</v>
      </c>
      <c r="J18" s="8" t="s">
        <v>160</v>
      </c>
      <c r="K18" s="8" t="s">
        <v>159</v>
      </c>
      <c r="L18" s="8" t="s">
        <v>159</v>
      </c>
      <c r="M18" s="8" t="s">
        <v>159</v>
      </c>
      <c r="N18" s="8" t="s">
        <v>159</v>
      </c>
      <c r="O18" s="8" t="s">
        <v>159</v>
      </c>
      <c r="P18" s="8" t="s">
        <v>159</v>
      </c>
      <c r="Q18" s="8" t="s">
        <v>159</v>
      </c>
      <c r="R18" s="8" t="s">
        <v>159</v>
      </c>
      <c r="S18" s="8" t="s">
        <v>159</v>
      </c>
      <c r="T18" s="8" t="s">
        <v>159</v>
      </c>
      <c r="U18" s="8" t="s">
        <v>160</v>
      </c>
      <c r="V18" s="8" t="s">
        <v>159</v>
      </c>
      <c r="W18" s="8" t="s">
        <v>160</v>
      </c>
      <c r="X18" s="8" t="s">
        <v>159</v>
      </c>
      <c r="Y18" s="8" t="s">
        <v>159</v>
      </c>
      <c r="Z18" s="8" t="s">
        <v>159</v>
      </c>
      <c r="AA18" s="8" t="s">
        <v>159</v>
      </c>
      <c r="AB18" s="8" t="s">
        <v>159</v>
      </c>
      <c r="AC18" s="9">
        <f t="shared" si="0"/>
        <v>4</v>
      </c>
      <c r="AD18" s="9">
        <f t="shared" si="1"/>
        <v>20</v>
      </c>
      <c r="AE18" s="10">
        <f t="shared" si="2"/>
        <v>80</v>
      </c>
    </row>
    <row r="19" spans="1:31" ht="21" customHeight="1" x14ac:dyDescent="0.35">
      <c r="A19" s="11">
        <v>18</v>
      </c>
      <c r="B19" s="14" t="s">
        <v>694</v>
      </c>
      <c r="C19" s="14" t="s">
        <v>695</v>
      </c>
      <c r="D19" s="12" t="s">
        <v>696</v>
      </c>
      <c r="E19" s="13" t="s">
        <v>182</v>
      </c>
      <c r="F19" s="13" t="s">
        <v>159</v>
      </c>
      <c r="G19" s="13" t="s">
        <v>159</v>
      </c>
      <c r="H19" s="13" t="s">
        <v>159</v>
      </c>
      <c r="I19" s="13" t="s">
        <v>159</v>
      </c>
      <c r="J19" s="13" t="s">
        <v>160</v>
      </c>
      <c r="K19" s="13" t="s">
        <v>160</v>
      </c>
      <c r="L19" s="13" t="s">
        <v>159</v>
      </c>
      <c r="M19" s="13" t="s">
        <v>160</v>
      </c>
      <c r="N19" s="13" t="s">
        <v>159</v>
      </c>
      <c r="O19" s="13" t="s">
        <v>159</v>
      </c>
      <c r="P19" s="13" t="s">
        <v>159</v>
      </c>
      <c r="Q19" s="13" t="s">
        <v>159</v>
      </c>
      <c r="R19" s="13" t="s">
        <v>159</v>
      </c>
      <c r="S19" s="13" t="s">
        <v>160</v>
      </c>
      <c r="T19" s="13" t="s">
        <v>159</v>
      </c>
      <c r="U19" s="13" t="s">
        <v>159</v>
      </c>
      <c r="V19" s="13" t="s">
        <v>159</v>
      </c>
      <c r="W19" s="13" t="s">
        <v>160</v>
      </c>
      <c r="X19" s="13" t="s">
        <v>159</v>
      </c>
      <c r="Y19" s="13" t="s">
        <v>159</v>
      </c>
      <c r="Z19" s="13" t="s">
        <v>160</v>
      </c>
      <c r="AA19" s="13" t="s">
        <v>159</v>
      </c>
      <c r="AB19" s="13" t="s">
        <v>160</v>
      </c>
      <c r="AC19" s="9">
        <f t="shared" si="0"/>
        <v>7</v>
      </c>
      <c r="AD19" s="9">
        <f t="shared" si="1"/>
        <v>16</v>
      </c>
      <c r="AE19" s="10">
        <f t="shared" si="2"/>
        <v>45</v>
      </c>
    </row>
    <row r="20" spans="1:31" ht="21" customHeight="1" x14ac:dyDescent="0.35">
      <c r="A20" s="6">
        <v>19</v>
      </c>
      <c r="B20" s="6" t="s">
        <v>697</v>
      </c>
      <c r="C20" s="6" t="s">
        <v>698</v>
      </c>
      <c r="D20" s="7" t="s">
        <v>699</v>
      </c>
      <c r="E20" s="8" t="s">
        <v>159</v>
      </c>
      <c r="F20" s="8" t="s">
        <v>159</v>
      </c>
      <c r="G20" s="8" t="s">
        <v>159</v>
      </c>
      <c r="H20" s="8" t="s">
        <v>159</v>
      </c>
      <c r="I20" s="8" t="s">
        <v>159</v>
      </c>
      <c r="J20" s="8" t="s">
        <v>160</v>
      </c>
      <c r="K20" s="8" t="s">
        <v>159</v>
      </c>
      <c r="L20" s="8" t="s">
        <v>160</v>
      </c>
      <c r="M20" s="8" t="s">
        <v>159</v>
      </c>
      <c r="N20" s="8" t="s">
        <v>159</v>
      </c>
      <c r="O20" s="8" t="s">
        <v>160</v>
      </c>
      <c r="P20" s="8" t="s">
        <v>159</v>
      </c>
      <c r="Q20" s="8" t="s">
        <v>159</v>
      </c>
      <c r="R20" s="8" t="s">
        <v>159</v>
      </c>
      <c r="S20" s="8" t="s">
        <v>159</v>
      </c>
      <c r="T20" s="8" t="s">
        <v>159</v>
      </c>
      <c r="U20" s="8" t="s">
        <v>160</v>
      </c>
      <c r="V20" s="8" t="s">
        <v>159</v>
      </c>
      <c r="W20" s="8" t="s">
        <v>160</v>
      </c>
      <c r="X20" s="8" t="s">
        <v>159</v>
      </c>
      <c r="Y20" s="8" t="s">
        <v>159</v>
      </c>
      <c r="Z20" s="8" t="s">
        <v>159</v>
      </c>
      <c r="AA20" s="8" t="s">
        <v>159</v>
      </c>
      <c r="AB20" s="8" t="s">
        <v>159</v>
      </c>
      <c r="AC20" s="9">
        <f t="shared" si="0"/>
        <v>5</v>
      </c>
      <c r="AD20" s="9">
        <f t="shared" si="1"/>
        <v>19</v>
      </c>
      <c r="AE20" s="10">
        <f t="shared" si="2"/>
        <v>70</v>
      </c>
    </row>
    <row r="21" spans="1:31" ht="21" customHeight="1" x14ac:dyDescent="0.35">
      <c r="A21" s="11">
        <v>20</v>
      </c>
      <c r="B21" s="11" t="s">
        <v>700</v>
      </c>
      <c r="C21" s="11" t="s">
        <v>701</v>
      </c>
      <c r="D21" s="12" t="s">
        <v>702</v>
      </c>
      <c r="E21" s="13" t="s">
        <v>159</v>
      </c>
      <c r="F21" s="13" t="s">
        <v>159</v>
      </c>
      <c r="G21" s="13" t="s">
        <v>159</v>
      </c>
      <c r="H21" s="13" t="s">
        <v>160</v>
      </c>
      <c r="I21" s="13" t="s">
        <v>159</v>
      </c>
      <c r="J21" s="13" t="s">
        <v>159</v>
      </c>
      <c r="K21" s="13" t="s">
        <v>159</v>
      </c>
      <c r="L21" s="13" t="s">
        <v>159</v>
      </c>
      <c r="M21" s="13" t="s">
        <v>159</v>
      </c>
      <c r="N21" s="13" t="s">
        <v>160</v>
      </c>
      <c r="O21" s="13" t="s">
        <v>159</v>
      </c>
      <c r="P21" s="13" t="s">
        <v>160</v>
      </c>
      <c r="Q21" s="13" t="s">
        <v>159</v>
      </c>
      <c r="R21" s="13" t="s">
        <v>159</v>
      </c>
      <c r="S21" s="13" t="s">
        <v>160</v>
      </c>
      <c r="T21" s="13" t="s">
        <v>159</v>
      </c>
      <c r="U21" s="13" t="s">
        <v>159</v>
      </c>
      <c r="V21" s="13" t="s">
        <v>159</v>
      </c>
      <c r="W21" s="13" t="s">
        <v>160</v>
      </c>
      <c r="X21" s="13" t="s">
        <v>159</v>
      </c>
      <c r="Y21" s="13" t="s">
        <v>159</v>
      </c>
      <c r="Z21" s="13" t="s">
        <v>182</v>
      </c>
      <c r="AA21" s="13" t="s">
        <v>160</v>
      </c>
      <c r="AB21" s="13" t="s">
        <v>159</v>
      </c>
      <c r="AC21" s="9">
        <f t="shared" si="0"/>
        <v>6</v>
      </c>
      <c r="AD21" s="9">
        <f t="shared" si="1"/>
        <v>17</v>
      </c>
      <c r="AE21" s="10">
        <f t="shared" si="2"/>
        <v>55</v>
      </c>
    </row>
    <row r="22" spans="1:31" ht="21" customHeight="1" x14ac:dyDescent="0.35">
      <c r="A22" s="6">
        <v>21</v>
      </c>
      <c r="B22" s="6" t="s">
        <v>703</v>
      </c>
      <c r="C22" s="6" t="s">
        <v>704</v>
      </c>
      <c r="D22" s="7" t="s">
        <v>705</v>
      </c>
      <c r="E22" s="8" t="s">
        <v>159</v>
      </c>
      <c r="F22" s="8" t="s">
        <v>182</v>
      </c>
      <c r="G22" s="8" t="s">
        <v>160</v>
      </c>
      <c r="H22" s="8" t="s">
        <v>182</v>
      </c>
      <c r="I22" s="8" t="s">
        <v>159</v>
      </c>
      <c r="J22" s="8" t="s">
        <v>159</v>
      </c>
      <c r="K22" s="8" t="s">
        <v>160</v>
      </c>
      <c r="L22" s="8" t="s">
        <v>159</v>
      </c>
      <c r="M22" s="8" t="s">
        <v>160</v>
      </c>
      <c r="N22" s="8" t="s">
        <v>160</v>
      </c>
      <c r="O22" s="8" t="s">
        <v>159</v>
      </c>
      <c r="P22" s="8" t="s">
        <v>160</v>
      </c>
      <c r="Q22" s="8" t="s">
        <v>159</v>
      </c>
      <c r="R22" s="8" t="s">
        <v>160</v>
      </c>
      <c r="S22" s="8" t="s">
        <v>159</v>
      </c>
      <c r="T22" s="8" t="s">
        <v>159</v>
      </c>
      <c r="U22" s="8" t="s">
        <v>160</v>
      </c>
      <c r="V22" s="8" t="s">
        <v>159</v>
      </c>
      <c r="W22" s="8" t="s">
        <v>160</v>
      </c>
      <c r="X22" s="8" t="s">
        <v>159</v>
      </c>
      <c r="Y22" s="8" t="s">
        <v>159</v>
      </c>
      <c r="Z22" s="8" t="s">
        <v>160</v>
      </c>
      <c r="AA22" s="8" t="s">
        <v>159</v>
      </c>
      <c r="AB22" s="8" t="s">
        <v>159</v>
      </c>
      <c r="AC22" s="9">
        <f t="shared" si="0"/>
        <v>9</v>
      </c>
      <c r="AD22" s="9">
        <f t="shared" si="1"/>
        <v>13</v>
      </c>
      <c r="AE22" s="10">
        <f t="shared" si="2"/>
        <v>20</v>
      </c>
    </row>
    <row r="23" spans="1:31" ht="21" customHeight="1" x14ac:dyDescent="0.35">
      <c r="A23" s="11">
        <v>22</v>
      </c>
      <c r="B23" s="11" t="s">
        <v>706</v>
      </c>
      <c r="C23" s="11" t="s">
        <v>707</v>
      </c>
      <c r="D23" s="12" t="s">
        <v>708</v>
      </c>
      <c r="E23" s="13" t="s">
        <v>159</v>
      </c>
      <c r="F23" s="13" t="s">
        <v>159</v>
      </c>
      <c r="G23" s="13" t="s">
        <v>160</v>
      </c>
      <c r="H23" s="13" t="s">
        <v>159</v>
      </c>
      <c r="I23" s="13" t="s">
        <v>159</v>
      </c>
      <c r="J23" s="13" t="s">
        <v>159</v>
      </c>
      <c r="K23" s="13" t="s">
        <v>159</v>
      </c>
      <c r="L23" s="13" t="s">
        <v>159</v>
      </c>
      <c r="M23" s="13" t="s">
        <v>159</v>
      </c>
      <c r="N23" s="13" t="s">
        <v>159</v>
      </c>
      <c r="O23" s="13" t="s">
        <v>160</v>
      </c>
      <c r="P23" s="13" t="s">
        <v>159</v>
      </c>
      <c r="Q23" s="13" t="s">
        <v>159</v>
      </c>
      <c r="R23" s="13" t="s">
        <v>160</v>
      </c>
      <c r="S23" s="13" t="s">
        <v>160</v>
      </c>
      <c r="T23" s="13" t="s">
        <v>159</v>
      </c>
      <c r="U23" s="13" t="s">
        <v>159</v>
      </c>
      <c r="V23" s="13" t="s">
        <v>160</v>
      </c>
      <c r="W23" s="13" t="s">
        <v>159</v>
      </c>
      <c r="X23" s="13" t="s">
        <v>160</v>
      </c>
      <c r="Y23" s="13" t="s">
        <v>159</v>
      </c>
      <c r="Z23" s="13" t="s">
        <v>159</v>
      </c>
      <c r="AA23" s="13" t="s">
        <v>159</v>
      </c>
      <c r="AB23" s="13" t="s">
        <v>159</v>
      </c>
      <c r="AC23" s="9">
        <f t="shared" si="0"/>
        <v>6</v>
      </c>
      <c r="AD23" s="9">
        <f t="shared" si="1"/>
        <v>18</v>
      </c>
      <c r="AE23" s="10">
        <f t="shared" si="2"/>
        <v>60</v>
      </c>
    </row>
    <row r="24" spans="1:31" ht="21" customHeight="1" x14ac:dyDescent="0.35">
      <c r="A24" s="6">
        <v>23</v>
      </c>
      <c r="B24" s="6" t="s">
        <v>709</v>
      </c>
      <c r="C24" s="6" t="s">
        <v>710</v>
      </c>
      <c r="D24" s="7" t="s">
        <v>711</v>
      </c>
      <c r="E24" s="8" t="s">
        <v>159</v>
      </c>
      <c r="F24" s="8" t="s">
        <v>159</v>
      </c>
      <c r="G24" s="8" t="s">
        <v>159</v>
      </c>
      <c r="H24" s="8" t="s">
        <v>159</v>
      </c>
      <c r="I24" s="8" t="s">
        <v>160</v>
      </c>
      <c r="J24" s="8" t="s">
        <v>159</v>
      </c>
      <c r="K24" s="8" t="s">
        <v>160</v>
      </c>
      <c r="L24" s="8" t="s">
        <v>159</v>
      </c>
      <c r="M24" s="8" t="s">
        <v>159</v>
      </c>
      <c r="N24" s="8" t="s">
        <v>159</v>
      </c>
      <c r="O24" s="8" t="s">
        <v>159</v>
      </c>
      <c r="P24" s="8" t="s">
        <v>160</v>
      </c>
      <c r="Q24" s="8" t="s">
        <v>159</v>
      </c>
      <c r="R24" s="8" t="s">
        <v>159</v>
      </c>
      <c r="S24" s="8" t="s">
        <v>159</v>
      </c>
      <c r="T24" s="8" t="s">
        <v>159</v>
      </c>
      <c r="U24" s="8" t="s">
        <v>159</v>
      </c>
      <c r="V24" s="8" t="s">
        <v>160</v>
      </c>
      <c r="W24" s="8" t="s">
        <v>159</v>
      </c>
      <c r="X24" s="8" t="s">
        <v>159</v>
      </c>
      <c r="Y24" s="8" t="s">
        <v>159</v>
      </c>
      <c r="Z24" s="8" t="s">
        <v>159</v>
      </c>
      <c r="AA24" s="8" t="s">
        <v>159</v>
      </c>
      <c r="AB24" s="8" t="s">
        <v>159</v>
      </c>
      <c r="AC24" s="9">
        <f t="shared" si="0"/>
        <v>4</v>
      </c>
      <c r="AD24" s="9">
        <f t="shared" si="1"/>
        <v>20</v>
      </c>
      <c r="AE24" s="10">
        <f t="shared" si="2"/>
        <v>80</v>
      </c>
    </row>
    <row r="25" spans="1:31" ht="21" customHeight="1" x14ac:dyDescent="0.35">
      <c r="A25" s="11">
        <v>24</v>
      </c>
      <c r="B25" s="11" t="s">
        <v>712</v>
      </c>
      <c r="C25" s="11" t="s">
        <v>713</v>
      </c>
      <c r="D25" s="12" t="s">
        <v>714</v>
      </c>
      <c r="E25" s="13" t="s">
        <v>159</v>
      </c>
      <c r="F25" s="13" t="s">
        <v>159</v>
      </c>
      <c r="G25" s="13" t="s">
        <v>159</v>
      </c>
      <c r="H25" s="13" t="s">
        <v>159</v>
      </c>
      <c r="I25" s="13" t="s">
        <v>159</v>
      </c>
      <c r="J25" s="13" t="s">
        <v>159</v>
      </c>
      <c r="K25" s="13" t="s">
        <v>159</v>
      </c>
      <c r="L25" s="13" t="s">
        <v>159</v>
      </c>
      <c r="M25" s="13" t="s">
        <v>159</v>
      </c>
      <c r="N25" s="13" t="s">
        <v>159</v>
      </c>
      <c r="O25" s="13" t="s">
        <v>159</v>
      </c>
      <c r="P25" s="13" t="s">
        <v>159</v>
      </c>
      <c r="Q25" s="13" t="s">
        <v>160</v>
      </c>
      <c r="R25" s="13" t="s">
        <v>160</v>
      </c>
      <c r="S25" s="13" t="s">
        <v>159</v>
      </c>
      <c r="T25" s="13" t="s">
        <v>159</v>
      </c>
      <c r="U25" s="13" t="s">
        <v>159</v>
      </c>
      <c r="V25" s="13" t="s">
        <v>159</v>
      </c>
      <c r="W25" s="13" t="s">
        <v>159</v>
      </c>
      <c r="X25" s="13" t="s">
        <v>159</v>
      </c>
      <c r="Y25" s="13" t="s">
        <v>159</v>
      </c>
      <c r="Z25" s="13" t="s">
        <v>159</v>
      </c>
      <c r="AA25" s="13" t="s">
        <v>182</v>
      </c>
      <c r="AB25" s="13" t="s">
        <v>159</v>
      </c>
      <c r="AC25" s="9">
        <f t="shared" si="0"/>
        <v>2</v>
      </c>
      <c r="AD25" s="9">
        <f t="shared" si="1"/>
        <v>21</v>
      </c>
      <c r="AE25" s="10">
        <f t="shared" si="2"/>
        <v>95</v>
      </c>
    </row>
    <row r="26" spans="1:31" ht="21" customHeight="1" x14ac:dyDescent="0.35">
      <c r="A26" s="6">
        <v>25</v>
      </c>
      <c r="B26" s="6" t="s">
        <v>715</v>
      </c>
      <c r="C26" s="6" t="s">
        <v>716</v>
      </c>
      <c r="D26" s="7" t="s">
        <v>717</v>
      </c>
      <c r="E26" s="8" t="s">
        <v>159</v>
      </c>
      <c r="F26" s="8" t="s">
        <v>160</v>
      </c>
      <c r="G26" s="8" t="s">
        <v>159</v>
      </c>
      <c r="H26" s="8" t="s">
        <v>182</v>
      </c>
      <c r="I26" s="8" t="s">
        <v>182</v>
      </c>
      <c r="J26" s="8" t="s">
        <v>159</v>
      </c>
      <c r="K26" s="8" t="s">
        <v>159</v>
      </c>
      <c r="L26" s="8" t="s">
        <v>160</v>
      </c>
      <c r="M26" s="8" t="s">
        <v>159</v>
      </c>
      <c r="N26" s="8" t="s">
        <v>159</v>
      </c>
      <c r="O26" s="8" t="s">
        <v>160</v>
      </c>
      <c r="P26" s="8" t="s">
        <v>159</v>
      </c>
      <c r="Q26" s="8" t="s">
        <v>160</v>
      </c>
      <c r="R26" s="8" t="s">
        <v>160</v>
      </c>
      <c r="S26" s="8" t="s">
        <v>160</v>
      </c>
      <c r="T26" s="8" t="s">
        <v>159</v>
      </c>
      <c r="U26" s="8" t="s">
        <v>160</v>
      </c>
      <c r="V26" s="8" t="s">
        <v>160</v>
      </c>
      <c r="W26" s="8" t="s">
        <v>160</v>
      </c>
      <c r="X26" s="8" t="s">
        <v>159</v>
      </c>
      <c r="Y26" s="8" t="s">
        <v>159</v>
      </c>
      <c r="Z26" s="8" t="s">
        <v>160</v>
      </c>
      <c r="AA26" s="8" t="s">
        <v>182</v>
      </c>
      <c r="AB26" s="8" t="s">
        <v>160</v>
      </c>
      <c r="AC26" s="9">
        <f t="shared" si="0"/>
        <v>11</v>
      </c>
      <c r="AD26" s="9">
        <f t="shared" si="1"/>
        <v>10</v>
      </c>
      <c r="AE26" s="10">
        <f t="shared" si="2"/>
        <v>-5</v>
      </c>
    </row>
    <row r="27" spans="1:31" ht="21" customHeight="1" x14ac:dyDescent="0.35">
      <c r="A27" s="11">
        <v>26</v>
      </c>
      <c r="B27" s="11" t="s">
        <v>718</v>
      </c>
      <c r="C27" s="11" t="s">
        <v>719</v>
      </c>
      <c r="D27" s="12" t="s">
        <v>720</v>
      </c>
      <c r="E27" s="13" t="s">
        <v>159</v>
      </c>
      <c r="F27" s="13" t="s">
        <v>159</v>
      </c>
      <c r="G27" s="13" t="s">
        <v>159</v>
      </c>
      <c r="H27" s="13" t="s">
        <v>159</v>
      </c>
      <c r="I27" s="13" t="s">
        <v>159</v>
      </c>
      <c r="J27" s="13" t="s">
        <v>159</v>
      </c>
      <c r="K27" s="13" t="s">
        <v>160</v>
      </c>
      <c r="L27" s="13" t="s">
        <v>160</v>
      </c>
      <c r="M27" s="13" t="s">
        <v>159</v>
      </c>
      <c r="N27" s="13" t="s">
        <v>160</v>
      </c>
      <c r="O27" s="13" t="s">
        <v>160</v>
      </c>
      <c r="P27" s="13" t="s">
        <v>160</v>
      </c>
      <c r="Q27" s="13" t="s">
        <v>159</v>
      </c>
      <c r="R27" s="13" t="s">
        <v>160</v>
      </c>
      <c r="S27" s="13" t="s">
        <v>160</v>
      </c>
      <c r="T27" s="13" t="s">
        <v>160</v>
      </c>
      <c r="U27" s="13" t="s">
        <v>160</v>
      </c>
      <c r="V27" s="13" t="s">
        <v>160</v>
      </c>
      <c r="W27" s="13" t="s">
        <v>160</v>
      </c>
      <c r="X27" s="13" t="s">
        <v>159</v>
      </c>
      <c r="Y27" s="13" t="s">
        <v>159</v>
      </c>
      <c r="Z27" s="13" t="s">
        <v>159</v>
      </c>
      <c r="AA27" s="13" t="s">
        <v>159</v>
      </c>
      <c r="AB27" s="13" t="s">
        <v>159</v>
      </c>
      <c r="AC27" s="9">
        <f t="shared" si="0"/>
        <v>11</v>
      </c>
      <c r="AD27" s="9">
        <f t="shared" si="1"/>
        <v>13</v>
      </c>
      <c r="AE27" s="10">
        <f t="shared" si="2"/>
        <v>10</v>
      </c>
    </row>
    <row r="28" spans="1:31" ht="21" customHeight="1" x14ac:dyDescent="0.35">
      <c r="A28" s="6">
        <v>27</v>
      </c>
      <c r="B28" s="6" t="s">
        <v>721</v>
      </c>
      <c r="C28" s="6" t="s">
        <v>722</v>
      </c>
      <c r="D28" s="7" t="s">
        <v>723</v>
      </c>
      <c r="E28" s="8" t="s">
        <v>159</v>
      </c>
      <c r="F28" s="8" t="s">
        <v>159</v>
      </c>
      <c r="G28" s="8" t="s">
        <v>160</v>
      </c>
      <c r="H28" s="8" t="s">
        <v>159</v>
      </c>
      <c r="I28" s="8" t="s">
        <v>159</v>
      </c>
      <c r="J28" s="8" t="s">
        <v>159</v>
      </c>
      <c r="K28" s="8" t="s">
        <v>159</v>
      </c>
      <c r="L28" s="8" t="s">
        <v>159</v>
      </c>
      <c r="M28" s="8" t="s">
        <v>159</v>
      </c>
      <c r="N28" s="8" t="s">
        <v>159</v>
      </c>
      <c r="O28" s="8" t="s">
        <v>159</v>
      </c>
      <c r="P28" s="8" t="s">
        <v>160</v>
      </c>
      <c r="Q28" s="8" t="s">
        <v>159</v>
      </c>
      <c r="R28" s="8" t="s">
        <v>159</v>
      </c>
      <c r="S28" s="8" t="s">
        <v>159</v>
      </c>
      <c r="T28" s="8" t="s">
        <v>159</v>
      </c>
      <c r="U28" s="8" t="s">
        <v>159</v>
      </c>
      <c r="V28" s="8" t="s">
        <v>159</v>
      </c>
      <c r="W28" s="8" t="s">
        <v>159</v>
      </c>
      <c r="X28" s="8" t="s">
        <v>159</v>
      </c>
      <c r="Y28" s="8" t="s">
        <v>159</v>
      </c>
      <c r="Z28" s="8" t="s">
        <v>159</v>
      </c>
      <c r="AA28" s="8" t="s">
        <v>182</v>
      </c>
      <c r="AB28" s="8" t="s">
        <v>182</v>
      </c>
      <c r="AC28" s="9">
        <f t="shared" si="0"/>
        <v>2</v>
      </c>
      <c r="AD28" s="9">
        <f t="shared" si="1"/>
        <v>20</v>
      </c>
      <c r="AE28" s="10">
        <f t="shared" si="2"/>
        <v>90</v>
      </c>
    </row>
    <row r="29" spans="1:31" ht="21" customHeight="1" x14ac:dyDescent="0.35">
      <c r="A29" s="11">
        <v>28</v>
      </c>
      <c r="B29" s="11" t="s">
        <v>724</v>
      </c>
      <c r="C29" s="11" t="s">
        <v>725</v>
      </c>
      <c r="D29" s="12" t="s">
        <v>726</v>
      </c>
      <c r="E29" s="13" t="s">
        <v>159</v>
      </c>
      <c r="F29" s="13" t="s">
        <v>159</v>
      </c>
      <c r="G29" s="13" t="s">
        <v>160</v>
      </c>
      <c r="H29" s="13" t="s">
        <v>159</v>
      </c>
      <c r="I29" s="13" t="s">
        <v>159</v>
      </c>
      <c r="J29" s="13" t="s">
        <v>159</v>
      </c>
      <c r="K29" s="13" t="s">
        <v>159</v>
      </c>
      <c r="L29" s="13" t="s">
        <v>159</v>
      </c>
      <c r="M29" s="13" t="s">
        <v>159</v>
      </c>
      <c r="N29" s="13" t="s">
        <v>159</v>
      </c>
      <c r="O29" s="13" t="s">
        <v>159</v>
      </c>
      <c r="P29" s="13" t="s">
        <v>160</v>
      </c>
      <c r="Q29" s="13" t="s">
        <v>160</v>
      </c>
      <c r="R29" s="13" t="s">
        <v>159</v>
      </c>
      <c r="S29" s="13" t="s">
        <v>159</v>
      </c>
      <c r="T29" s="13" t="s">
        <v>159</v>
      </c>
      <c r="U29" s="13" t="s">
        <v>159</v>
      </c>
      <c r="V29" s="13" t="s">
        <v>160</v>
      </c>
      <c r="W29" s="13" t="s">
        <v>159</v>
      </c>
      <c r="X29" s="13" t="s">
        <v>159</v>
      </c>
      <c r="Y29" s="13" t="s">
        <v>159</v>
      </c>
      <c r="Z29" s="13" t="s">
        <v>160</v>
      </c>
      <c r="AA29" s="13" t="s">
        <v>159</v>
      </c>
      <c r="AB29" s="13" t="s">
        <v>159</v>
      </c>
      <c r="AC29" s="9">
        <f t="shared" si="0"/>
        <v>5</v>
      </c>
      <c r="AD29" s="9">
        <f t="shared" si="1"/>
        <v>19</v>
      </c>
      <c r="AE29" s="10">
        <f t="shared" si="2"/>
        <v>70</v>
      </c>
    </row>
    <row r="30" spans="1:31" ht="21" customHeight="1" x14ac:dyDescent="0.35">
      <c r="A30" s="6">
        <v>29</v>
      </c>
      <c r="B30" s="6" t="s">
        <v>727</v>
      </c>
      <c r="C30" s="6" t="s">
        <v>728</v>
      </c>
      <c r="D30" s="7" t="s">
        <v>729</v>
      </c>
      <c r="E30" s="8" t="s">
        <v>159</v>
      </c>
      <c r="F30" s="8" t="s">
        <v>182</v>
      </c>
      <c r="G30" s="8" t="s">
        <v>159</v>
      </c>
      <c r="H30" s="8" t="s">
        <v>182</v>
      </c>
      <c r="I30" s="8" t="s">
        <v>182</v>
      </c>
      <c r="J30" s="8" t="s">
        <v>159</v>
      </c>
      <c r="K30" s="8" t="s">
        <v>160</v>
      </c>
      <c r="L30" s="8" t="s">
        <v>159</v>
      </c>
      <c r="M30" s="8" t="s">
        <v>159</v>
      </c>
      <c r="N30" s="8" t="s">
        <v>160</v>
      </c>
      <c r="O30" s="8" t="s">
        <v>160</v>
      </c>
      <c r="P30" s="8" t="s">
        <v>160</v>
      </c>
      <c r="Q30" s="8" t="s">
        <v>160</v>
      </c>
      <c r="R30" s="8" t="s">
        <v>160</v>
      </c>
      <c r="S30" s="8" t="s">
        <v>160</v>
      </c>
      <c r="T30" s="8" t="s">
        <v>160</v>
      </c>
      <c r="U30" s="8" t="s">
        <v>160</v>
      </c>
      <c r="V30" s="8" t="s">
        <v>160</v>
      </c>
      <c r="W30" s="8" t="s">
        <v>160</v>
      </c>
      <c r="X30" s="8" t="s">
        <v>159</v>
      </c>
      <c r="Y30" s="8" t="s">
        <v>160</v>
      </c>
      <c r="Z30" s="8" t="s">
        <v>160</v>
      </c>
      <c r="AA30" s="8" t="s">
        <v>159</v>
      </c>
      <c r="AB30" s="8" t="s">
        <v>159</v>
      </c>
      <c r="AC30" s="9">
        <f t="shared" si="0"/>
        <v>13</v>
      </c>
      <c r="AD30" s="9">
        <f t="shared" si="1"/>
        <v>8</v>
      </c>
      <c r="AE30" s="10">
        <f t="shared" si="2"/>
        <v>-25</v>
      </c>
    </row>
    <row r="31" spans="1:31" ht="21" customHeight="1" x14ac:dyDescent="0.35">
      <c r="A31" s="11">
        <v>30</v>
      </c>
      <c r="B31" s="11" t="s">
        <v>730</v>
      </c>
      <c r="C31" s="11" t="s">
        <v>731</v>
      </c>
      <c r="D31" s="12" t="s">
        <v>732</v>
      </c>
      <c r="E31" s="13" t="s">
        <v>159</v>
      </c>
      <c r="F31" s="13" t="s">
        <v>159</v>
      </c>
      <c r="G31" s="13" t="s">
        <v>159</v>
      </c>
      <c r="H31" s="13" t="s">
        <v>160</v>
      </c>
      <c r="I31" s="13" t="s">
        <v>182</v>
      </c>
      <c r="J31" s="13" t="s">
        <v>182</v>
      </c>
      <c r="K31" s="13" t="s">
        <v>160</v>
      </c>
      <c r="L31" s="13" t="s">
        <v>160</v>
      </c>
      <c r="M31" s="13" t="s">
        <v>160</v>
      </c>
      <c r="N31" s="13" t="s">
        <v>160</v>
      </c>
      <c r="O31" s="13" t="s">
        <v>160</v>
      </c>
      <c r="P31" s="13" t="s">
        <v>160</v>
      </c>
      <c r="Q31" s="13" t="s">
        <v>160</v>
      </c>
      <c r="R31" s="13" t="s">
        <v>160</v>
      </c>
      <c r="S31" s="13" t="s">
        <v>160</v>
      </c>
      <c r="T31" s="13" t="s">
        <v>160</v>
      </c>
      <c r="U31" s="13" t="s">
        <v>160</v>
      </c>
      <c r="V31" s="13" t="s">
        <v>160</v>
      </c>
      <c r="W31" s="13" t="s">
        <v>159</v>
      </c>
      <c r="X31" s="13" t="s">
        <v>159</v>
      </c>
      <c r="Y31" s="13" t="s">
        <v>182</v>
      </c>
      <c r="Z31" s="13" t="s">
        <v>160</v>
      </c>
      <c r="AA31" s="13" t="s">
        <v>159</v>
      </c>
      <c r="AB31" s="13" t="s">
        <v>159</v>
      </c>
      <c r="AC31" s="9">
        <f t="shared" si="0"/>
        <v>14</v>
      </c>
      <c r="AD31" s="9">
        <f t="shared" si="1"/>
        <v>7</v>
      </c>
      <c r="AE31" s="10">
        <f t="shared" si="2"/>
        <v>-35</v>
      </c>
    </row>
    <row r="32" spans="1:31" ht="21" customHeight="1" x14ac:dyDescent="0.35">
      <c r="A32" s="6">
        <v>31</v>
      </c>
      <c r="B32" s="6" t="s">
        <v>733</v>
      </c>
      <c r="C32" s="6" t="s">
        <v>734</v>
      </c>
      <c r="D32" s="7" t="s">
        <v>735</v>
      </c>
      <c r="E32" s="8" t="s">
        <v>159</v>
      </c>
      <c r="F32" s="8" t="s">
        <v>159</v>
      </c>
      <c r="G32" s="8" t="s">
        <v>159</v>
      </c>
      <c r="H32" s="8" t="s">
        <v>160</v>
      </c>
      <c r="I32" s="8" t="s">
        <v>159</v>
      </c>
      <c r="J32" s="8" t="s">
        <v>159</v>
      </c>
      <c r="K32" s="8" t="s">
        <v>159</v>
      </c>
      <c r="L32" s="8" t="s">
        <v>159</v>
      </c>
      <c r="M32" s="8" t="s">
        <v>159</v>
      </c>
      <c r="N32" s="8" t="s">
        <v>159</v>
      </c>
      <c r="O32" s="8" t="s">
        <v>159</v>
      </c>
      <c r="P32" s="8" t="s">
        <v>160</v>
      </c>
      <c r="Q32" s="8" t="s">
        <v>159</v>
      </c>
      <c r="R32" s="8" t="s">
        <v>159</v>
      </c>
      <c r="S32" s="8" t="s">
        <v>159</v>
      </c>
      <c r="T32" s="8" t="s">
        <v>159</v>
      </c>
      <c r="U32" s="8" t="s">
        <v>159</v>
      </c>
      <c r="V32" s="8" t="s">
        <v>159</v>
      </c>
      <c r="W32" s="8" t="s">
        <v>160</v>
      </c>
      <c r="X32" s="8" t="s">
        <v>159</v>
      </c>
      <c r="Y32" s="8" t="s">
        <v>159</v>
      </c>
      <c r="Z32" s="8" t="s">
        <v>160</v>
      </c>
      <c r="AA32" s="8" t="s">
        <v>159</v>
      </c>
      <c r="AB32" s="8" t="s">
        <v>159</v>
      </c>
      <c r="AC32" s="9">
        <f t="shared" si="0"/>
        <v>4</v>
      </c>
      <c r="AD32" s="9">
        <f t="shared" si="1"/>
        <v>20</v>
      </c>
      <c r="AE32" s="10">
        <f t="shared" si="2"/>
        <v>80</v>
      </c>
    </row>
    <row r="33" spans="1:31" ht="21" customHeight="1" x14ac:dyDescent="0.35">
      <c r="A33" s="11">
        <v>32</v>
      </c>
      <c r="B33" s="11" t="s">
        <v>736</v>
      </c>
      <c r="C33" s="11" t="s">
        <v>737</v>
      </c>
      <c r="D33" s="12" t="s">
        <v>738</v>
      </c>
      <c r="E33" s="15" t="s">
        <v>159</v>
      </c>
      <c r="F33" s="13" t="s">
        <v>160</v>
      </c>
      <c r="G33" s="15" t="s">
        <v>159</v>
      </c>
      <c r="H33" s="13" t="s">
        <v>159</v>
      </c>
      <c r="I33" s="13" t="s">
        <v>159</v>
      </c>
      <c r="J33" s="13" t="s">
        <v>159</v>
      </c>
      <c r="K33" s="13" t="s">
        <v>160</v>
      </c>
      <c r="L33" s="13" t="s">
        <v>159</v>
      </c>
      <c r="M33" s="13" t="s">
        <v>159</v>
      </c>
      <c r="N33" s="13" t="s">
        <v>159</v>
      </c>
      <c r="O33" s="13" t="s">
        <v>159</v>
      </c>
      <c r="P33" s="13" t="s">
        <v>159</v>
      </c>
      <c r="Q33" s="13" t="s">
        <v>159</v>
      </c>
      <c r="R33" s="13" t="s">
        <v>159</v>
      </c>
      <c r="S33" s="13" t="s">
        <v>159</v>
      </c>
      <c r="T33" s="13" t="s">
        <v>159</v>
      </c>
      <c r="U33" s="13" t="s">
        <v>160</v>
      </c>
      <c r="V33" s="13" t="s">
        <v>159</v>
      </c>
      <c r="W33" s="13" t="s">
        <v>159</v>
      </c>
      <c r="X33" s="13" t="s">
        <v>160</v>
      </c>
      <c r="Y33" s="13" t="s">
        <v>159</v>
      </c>
      <c r="Z33" s="13" t="s">
        <v>159</v>
      </c>
      <c r="AA33" s="13" t="s">
        <v>159</v>
      </c>
      <c r="AB33" s="13" t="s">
        <v>159</v>
      </c>
      <c r="AC33" s="9">
        <f t="shared" si="0"/>
        <v>4</v>
      </c>
      <c r="AD33" s="9">
        <f t="shared" si="1"/>
        <v>20</v>
      </c>
      <c r="AE33" s="10">
        <f t="shared" si="2"/>
        <v>80</v>
      </c>
    </row>
    <row r="34" spans="1:31" ht="21" customHeight="1" x14ac:dyDescent="0.35">
      <c r="A34" s="1"/>
      <c r="B34" s="6" t="s">
        <v>739</v>
      </c>
      <c r="C34" s="6" t="s">
        <v>740</v>
      </c>
      <c r="D34" s="7" t="s">
        <v>741</v>
      </c>
      <c r="E34" s="8" t="s">
        <v>159</v>
      </c>
      <c r="F34" s="8" t="s">
        <v>159</v>
      </c>
      <c r="G34" s="8" t="s">
        <v>159</v>
      </c>
      <c r="H34" s="8" t="s">
        <v>159</v>
      </c>
      <c r="I34" s="8" t="s">
        <v>159</v>
      </c>
      <c r="J34" s="8" t="s">
        <v>182</v>
      </c>
      <c r="K34" s="8" t="s">
        <v>160</v>
      </c>
      <c r="L34" s="8" t="s">
        <v>159</v>
      </c>
      <c r="M34" s="8" t="s">
        <v>159</v>
      </c>
      <c r="N34" s="8" t="s">
        <v>159</v>
      </c>
      <c r="O34" s="8" t="s">
        <v>159</v>
      </c>
      <c r="P34" s="8" t="s">
        <v>159</v>
      </c>
      <c r="Q34" s="8" t="s">
        <v>160</v>
      </c>
      <c r="R34" s="8" t="s">
        <v>159</v>
      </c>
      <c r="S34" s="8" t="s">
        <v>159</v>
      </c>
      <c r="T34" s="8" t="s">
        <v>159</v>
      </c>
      <c r="U34" s="8" t="s">
        <v>159</v>
      </c>
      <c r="V34" s="8" t="s">
        <v>159</v>
      </c>
      <c r="W34" s="8" t="s">
        <v>159</v>
      </c>
      <c r="X34" s="8" t="s">
        <v>159</v>
      </c>
      <c r="Y34" s="8" t="s">
        <v>182</v>
      </c>
      <c r="Z34" s="8" t="s">
        <v>160</v>
      </c>
      <c r="AA34" s="8" t="s">
        <v>159</v>
      </c>
      <c r="AB34" s="8" t="s">
        <v>159</v>
      </c>
      <c r="AC34" s="9">
        <f t="shared" si="0"/>
        <v>3</v>
      </c>
      <c r="AD34" s="9">
        <f t="shared" si="1"/>
        <v>19</v>
      </c>
      <c r="AE34" s="10">
        <f t="shared" si="2"/>
        <v>80</v>
      </c>
    </row>
  </sheetData>
  <autoFilter ref="A1:AE34" xr:uid="{00000000-0009-0000-0000-00000F000000}"/>
  <conditionalFormatting sqref="B1:AE1">
    <cfRule type="cellIs" dxfId="14" priority="8" operator="equal">
      <formula>"Present"</formula>
    </cfRule>
    <cfRule type="cellIs" dxfId="13" priority="9" operator="equal">
      <formula>"Absent"</formula>
    </cfRule>
  </conditionalFormatting>
  <conditionalFormatting sqref="E2:H2 H3:H16 E3:G32 F33">
    <cfRule type="cellIs" dxfId="12" priority="22" operator="equal">
      <formula>"Present"</formula>
    </cfRule>
    <cfRule type="cellIs" dxfId="11" priority="23" operator="equal">
      <formula>"Absent"</formula>
    </cfRule>
  </conditionalFormatting>
  <conditionalFormatting sqref="E2:AB34">
    <cfRule type="cellIs" dxfId="10" priority="24" operator="equal">
      <formula>"Present"</formula>
    </cfRule>
    <cfRule type="cellIs" dxfId="9" priority="24" operator="equal">
      <formula>"Absent"</formula>
    </cfRule>
    <cfRule type="cellIs" dxfId="8" priority="25" operator="equal">
      <formula>"Late"</formula>
    </cfRule>
  </conditionalFormatting>
  <conditionalFormatting sqref="H17:AB33">
    <cfRule type="cellIs" dxfId="7" priority="2" operator="equal">
      <formula>"Present"</formula>
    </cfRule>
    <cfRule type="cellIs" dxfId="6" priority="3" operator="equal">
      <formula>"Absent"</formula>
    </cfRule>
  </conditionalFormatting>
  <conditionalFormatting sqref="I2:AB16">
    <cfRule type="cellIs" dxfId="5" priority="12" operator="equal">
      <formula>"Present"</formula>
    </cfRule>
    <cfRule type="cellIs" dxfId="4" priority="13" operator="equal">
      <formula>"Absent"</formula>
    </cfRule>
  </conditionalFormatting>
  <dataValidations count="3">
    <dataValidation type="list" allowBlank="1" showInputMessage="1" showErrorMessage="1" sqref="E1:AB1" xr:uid="{00000000-0002-0000-0F00-000000000000}">
      <formula1>$A$1:$AD$1</formula1>
      <formula2>0</formula2>
    </dataValidation>
    <dataValidation type="list" allowBlank="1" showInputMessage="1" showErrorMessage="1" sqref="E2:AB32 F33 H33:AB33" xr:uid="{00000000-0002-0000-0F00-000001000000}">
      <formula1>"Present,Absent,Excused absence"</formula1>
      <formula2>0</formula2>
    </dataValidation>
    <dataValidation type="list" allowBlank="1" showInputMessage="1" showErrorMessage="1" sqref="AC1:AE1" xr:uid="{00000000-0002-0000-0F00-000002000000}">
      <formula1>$A$1:$AE$1</formula1>
      <formula2>0</formula2>
    </dataValidation>
  </dataValidations>
  <pageMargins left="0.25" right="0.25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  <pageSetUpPr fitToPage="1"/>
  </sheetPr>
  <dimension ref="A1:AD37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8" sqref="G8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277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21" customHeight="1" x14ac:dyDescent="0.35">
      <c r="A2" s="6">
        <v>1</v>
      </c>
      <c r="B2" s="6" t="s">
        <v>156</v>
      </c>
      <c r="C2" s="6" t="s">
        <v>157</v>
      </c>
      <c r="D2" s="7" t="s">
        <v>158</v>
      </c>
      <c r="E2" s="18">
        <v>4</v>
      </c>
      <c r="F2" s="18">
        <v>9</v>
      </c>
      <c r="G2" s="18">
        <v>6</v>
      </c>
      <c r="H2" s="18">
        <v>5</v>
      </c>
      <c r="I2" s="18">
        <v>9</v>
      </c>
      <c r="J2" s="18">
        <v>3</v>
      </c>
      <c r="K2" s="18">
        <v>4</v>
      </c>
      <c r="L2" s="18">
        <v>10</v>
      </c>
      <c r="M2" s="18">
        <v>1</v>
      </c>
      <c r="N2" s="18">
        <v>2</v>
      </c>
      <c r="O2" s="18">
        <v>2</v>
      </c>
      <c r="P2" s="18">
        <v>0</v>
      </c>
      <c r="Q2" s="18">
        <v>2</v>
      </c>
      <c r="R2" s="18">
        <v>10</v>
      </c>
      <c r="S2" s="18">
        <v>10</v>
      </c>
      <c r="T2" s="18">
        <v>2</v>
      </c>
      <c r="U2" s="18">
        <v>7</v>
      </c>
      <c r="V2" s="18">
        <v>3</v>
      </c>
      <c r="W2" s="18">
        <v>3</v>
      </c>
      <c r="X2" s="18">
        <v>1</v>
      </c>
      <c r="Y2" s="18">
        <v>10</v>
      </c>
      <c r="Z2" s="18">
        <v>6</v>
      </c>
      <c r="AA2" s="18">
        <v>1</v>
      </c>
      <c r="AB2" s="18">
        <v>5</v>
      </c>
      <c r="AC2" s="18">
        <v>1</v>
      </c>
      <c r="AD2" s="10">
        <f t="shared" ref="AD2:AD37" si="0">SUM(E2:AC2)</f>
        <v>116</v>
      </c>
    </row>
    <row r="3" spans="1:30" ht="21" customHeight="1" x14ac:dyDescent="0.35">
      <c r="A3" s="11">
        <v>2</v>
      </c>
      <c r="B3" s="11" t="s">
        <v>161</v>
      </c>
      <c r="C3" s="11" t="s">
        <v>162</v>
      </c>
      <c r="D3" s="12" t="s">
        <v>163</v>
      </c>
      <c r="E3" s="19">
        <v>7</v>
      </c>
      <c r="F3" s="19">
        <v>7</v>
      </c>
      <c r="G3" s="19">
        <v>8</v>
      </c>
      <c r="H3" s="19">
        <v>6</v>
      </c>
      <c r="I3" s="19">
        <v>6</v>
      </c>
      <c r="J3" s="19">
        <v>2</v>
      </c>
      <c r="K3" s="19">
        <v>3</v>
      </c>
      <c r="L3" s="19">
        <v>2</v>
      </c>
      <c r="M3" s="19">
        <v>8</v>
      </c>
      <c r="N3" s="19">
        <v>10</v>
      </c>
      <c r="O3" s="19">
        <v>3</v>
      </c>
      <c r="P3" s="19">
        <v>1</v>
      </c>
      <c r="Q3" s="19">
        <v>7</v>
      </c>
      <c r="R3" s="19">
        <v>2</v>
      </c>
      <c r="S3" s="19">
        <v>2</v>
      </c>
      <c r="T3" s="19">
        <v>2</v>
      </c>
      <c r="U3" s="19">
        <v>45</v>
      </c>
      <c r="V3" s="19">
        <v>4</v>
      </c>
      <c r="W3" s="19">
        <v>10</v>
      </c>
      <c r="X3" s="19">
        <v>2</v>
      </c>
      <c r="Y3" s="19">
        <v>2</v>
      </c>
      <c r="Z3" s="19">
        <v>10</v>
      </c>
      <c r="AA3" s="19">
        <v>3</v>
      </c>
      <c r="AB3" s="19">
        <v>0</v>
      </c>
      <c r="AC3" s="19">
        <v>1</v>
      </c>
      <c r="AD3" s="10">
        <f t="shared" si="0"/>
        <v>153</v>
      </c>
    </row>
    <row r="4" spans="1:30" ht="21" customHeight="1" x14ac:dyDescent="0.35">
      <c r="A4" s="6">
        <v>3</v>
      </c>
      <c r="B4" s="6" t="s">
        <v>164</v>
      </c>
      <c r="C4" s="6" t="s">
        <v>165</v>
      </c>
      <c r="D4" s="7" t="s">
        <v>166</v>
      </c>
      <c r="E4" s="18">
        <v>6</v>
      </c>
      <c r="F4" s="18">
        <v>5</v>
      </c>
      <c r="G4" s="18">
        <v>6</v>
      </c>
      <c r="H4" s="18">
        <v>1</v>
      </c>
      <c r="I4" s="18">
        <v>9</v>
      </c>
      <c r="J4" s="18">
        <v>4</v>
      </c>
      <c r="K4" s="18">
        <v>6</v>
      </c>
      <c r="L4" s="18">
        <v>2</v>
      </c>
      <c r="M4" s="18">
        <v>9</v>
      </c>
      <c r="N4" s="18">
        <v>8</v>
      </c>
      <c r="O4" s="18">
        <v>4</v>
      </c>
      <c r="P4" s="18">
        <v>4</v>
      </c>
      <c r="Q4" s="18">
        <v>8</v>
      </c>
      <c r="R4" s="18">
        <v>7</v>
      </c>
      <c r="S4" s="18">
        <v>6</v>
      </c>
      <c r="T4" s="18">
        <v>2</v>
      </c>
      <c r="U4" s="18">
        <v>6</v>
      </c>
      <c r="V4" s="18">
        <v>4</v>
      </c>
      <c r="W4" s="18">
        <v>5</v>
      </c>
      <c r="X4" s="18">
        <v>10</v>
      </c>
      <c r="Y4" s="18">
        <v>8</v>
      </c>
      <c r="Z4" s="18">
        <v>3</v>
      </c>
      <c r="AA4" s="18">
        <v>1</v>
      </c>
      <c r="AB4" s="18">
        <v>7</v>
      </c>
      <c r="AC4" s="18">
        <v>9</v>
      </c>
      <c r="AD4" s="10">
        <f t="shared" si="0"/>
        <v>140</v>
      </c>
    </row>
    <row r="5" spans="1:30" ht="21" customHeight="1" x14ac:dyDescent="0.35">
      <c r="A5" s="11">
        <v>4</v>
      </c>
      <c r="B5" s="11" t="s">
        <v>167</v>
      </c>
      <c r="C5" s="11" t="s">
        <v>168</v>
      </c>
      <c r="D5" s="12" t="s">
        <v>169</v>
      </c>
      <c r="E5" s="19">
        <v>10</v>
      </c>
      <c r="F5" s="19">
        <v>8</v>
      </c>
      <c r="G5" s="19">
        <v>7</v>
      </c>
      <c r="H5" s="19">
        <v>6</v>
      </c>
      <c r="I5" s="19">
        <v>5</v>
      </c>
      <c r="J5" s="19">
        <v>0</v>
      </c>
      <c r="K5" s="19">
        <v>7</v>
      </c>
      <c r="L5" s="19">
        <v>7</v>
      </c>
      <c r="M5" s="19">
        <v>2</v>
      </c>
      <c r="N5" s="19">
        <v>6</v>
      </c>
      <c r="O5" s="19">
        <v>8</v>
      </c>
      <c r="P5" s="19">
        <v>4</v>
      </c>
      <c r="Q5" s="19">
        <v>6</v>
      </c>
      <c r="R5" s="19">
        <v>5</v>
      </c>
      <c r="S5" s="19">
        <v>2</v>
      </c>
      <c r="T5" s="19">
        <v>2</v>
      </c>
      <c r="U5" s="19">
        <v>6</v>
      </c>
      <c r="V5" s="19">
        <v>0</v>
      </c>
      <c r="W5" s="19">
        <v>3</v>
      </c>
      <c r="X5" s="19">
        <v>5</v>
      </c>
      <c r="Y5" s="19">
        <v>8</v>
      </c>
      <c r="Z5" s="19">
        <v>4</v>
      </c>
      <c r="AA5" s="19">
        <v>1</v>
      </c>
      <c r="AB5" s="19">
        <v>3</v>
      </c>
      <c r="AC5" s="19">
        <v>9</v>
      </c>
      <c r="AD5" s="10">
        <f t="shared" si="0"/>
        <v>124</v>
      </c>
    </row>
    <row r="6" spans="1:30" ht="21" customHeight="1" x14ac:dyDescent="0.35">
      <c r="A6" s="6">
        <v>5</v>
      </c>
      <c r="B6" s="6" t="s">
        <v>170</v>
      </c>
      <c r="C6" s="6" t="s">
        <v>171</v>
      </c>
      <c r="D6" s="7" t="s">
        <v>172</v>
      </c>
      <c r="E6" s="18">
        <v>9</v>
      </c>
      <c r="F6" s="18">
        <v>3</v>
      </c>
      <c r="G6" s="18">
        <v>9</v>
      </c>
      <c r="H6" s="18">
        <v>8</v>
      </c>
      <c r="I6" s="18">
        <v>2</v>
      </c>
      <c r="J6" s="18">
        <v>3</v>
      </c>
      <c r="K6" s="18">
        <v>10</v>
      </c>
      <c r="L6" s="18">
        <v>3</v>
      </c>
      <c r="M6" s="18">
        <v>8</v>
      </c>
      <c r="N6" s="18">
        <v>9</v>
      </c>
      <c r="O6" s="18">
        <v>8</v>
      </c>
      <c r="P6" s="18">
        <v>6</v>
      </c>
      <c r="Q6" s="18">
        <v>7</v>
      </c>
      <c r="R6" s="18">
        <v>7</v>
      </c>
      <c r="S6" s="18">
        <v>0</v>
      </c>
      <c r="T6" s="18">
        <v>2</v>
      </c>
      <c r="U6" s="18">
        <v>5</v>
      </c>
      <c r="V6" s="18">
        <v>7</v>
      </c>
      <c r="W6" s="18">
        <v>0</v>
      </c>
      <c r="X6" s="18">
        <v>5</v>
      </c>
      <c r="Y6" s="18">
        <v>9</v>
      </c>
      <c r="Z6" s="18">
        <v>7</v>
      </c>
      <c r="AA6" s="18">
        <v>0</v>
      </c>
      <c r="AB6" s="18">
        <v>3</v>
      </c>
      <c r="AC6" s="18">
        <v>6</v>
      </c>
      <c r="AD6" s="10">
        <f t="shared" si="0"/>
        <v>136</v>
      </c>
    </row>
    <row r="7" spans="1:30" ht="21" customHeight="1" x14ac:dyDescent="0.35">
      <c r="A7" s="11">
        <v>6</v>
      </c>
      <c r="B7" s="11" t="s">
        <v>173</v>
      </c>
      <c r="C7" s="11" t="s">
        <v>174</v>
      </c>
      <c r="D7" s="12" t="s">
        <v>175</v>
      </c>
      <c r="E7" s="19">
        <v>8</v>
      </c>
      <c r="F7" s="19">
        <v>0</v>
      </c>
      <c r="G7" s="19">
        <v>9</v>
      </c>
      <c r="H7" s="19">
        <v>9</v>
      </c>
      <c r="I7" s="19">
        <v>0</v>
      </c>
      <c r="J7" s="19">
        <v>7</v>
      </c>
      <c r="K7" s="19">
        <v>7</v>
      </c>
      <c r="L7" s="19">
        <v>2</v>
      </c>
      <c r="M7" s="19">
        <v>10</v>
      </c>
      <c r="N7" s="19">
        <v>2</v>
      </c>
      <c r="O7" s="19">
        <v>2</v>
      </c>
      <c r="P7" s="19">
        <v>9</v>
      </c>
      <c r="Q7" s="19">
        <v>10</v>
      </c>
      <c r="R7" s="19">
        <v>8</v>
      </c>
      <c r="S7" s="19">
        <v>6</v>
      </c>
      <c r="T7" s="19">
        <v>10</v>
      </c>
      <c r="U7" s="19">
        <v>3</v>
      </c>
      <c r="V7" s="19">
        <v>10</v>
      </c>
      <c r="W7" s="19">
        <v>6</v>
      </c>
      <c r="X7" s="19">
        <v>8</v>
      </c>
      <c r="Y7" s="19">
        <v>2</v>
      </c>
      <c r="Z7" s="19">
        <v>4</v>
      </c>
      <c r="AA7" s="19">
        <v>2</v>
      </c>
      <c r="AB7" s="19">
        <v>8</v>
      </c>
      <c r="AC7" s="19">
        <v>5</v>
      </c>
      <c r="AD7" s="10">
        <f t="shared" si="0"/>
        <v>147</v>
      </c>
    </row>
    <row r="8" spans="1:30" ht="21" customHeight="1" x14ac:dyDescent="0.35">
      <c r="A8" s="6">
        <v>7</v>
      </c>
      <c r="B8" s="6" t="s">
        <v>176</v>
      </c>
      <c r="C8" s="6" t="s">
        <v>177</v>
      </c>
      <c r="D8" s="7" t="s">
        <v>178</v>
      </c>
      <c r="E8" s="18">
        <v>8</v>
      </c>
      <c r="F8" s="18">
        <v>5</v>
      </c>
      <c r="G8" s="18">
        <v>2</v>
      </c>
      <c r="H8" s="18">
        <v>6</v>
      </c>
      <c r="I8" s="18">
        <v>5</v>
      </c>
      <c r="J8" s="18">
        <v>4</v>
      </c>
      <c r="K8" s="18">
        <v>3</v>
      </c>
      <c r="L8" s="18">
        <v>4</v>
      </c>
      <c r="M8" s="18">
        <v>8</v>
      </c>
      <c r="N8" s="18">
        <v>9</v>
      </c>
      <c r="O8" s="18">
        <v>5</v>
      </c>
      <c r="P8" s="18">
        <v>6</v>
      </c>
      <c r="Q8" s="18">
        <v>8</v>
      </c>
      <c r="R8" s="18">
        <v>5</v>
      </c>
      <c r="S8" s="18">
        <v>1</v>
      </c>
      <c r="T8" s="18">
        <v>1</v>
      </c>
      <c r="U8" s="18">
        <v>7</v>
      </c>
      <c r="V8" s="18">
        <v>3</v>
      </c>
      <c r="W8" s="18">
        <v>7</v>
      </c>
      <c r="X8" s="18">
        <v>2</v>
      </c>
      <c r="Y8" s="18">
        <v>5</v>
      </c>
      <c r="Z8" s="18">
        <v>8</v>
      </c>
      <c r="AA8" s="18">
        <v>10</v>
      </c>
      <c r="AB8" s="18">
        <v>5</v>
      </c>
      <c r="AC8" s="18">
        <v>1</v>
      </c>
      <c r="AD8" s="10">
        <f t="shared" si="0"/>
        <v>128</v>
      </c>
    </row>
    <row r="9" spans="1:30" ht="21" customHeight="1" x14ac:dyDescent="0.35">
      <c r="A9" s="11">
        <v>8</v>
      </c>
      <c r="B9" s="11" t="s">
        <v>179</v>
      </c>
      <c r="C9" s="11" t="s">
        <v>180</v>
      </c>
      <c r="D9" s="12" t="s">
        <v>181</v>
      </c>
      <c r="E9" s="19">
        <v>0</v>
      </c>
      <c r="F9" s="19">
        <v>1</v>
      </c>
      <c r="G9" s="19">
        <v>2</v>
      </c>
      <c r="H9" s="19">
        <v>5</v>
      </c>
      <c r="I9" s="19">
        <v>6</v>
      </c>
      <c r="J9" s="19">
        <v>9</v>
      </c>
      <c r="K9" s="19">
        <v>0</v>
      </c>
      <c r="L9" s="19">
        <v>9</v>
      </c>
      <c r="M9" s="19">
        <v>2</v>
      </c>
      <c r="N9" s="19">
        <v>0</v>
      </c>
      <c r="O9" s="19">
        <v>7</v>
      </c>
      <c r="P9" s="19">
        <v>3</v>
      </c>
      <c r="Q9" s="19">
        <v>2</v>
      </c>
      <c r="R9" s="19">
        <v>7</v>
      </c>
      <c r="S9" s="19">
        <v>10</v>
      </c>
      <c r="T9" s="19">
        <v>2</v>
      </c>
      <c r="U9" s="19">
        <v>2</v>
      </c>
      <c r="V9" s="19">
        <v>5</v>
      </c>
      <c r="W9" s="19">
        <v>10</v>
      </c>
      <c r="X9" s="19">
        <v>6</v>
      </c>
      <c r="Y9" s="19">
        <v>7</v>
      </c>
      <c r="Z9" s="19">
        <v>6</v>
      </c>
      <c r="AA9" s="19">
        <v>9</v>
      </c>
      <c r="AB9" s="19">
        <v>5</v>
      </c>
      <c r="AC9" s="19">
        <v>3</v>
      </c>
      <c r="AD9" s="10">
        <f t="shared" si="0"/>
        <v>118</v>
      </c>
    </row>
    <row r="10" spans="1:30" ht="21" customHeight="1" x14ac:dyDescent="0.35">
      <c r="A10" s="6">
        <v>9</v>
      </c>
      <c r="B10" s="6" t="s">
        <v>183</v>
      </c>
      <c r="C10" s="6" t="s">
        <v>184</v>
      </c>
      <c r="D10" s="7" t="s">
        <v>185</v>
      </c>
      <c r="E10" s="18">
        <v>1</v>
      </c>
      <c r="F10" s="18">
        <v>9</v>
      </c>
      <c r="G10" s="18">
        <v>9</v>
      </c>
      <c r="H10" s="18">
        <v>8</v>
      </c>
      <c r="I10" s="18">
        <v>4</v>
      </c>
      <c r="J10" s="18">
        <v>3</v>
      </c>
      <c r="K10" s="18">
        <v>7</v>
      </c>
      <c r="L10" s="18">
        <v>3</v>
      </c>
      <c r="M10" s="18">
        <v>2</v>
      </c>
      <c r="N10" s="18">
        <v>6</v>
      </c>
      <c r="O10" s="18">
        <v>10</v>
      </c>
      <c r="P10" s="18">
        <v>2</v>
      </c>
      <c r="Q10" s="18">
        <v>5</v>
      </c>
      <c r="R10" s="18">
        <v>3</v>
      </c>
      <c r="S10" s="18">
        <v>2</v>
      </c>
      <c r="T10" s="18">
        <v>5</v>
      </c>
      <c r="U10" s="18">
        <v>3</v>
      </c>
      <c r="V10" s="18">
        <v>2</v>
      </c>
      <c r="W10" s="18">
        <v>7</v>
      </c>
      <c r="X10" s="18">
        <v>7</v>
      </c>
      <c r="Y10" s="18">
        <v>5</v>
      </c>
      <c r="Z10" s="18">
        <v>5</v>
      </c>
      <c r="AA10" s="18">
        <v>4</v>
      </c>
      <c r="AB10" s="18">
        <v>6</v>
      </c>
      <c r="AC10" s="18">
        <v>3</v>
      </c>
      <c r="AD10" s="10">
        <f t="shared" si="0"/>
        <v>121</v>
      </c>
    </row>
    <row r="11" spans="1:30" ht="21" customHeight="1" x14ac:dyDescent="0.35">
      <c r="A11" s="11">
        <v>10</v>
      </c>
      <c r="B11" s="11" t="s">
        <v>186</v>
      </c>
      <c r="C11" s="11" t="s">
        <v>187</v>
      </c>
      <c r="D11" s="12" t="s">
        <v>188</v>
      </c>
      <c r="E11" s="19">
        <v>7</v>
      </c>
      <c r="F11" s="19">
        <v>3</v>
      </c>
      <c r="G11" s="19">
        <v>9</v>
      </c>
      <c r="H11" s="19">
        <v>0</v>
      </c>
      <c r="I11" s="19">
        <v>2</v>
      </c>
      <c r="J11" s="19">
        <v>7</v>
      </c>
      <c r="K11" s="19">
        <v>4</v>
      </c>
      <c r="L11" s="19">
        <v>2</v>
      </c>
      <c r="M11" s="19">
        <v>0</v>
      </c>
      <c r="N11" s="19">
        <v>6</v>
      </c>
      <c r="O11" s="19">
        <v>6</v>
      </c>
      <c r="P11" s="19">
        <v>1</v>
      </c>
      <c r="Q11" s="19">
        <v>1</v>
      </c>
      <c r="R11" s="19">
        <v>5</v>
      </c>
      <c r="S11" s="19">
        <v>2</v>
      </c>
      <c r="T11" s="19">
        <v>5</v>
      </c>
      <c r="U11" s="19">
        <v>9</v>
      </c>
      <c r="V11" s="19">
        <v>9</v>
      </c>
      <c r="W11" s="19">
        <v>0</v>
      </c>
      <c r="X11" s="19">
        <v>0</v>
      </c>
      <c r="Y11" s="19">
        <v>7</v>
      </c>
      <c r="Z11" s="19">
        <v>8</v>
      </c>
      <c r="AA11" s="19">
        <v>5</v>
      </c>
      <c r="AB11" s="19">
        <v>9</v>
      </c>
      <c r="AC11" s="19">
        <v>3</v>
      </c>
      <c r="AD11" s="10">
        <f t="shared" si="0"/>
        <v>110</v>
      </c>
    </row>
    <row r="12" spans="1:30" ht="21" customHeight="1" x14ac:dyDescent="0.35">
      <c r="A12" s="6">
        <v>11</v>
      </c>
      <c r="B12" s="6" t="s">
        <v>189</v>
      </c>
      <c r="C12" s="6" t="s">
        <v>190</v>
      </c>
      <c r="D12" s="7" t="s">
        <v>191</v>
      </c>
      <c r="E12" s="18">
        <v>6</v>
      </c>
      <c r="F12" s="18">
        <v>8</v>
      </c>
      <c r="G12" s="18">
        <v>5</v>
      </c>
      <c r="H12" s="18">
        <v>5</v>
      </c>
      <c r="I12" s="18">
        <v>5</v>
      </c>
      <c r="J12" s="18">
        <v>2</v>
      </c>
      <c r="K12" s="18">
        <v>6</v>
      </c>
      <c r="L12" s="18">
        <v>5</v>
      </c>
      <c r="M12" s="18">
        <v>2</v>
      </c>
      <c r="N12" s="18">
        <v>6</v>
      </c>
      <c r="O12" s="18">
        <v>0</v>
      </c>
      <c r="P12" s="18">
        <v>5</v>
      </c>
      <c r="Q12" s="18">
        <v>9</v>
      </c>
      <c r="R12" s="18">
        <v>8</v>
      </c>
      <c r="S12" s="18">
        <v>7</v>
      </c>
      <c r="T12" s="18">
        <v>2</v>
      </c>
      <c r="U12" s="18">
        <v>10</v>
      </c>
      <c r="V12" s="18">
        <v>5</v>
      </c>
      <c r="W12" s="18">
        <v>5</v>
      </c>
      <c r="X12" s="18">
        <v>1</v>
      </c>
      <c r="Y12" s="18">
        <v>3</v>
      </c>
      <c r="Z12" s="18">
        <v>4</v>
      </c>
      <c r="AA12" s="18">
        <v>7</v>
      </c>
      <c r="AB12" s="18">
        <v>5</v>
      </c>
      <c r="AC12" s="18">
        <v>6</v>
      </c>
      <c r="AD12" s="10">
        <f t="shared" si="0"/>
        <v>127</v>
      </c>
    </row>
    <row r="13" spans="1:30" ht="21" customHeight="1" x14ac:dyDescent="0.35">
      <c r="A13" s="11">
        <v>12</v>
      </c>
      <c r="B13" s="11" t="s">
        <v>192</v>
      </c>
      <c r="C13" s="11" t="s">
        <v>193</v>
      </c>
      <c r="D13" s="12" t="s">
        <v>194</v>
      </c>
      <c r="E13" s="19">
        <v>0</v>
      </c>
      <c r="F13" s="19">
        <v>9</v>
      </c>
      <c r="G13" s="19">
        <v>4</v>
      </c>
      <c r="H13" s="19">
        <v>7</v>
      </c>
      <c r="I13" s="19">
        <v>4</v>
      </c>
      <c r="J13" s="19">
        <v>10</v>
      </c>
      <c r="K13" s="19">
        <v>6</v>
      </c>
      <c r="L13" s="19">
        <v>3</v>
      </c>
      <c r="M13" s="19">
        <v>10</v>
      </c>
      <c r="N13" s="19">
        <v>5</v>
      </c>
      <c r="O13" s="19">
        <v>1</v>
      </c>
      <c r="P13" s="19">
        <v>6</v>
      </c>
      <c r="Q13" s="19">
        <v>5</v>
      </c>
      <c r="R13" s="19">
        <v>1</v>
      </c>
      <c r="S13" s="19">
        <v>3</v>
      </c>
      <c r="T13" s="19">
        <v>10</v>
      </c>
      <c r="U13" s="19">
        <v>10</v>
      </c>
      <c r="V13" s="19">
        <v>5</v>
      </c>
      <c r="W13" s="19">
        <v>7</v>
      </c>
      <c r="X13" s="19">
        <v>5</v>
      </c>
      <c r="Y13" s="19">
        <v>1</v>
      </c>
      <c r="Z13" s="19">
        <v>7</v>
      </c>
      <c r="AA13" s="19">
        <v>8</v>
      </c>
      <c r="AB13" s="19">
        <v>3</v>
      </c>
      <c r="AC13" s="19">
        <v>2</v>
      </c>
      <c r="AD13" s="10">
        <f t="shared" si="0"/>
        <v>132</v>
      </c>
    </row>
    <row r="14" spans="1:30" ht="21" customHeight="1" x14ac:dyDescent="0.35">
      <c r="A14" s="6">
        <v>13</v>
      </c>
      <c r="B14" s="6" t="s">
        <v>195</v>
      </c>
      <c r="C14" s="6" t="s">
        <v>196</v>
      </c>
      <c r="D14" s="7" t="s">
        <v>197</v>
      </c>
      <c r="E14" s="18">
        <v>0</v>
      </c>
      <c r="F14" s="18">
        <v>2</v>
      </c>
      <c r="G14" s="18">
        <v>0</v>
      </c>
      <c r="H14" s="18">
        <v>7</v>
      </c>
      <c r="I14" s="18">
        <v>5</v>
      </c>
      <c r="J14" s="18">
        <v>4</v>
      </c>
      <c r="K14" s="18">
        <v>5</v>
      </c>
      <c r="L14" s="18">
        <v>5</v>
      </c>
      <c r="M14" s="18">
        <v>10</v>
      </c>
      <c r="N14" s="18">
        <v>7</v>
      </c>
      <c r="O14" s="18">
        <v>10</v>
      </c>
      <c r="P14" s="18">
        <v>4</v>
      </c>
      <c r="Q14" s="18">
        <v>0</v>
      </c>
      <c r="R14" s="18">
        <v>5</v>
      </c>
      <c r="S14" s="18">
        <v>7</v>
      </c>
      <c r="T14" s="18">
        <v>2</v>
      </c>
      <c r="U14" s="18">
        <v>0</v>
      </c>
      <c r="V14" s="18">
        <v>9</v>
      </c>
      <c r="W14" s="18">
        <v>1</v>
      </c>
      <c r="X14" s="18">
        <v>4</v>
      </c>
      <c r="Y14" s="18">
        <v>7</v>
      </c>
      <c r="Z14" s="18">
        <v>4</v>
      </c>
      <c r="AA14" s="18">
        <v>7</v>
      </c>
      <c r="AB14" s="18">
        <v>6</v>
      </c>
      <c r="AC14" s="18">
        <v>5</v>
      </c>
      <c r="AD14" s="10">
        <f t="shared" si="0"/>
        <v>116</v>
      </c>
    </row>
    <row r="15" spans="1:30" ht="21" customHeight="1" x14ac:dyDescent="0.35">
      <c r="A15" s="11">
        <v>14</v>
      </c>
      <c r="B15" s="11" t="s">
        <v>198</v>
      </c>
      <c r="C15" s="11" t="s">
        <v>199</v>
      </c>
      <c r="D15" s="12" t="s">
        <v>200</v>
      </c>
      <c r="E15" s="19">
        <v>5</v>
      </c>
      <c r="F15" s="19">
        <v>2</v>
      </c>
      <c r="G15" s="19">
        <v>5</v>
      </c>
      <c r="H15" s="19">
        <v>10</v>
      </c>
      <c r="I15" s="19">
        <v>8</v>
      </c>
      <c r="J15" s="19">
        <v>3</v>
      </c>
      <c r="K15" s="19">
        <v>0</v>
      </c>
      <c r="L15" s="19">
        <v>3</v>
      </c>
      <c r="M15" s="19">
        <v>0</v>
      </c>
      <c r="N15" s="19">
        <v>7</v>
      </c>
      <c r="O15" s="19">
        <v>9</v>
      </c>
      <c r="P15" s="19">
        <v>8</v>
      </c>
      <c r="Q15" s="19">
        <v>7</v>
      </c>
      <c r="R15" s="19">
        <v>7</v>
      </c>
      <c r="S15" s="19">
        <v>4</v>
      </c>
      <c r="T15" s="19">
        <v>2</v>
      </c>
      <c r="U15" s="19">
        <v>5</v>
      </c>
      <c r="V15" s="19">
        <v>4</v>
      </c>
      <c r="W15" s="19">
        <v>3</v>
      </c>
      <c r="X15" s="19">
        <v>3</v>
      </c>
      <c r="Y15" s="19">
        <v>1</v>
      </c>
      <c r="Z15" s="19">
        <v>4</v>
      </c>
      <c r="AA15" s="19">
        <v>4</v>
      </c>
      <c r="AB15" s="19">
        <v>6</v>
      </c>
      <c r="AC15" s="19">
        <v>2</v>
      </c>
      <c r="AD15" s="10">
        <f t="shared" si="0"/>
        <v>112</v>
      </c>
    </row>
    <row r="16" spans="1:30" ht="21" customHeight="1" x14ac:dyDescent="0.35">
      <c r="A16" s="6">
        <v>15</v>
      </c>
      <c r="B16" s="6" t="s">
        <v>201</v>
      </c>
      <c r="C16" s="6" t="s">
        <v>202</v>
      </c>
      <c r="D16" s="7" t="s">
        <v>203</v>
      </c>
      <c r="E16" s="18">
        <v>2</v>
      </c>
      <c r="F16" s="18">
        <v>3</v>
      </c>
      <c r="G16" s="18">
        <v>9</v>
      </c>
      <c r="H16" s="18">
        <v>2</v>
      </c>
      <c r="I16" s="18">
        <v>10</v>
      </c>
      <c r="J16" s="18">
        <v>0</v>
      </c>
      <c r="K16" s="18">
        <v>8</v>
      </c>
      <c r="L16" s="18">
        <v>5</v>
      </c>
      <c r="M16" s="18">
        <v>2</v>
      </c>
      <c r="N16" s="18">
        <v>9</v>
      </c>
      <c r="O16" s="18">
        <v>0</v>
      </c>
      <c r="P16" s="18">
        <v>5</v>
      </c>
      <c r="Q16" s="18">
        <v>1</v>
      </c>
      <c r="R16" s="18">
        <v>2</v>
      </c>
      <c r="S16" s="18">
        <v>5</v>
      </c>
      <c r="T16" s="18">
        <v>2</v>
      </c>
      <c r="U16" s="18">
        <v>10</v>
      </c>
      <c r="V16" s="18">
        <v>3</v>
      </c>
      <c r="W16" s="18">
        <v>10</v>
      </c>
      <c r="X16" s="18">
        <v>5</v>
      </c>
      <c r="Y16" s="18">
        <v>1</v>
      </c>
      <c r="Z16" s="18">
        <v>3</v>
      </c>
      <c r="AA16" s="18">
        <v>10</v>
      </c>
      <c r="AB16" s="18">
        <v>2</v>
      </c>
      <c r="AC16" s="18">
        <v>10</v>
      </c>
      <c r="AD16" s="10">
        <f t="shared" si="0"/>
        <v>119</v>
      </c>
    </row>
    <row r="17" spans="1:30" ht="21" customHeight="1" x14ac:dyDescent="0.35">
      <c r="A17" s="11">
        <v>16</v>
      </c>
      <c r="B17" s="11" t="s">
        <v>204</v>
      </c>
      <c r="C17" s="11" t="s">
        <v>205</v>
      </c>
      <c r="D17" s="12" t="s">
        <v>206</v>
      </c>
      <c r="E17" s="19">
        <v>5</v>
      </c>
      <c r="F17" s="19">
        <v>7</v>
      </c>
      <c r="G17" s="19">
        <v>6</v>
      </c>
      <c r="H17" s="19">
        <v>3</v>
      </c>
      <c r="I17" s="19">
        <v>0</v>
      </c>
      <c r="J17" s="19">
        <v>4</v>
      </c>
      <c r="K17" s="19">
        <v>1</v>
      </c>
      <c r="L17" s="19">
        <v>9</v>
      </c>
      <c r="M17" s="19">
        <v>10</v>
      </c>
      <c r="N17" s="19">
        <v>6</v>
      </c>
      <c r="O17" s="19">
        <v>6</v>
      </c>
      <c r="P17" s="19">
        <v>8</v>
      </c>
      <c r="Q17" s="19">
        <v>7</v>
      </c>
      <c r="R17" s="19">
        <v>8</v>
      </c>
      <c r="S17" s="19">
        <v>6</v>
      </c>
      <c r="T17" s="19">
        <v>4</v>
      </c>
      <c r="U17" s="19">
        <v>1</v>
      </c>
      <c r="V17" s="19">
        <v>0</v>
      </c>
      <c r="W17" s="19">
        <v>7</v>
      </c>
      <c r="X17" s="19">
        <v>9</v>
      </c>
      <c r="Y17" s="19">
        <v>0</v>
      </c>
      <c r="Z17" s="19">
        <v>7</v>
      </c>
      <c r="AA17" s="19">
        <v>0</v>
      </c>
      <c r="AB17" s="19">
        <v>6</v>
      </c>
      <c r="AC17" s="19">
        <v>1</v>
      </c>
      <c r="AD17" s="10">
        <f t="shared" si="0"/>
        <v>121</v>
      </c>
    </row>
    <row r="18" spans="1:30" ht="21" customHeight="1" x14ac:dyDescent="0.35">
      <c r="A18" s="6">
        <v>17</v>
      </c>
      <c r="B18" s="6" t="s">
        <v>207</v>
      </c>
      <c r="C18" s="6" t="s">
        <v>208</v>
      </c>
      <c r="D18" s="7" t="s">
        <v>209</v>
      </c>
      <c r="E18" s="18">
        <v>3</v>
      </c>
      <c r="F18" s="18">
        <v>10</v>
      </c>
      <c r="G18" s="18">
        <v>9</v>
      </c>
      <c r="H18" s="18">
        <v>10</v>
      </c>
      <c r="I18" s="18">
        <v>7</v>
      </c>
      <c r="J18" s="18">
        <v>6</v>
      </c>
      <c r="K18" s="18">
        <v>7</v>
      </c>
      <c r="L18" s="18">
        <v>0</v>
      </c>
      <c r="M18" s="18">
        <v>2</v>
      </c>
      <c r="N18" s="18">
        <v>4</v>
      </c>
      <c r="O18" s="18">
        <v>2</v>
      </c>
      <c r="P18" s="18">
        <v>10</v>
      </c>
      <c r="Q18" s="18">
        <v>2</v>
      </c>
      <c r="R18" s="18">
        <v>1</v>
      </c>
      <c r="S18" s="18">
        <v>2</v>
      </c>
      <c r="T18" s="18">
        <v>5</v>
      </c>
      <c r="U18" s="18">
        <v>1</v>
      </c>
      <c r="V18" s="18">
        <v>5</v>
      </c>
      <c r="W18" s="18">
        <v>9</v>
      </c>
      <c r="X18" s="18">
        <v>0</v>
      </c>
      <c r="Y18" s="18">
        <v>10</v>
      </c>
      <c r="Z18" s="18">
        <v>10</v>
      </c>
      <c r="AA18" s="18">
        <v>1</v>
      </c>
      <c r="AB18" s="18">
        <v>0</v>
      </c>
      <c r="AC18" s="18">
        <v>8</v>
      </c>
      <c r="AD18" s="10">
        <f t="shared" si="0"/>
        <v>124</v>
      </c>
    </row>
    <row r="19" spans="1:30" ht="21" customHeight="1" x14ac:dyDescent="0.35">
      <c r="A19" s="11">
        <v>18</v>
      </c>
      <c r="B19" s="11" t="s">
        <v>210</v>
      </c>
      <c r="C19" s="11" t="s">
        <v>211</v>
      </c>
      <c r="D19" s="12" t="s">
        <v>212</v>
      </c>
      <c r="E19" s="19">
        <v>10</v>
      </c>
      <c r="F19" s="19">
        <v>1</v>
      </c>
      <c r="G19" s="19">
        <v>1</v>
      </c>
      <c r="H19" s="19">
        <v>10</v>
      </c>
      <c r="I19" s="19">
        <v>4</v>
      </c>
      <c r="J19" s="19">
        <v>3</v>
      </c>
      <c r="K19" s="19">
        <v>3</v>
      </c>
      <c r="L19" s="19">
        <v>9</v>
      </c>
      <c r="M19" s="19">
        <v>10</v>
      </c>
      <c r="N19" s="19">
        <v>8</v>
      </c>
      <c r="O19" s="19">
        <v>7</v>
      </c>
      <c r="P19" s="19">
        <v>7</v>
      </c>
      <c r="Q19" s="19">
        <v>4</v>
      </c>
      <c r="R19" s="19">
        <v>6</v>
      </c>
      <c r="S19" s="19">
        <v>4</v>
      </c>
      <c r="T19" s="19">
        <v>2</v>
      </c>
      <c r="U19" s="19">
        <v>1</v>
      </c>
      <c r="V19" s="19">
        <v>0</v>
      </c>
      <c r="W19" s="19">
        <v>7</v>
      </c>
      <c r="X19" s="19">
        <v>4</v>
      </c>
      <c r="Y19" s="19">
        <v>8</v>
      </c>
      <c r="Z19" s="19">
        <v>2</v>
      </c>
      <c r="AA19" s="19">
        <v>6</v>
      </c>
      <c r="AB19" s="19">
        <v>7</v>
      </c>
      <c r="AC19" s="19">
        <v>3</v>
      </c>
      <c r="AD19" s="10">
        <f t="shared" si="0"/>
        <v>127</v>
      </c>
    </row>
    <row r="20" spans="1:30" ht="21" customHeight="1" x14ac:dyDescent="0.35">
      <c r="A20" s="6">
        <v>19</v>
      </c>
      <c r="B20" s="6" t="s">
        <v>213</v>
      </c>
      <c r="C20" s="6" t="s">
        <v>214</v>
      </c>
      <c r="D20" s="7" t="s">
        <v>215</v>
      </c>
      <c r="E20" s="18">
        <v>9</v>
      </c>
      <c r="F20" s="18">
        <v>8</v>
      </c>
      <c r="G20" s="18">
        <v>2</v>
      </c>
      <c r="H20" s="18">
        <v>0</v>
      </c>
      <c r="I20" s="18">
        <v>3</v>
      </c>
      <c r="J20" s="18">
        <v>5</v>
      </c>
      <c r="K20" s="18">
        <v>4</v>
      </c>
      <c r="L20" s="18">
        <v>7</v>
      </c>
      <c r="M20" s="18">
        <v>4</v>
      </c>
      <c r="N20" s="18">
        <v>9</v>
      </c>
      <c r="O20" s="18">
        <v>6</v>
      </c>
      <c r="P20" s="18">
        <v>0</v>
      </c>
      <c r="Q20" s="18">
        <v>6</v>
      </c>
      <c r="R20" s="18">
        <v>4</v>
      </c>
      <c r="S20" s="18">
        <v>1</v>
      </c>
      <c r="T20" s="18">
        <v>6</v>
      </c>
      <c r="U20" s="18">
        <v>0</v>
      </c>
      <c r="V20" s="18">
        <v>8</v>
      </c>
      <c r="W20" s="18">
        <v>2</v>
      </c>
      <c r="X20" s="18">
        <v>0</v>
      </c>
      <c r="Y20" s="18">
        <v>4</v>
      </c>
      <c r="Z20" s="18">
        <v>1</v>
      </c>
      <c r="AA20" s="18">
        <v>6</v>
      </c>
      <c r="AB20" s="18">
        <v>8</v>
      </c>
      <c r="AC20" s="18">
        <v>10</v>
      </c>
      <c r="AD20" s="10">
        <f t="shared" si="0"/>
        <v>113</v>
      </c>
    </row>
    <row r="21" spans="1:30" ht="21" customHeight="1" x14ac:dyDescent="0.35">
      <c r="A21" s="11">
        <v>20</v>
      </c>
      <c r="B21" s="11" t="s">
        <v>216</v>
      </c>
      <c r="C21" s="11" t="s">
        <v>217</v>
      </c>
      <c r="D21" s="12" t="s">
        <v>218</v>
      </c>
      <c r="E21" s="19">
        <v>4</v>
      </c>
      <c r="F21" s="19">
        <v>10</v>
      </c>
      <c r="G21" s="19">
        <v>2</v>
      </c>
      <c r="H21" s="19">
        <v>9</v>
      </c>
      <c r="I21" s="19">
        <v>6</v>
      </c>
      <c r="J21" s="19">
        <v>4</v>
      </c>
      <c r="K21" s="19">
        <v>7</v>
      </c>
      <c r="L21" s="19">
        <v>0</v>
      </c>
      <c r="M21" s="19">
        <v>1</v>
      </c>
      <c r="N21" s="19">
        <v>7</v>
      </c>
      <c r="O21" s="19">
        <v>4</v>
      </c>
      <c r="P21" s="19">
        <v>6</v>
      </c>
      <c r="Q21" s="19">
        <v>8</v>
      </c>
      <c r="R21" s="19">
        <v>9</v>
      </c>
      <c r="S21" s="19">
        <v>6</v>
      </c>
      <c r="T21" s="19">
        <v>9</v>
      </c>
      <c r="U21" s="19">
        <v>5</v>
      </c>
      <c r="V21" s="19">
        <v>1</v>
      </c>
      <c r="W21" s="19">
        <v>6</v>
      </c>
      <c r="X21" s="19">
        <v>6</v>
      </c>
      <c r="Y21" s="19">
        <v>4</v>
      </c>
      <c r="Z21" s="19">
        <v>3</v>
      </c>
      <c r="AA21" s="19">
        <v>2</v>
      </c>
      <c r="AB21" s="19">
        <v>6</v>
      </c>
      <c r="AC21" s="19">
        <v>6</v>
      </c>
      <c r="AD21" s="10">
        <f t="shared" si="0"/>
        <v>131</v>
      </c>
    </row>
    <row r="22" spans="1:30" ht="21" customHeight="1" x14ac:dyDescent="0.35">
      <c r="A22" s="6">
        <v>21</v>
      </c>
      <c r="B22" s="6" t="s">
        <v>219</v>
      </c>
      <c r="C22" s="6" t="s">
        <v>220</v>
      </c>
      <c r="D22" s="7" t="s">
        <v>221</v>
      </c>
      <c r="E22" s="18">
        <v>10</v>
      </c>
      <c r="F22" s="18">
        <v>8</v>
      </c>
      <c r="G22" s="18">
        <v>3</v>
      </c>
      <c r="H22" s="18">
        <v>10</v>
      </c>
      <c r="I22" s="18">
        <v>3</v>
      </c>
      <c r="J22" s="18">
        <v>4</v>
      </c>
      <c r="K22" s="18">
        <v>4</v>
      </c>
      <c r="L22" s="18">
        <v>3</v>
      </c>
      <c r="M22" s="18">
        <v>8</v>
      </c>
      <c r="N22" s="18">
        <v>4</v>
      </c>
      <c r="O22" s="18">
        <v>6</v>
      </c>
      <c r="P22" s="18">
        <v>6</v>
      </c>
      <c r="Q22" s="18">
        <v>4</v>
      </c>
      <c r="R22" s="18">
        <v>3</v>
      </c>
      <c r="S22" s="18">
        <v>9</v>
      </c>
      <c r="T22" s="18">
        <v>3</v>
      </c>
      <c r="U22" s="18">
        <v>4</v>
      </c>
      <c r="V22" s="18">
        <v>8</v>
      </c>
      <c r="W22" s="18">
        <v>2</v>
      </c>
      <c r="X22" s="18">
        <v>5</v>
      </c>
      <c r="Y22" s="18">
        <v>0</v>
      </c>
      <c r="Z22" s="18">
        <v>3</v>
      </c>
      <c r="AA22" s="18">
        <v>9</v>
      </c>
      <c r="AB22" s="18">
        <v>8</v>
      </c>
      <c r="AC22" s="18">
        <v>7</v>
      </c>
      <c r="AD22" s="10">
        <f t="shared" si="0"/>
        <v>134</v>
      </c>
    </row>
    <row r="23" spans="1:30" ht="21" customHeight="1" x14ac:dyDescent="0.35">
      <c r="A23" s="11">
        <v>22</v>
      </c>
      <c r="B23" s="11" t="s">
        <v>222</v>
      </c>
      <c r="C23" s="11" t="s">
        <v>223</v>
      </c>
      <c r="D23" s="12" t="s">
        <v>224</v>
      </c>
      <c r="E23" s="19">
        <v>1</v>
      </c>
      <c r="F23" s="19">
        <v>1</v>
      </c>
      <c r="G23" s="19">
        <v>8</v>
      </c>
      <c r="H23" s="19">
        <v>5</v>
      </c>
      <c r="I23" s="19">
        <v>0</v>
      </c>
      <c r="J23" s="19">
        <v>1</v>
      </c>
      <c r="K23" s="19">
        <v>4</v>
      </c>
      <c r="L23" s="19">
        <v>1</v>
      </c>
      <c r="M23" s="19">
        <v>2</v>
      </c>
      <c r="N23" s="19">
        <v>5</v>
      </c>
      <c r="O23" s="19">
        <v>0</v>
      </c>
      <c r="P23" s="19">
        <v>0</v>
      </c>
      <c r="Q23" s="19">
        <v>6</v>
      </c>
      <c r="R23" s="19">
        <v>5</v>
      </c>
      <c r="S23" s="19">
        <v>9</v>
      </c>
      <c r="T23" s="19">
        <v>5</v>
      </c>
      <c r="U23" s="19">
        <v>3</v>
      </c>
      <c r="V23" s="19">
        <v>10</v>
      </c>
      <c r="W23" s="19">
        <v>2</v>
      </c>
      <c r="X23" s="19">
        <v>3</v>
      </c>
      <c r="Y23" s="19">
        <v>1</v>
      </c>
      <c r="Z23" s="19">
        <v>10</v>
      </c>
      <c r="AA23" s="19">
        <v>1</v>
      </c>
      <c r="AB23" s="19">
        <v>2</v>
      </c>
      <c r="AC23" s="19">
        <v>4</v>
      </c>
      <c r="AD23" s="10">
        <f t="shared" si="0"/>
        <v>89</v>
      </c>
    </row>
    <row r="24" spans="1:30" ht="21" customHeight="1" x14ac:dyDescent="0.35">
      <c r="A24" s="6">
        <v>23</v>
      </c>
      <c r="B24" s="6" t="s">
        <v>225</v>
      </c>
      <c r="C24" s="6" t="s">
        <v>226</v>
      </c>
      <c r="D24" s="7" t="s">
        <v>227</v>
      </c>
      <c r="E24" s="18">
        <v>0</v>
      </c>
      <c r="F24" s="18">
        <v>6</v>
      </c>
      <c r="G24" s="18">
        <v>8</v>
      </c>
      <c r="H24" s="18">
        <v>4</v>
      </c>
      <c r="I24" s="18">
        <v>3</v>
      </c>
      <c r="J24" s="18">
        <v>3</v>
      </c>
      <c r="K24" s="18">
        <v>3</v>
      </c>
      <c r="L24" s="18">
        <v>2</v>
      </c>
      <c r="M24" s="18">
        <v>2</v>
      </c>
      <c r="N24" s="18">
        <v>9</v>
      </c>
      <c r="O24" s="18">
        <v>0</v>
      </c>
      <c r="P24" s="18">
        <v>8</v>
      </c>
      <c r="Q24" s="18">
        <v>1</v>
      </c>
      <c r="R24" s="18">
        <v>3</v>
      </c>
      <c r="S24" s="18">
        <v>6</v>
      </c>
      <c r="T24" s="18">
        <v>9</v>
      </c>
      <c r="U24" s="18">
        <v>8</v>
      </c>
      <c r="V24" s="18">
        <v>8</v>
      </c>
      <c r="W24" s="18">
        <v>7</v>
      </c>
      <c r="X24" s="18">
        <v>5</v>
      </c>
      <c r="Y24" s="18">
        <v>2</v>
      </c>
      <c r="Z24" s="18">
        <v>3</v>
      </c>
      <c r="AA24" s="18">
        <v>8</v>
      </c>
      <c r="AB24" s="18">
        <v>9</v>
      </c>
      <c r="AC24" s="18">
        <v>4</v>
      </c>
      <c r="AD24" s="10">
        <f t="shared" si="0"/>
        <v>121</v>
      </c>
    </row>
    <row r="25" spans="1:30" ht="21" customHeight="1" x14ac:dyDescent="0.35">
      <c r="A25" s="11">
        <v>24</v>
      </c>
      <c r="B25" s="11" t="s">
        <v>228</v>
      </c>
      <c r="C25" s="11" t="s">
        <v>229</v>
      </c>
      <c r="D25" s="12" t="s">
        <v>230</v>
      </c>
      <c r="E25" s="19">
        <v>2</v>
      </c>
      <c r="F25" s="19">
        <v>3</v>
      </c>
      <c r="G25" s="19">
        <v>5</v>
      </c>
      <c r="H25" s="19">
        <v>7</v>
      </c>
      <c r="I25" s="19">
        <v>10</v>
      </c>
      <c r="J25" s="19">
        <v>2</v>
      </c>
      <c r="K25" s="19">
        <v>1</v>
      </c>
      <c r="L25" s="19">
        <v>3</v>
      </c>
      <c r="M25" s="19">
        <v>9</v>
      </c>
      <c r="N25" s="19">
        <v>2</v>
      </c>
      <c r="O25" s="19">
        <v>7</v>
      </c>
      <c r="P25" s="19">
        <v>9</v>
      </c>
      <c r="Q25" s="19">
        <v>0</v>
      </c>
      <c r="R25" s="19">
        <v>0</v>
      </c>
      <c r="S25" s="19">
        <v>7</v>
      </c>
      <c r="T25" s="19">
        <v>10</v>
      </c>
      <c r="U25" s="19">
        <v>3</v>
      </c>
      <c r="V25" s="19">
        <v>3</v>
      </c>
      <c r="W25" s="19">
        <v>6</v>
      </c>
      <c r="X25" s="19">
        <v>8</v>
      </c>
      <c r="Y25" s="19">
        <v>10</v>
      </c>
      <c r="Z25" s="19">
        <v>3</v>
      </c>
      <c r="AA25" s="19">
        <v>6</v>
      </c>
      <c r="AB25" s="19">
        <v>10</v>
      </c>
      <c r="AC25" s="19">
        <v>2</v>
      </c>
      <c r="AD25" s="10">
        <f t="shared" si="0"/>
        <v>128</v>
      </c>
    </row>
    <row r="26" spans="1:30" ht="21" customHeight="1" x14ac:dyDescent="0.35">
      <c r="A26" s="6">
        <v>25</v>
      </c>
      <c r="B26" s="6" t="s">
        <v>231</v>
      </c>
      <c r="C26" s="6" t="s">
        <v>232</v>
      </c>
      <c r="D26" s="7" t="s">
        <v>233</v>
      </c>
      <c r="E26" s="18">
        <v>6</v>
      </c>
      <c r="F26" s="18">
        <v>9</v>
      </c>
      <c r="G26" s="18">
        <v>1</v>
      </c>
      <c r="H26" s="18">
        <v>9</v>
      </c>
      <c r="I26" s="18">
        <v>10</v>
      </c>
      <c r="J26" s="18">
        <v>9</v>
      </c>
      <c r="K26" s="18">
        <v>8</v>
      </c>
      <c r="L26" s="18">
        <v>0</v>
      </c>
      <c r="M26" s="18">
        <v>4</v>
      </c>
      <c r="N26" s="18">
        <v>0</v>
      </c>
      <c r="O26" s="18">
        <v>6</v>
      </c>
      <c r="P26" s="18">
        <v>10</v>
      </c>
      <c r="Q26" s="18">
        <v>2</v>
      </c>
      <c r="R26" s="18">
        <v>4</v>
      </c>
      <c r="S26" s="18">
        <v>5</v>
      </c>
      <c r="T26" s="18">
        <v>0</v>
      </c>
      <c r="U26" s="18">
        <v>8</v>
      </c>
      <c r="V26" s="18">
        <v>9</v>
      </c>
      <c r="W26" s="18">
        <v>7</v>
      </c>
      <c r="X26" s="18">
        <v>1</v>
      </c>
      <c r="Y26" s="18">
        <v>5</v>
      </c>
      <c r="Z26" s="18">
        <v>10</v>
      </c>
      <c r="AA26" s="18">
        <v>8</v>
      </c>
      <c r="AB26" s="18">
        <v>1</v>
      </c>
      <c r="AC26" s="18">
        <v>1</v>
      </c>
      <c r="AD26" s="10">
        <f t="shared" si="0"/>
        <v>133</v>
      </c>
    </row>
    <row r="27" spans="1:30" ht="21" customHeight="1" x14ac:dyDescent="0.35">
      <c r="A27" s="11">
        <v>26</v>
      </c>
      <c r="B27" s="11" t="s">
        <v>234</v>
      </c>
      <c r="C27" s="11" t="s">
        <v>235</v>
      </c>
      <c r="D27" s="12" t="s">
        <v>236</v>
      </c>
      <c r="E27" s="19">
        <v>6</v>
      </c>
      <c r="F27" s="19">
        <v>5</v>
      </c>
      <c r="G27" s="19">
        <v>10</v>
      </c>
      <c r="H27" s="19">
        <v>8</v>
      </c>
      <c r="I27" s="19">
        <v>0</v>
      </c>
      <c r="J27" s="19">
        <v>5</v>
      </c>
      <c r="K27" s="19">
        <v>5</v>
      </c>
      <c r="L27" s="19">
        <v>0</v>
      </c>
      <c r="M27" s="19">
        <v>6</v>
      </c>
      <c r="N27" s="19">
        <v>8</v>
      </c>
      <c r="O27" s="19">
        <v>6</v>
      </c>
      <c r="P27" s="19">
        <v>9</v>
      </c>
      <c r="Q27" s="19">
        <v>9</v>
      </c>
      <c r="R27" s="19">
        <v>8</v>
      </c>
      <c r="S27" s="19">
        <v>5</v>
      </c>
      <c r="T27" s="19">
        <v>8</v>
      </c>
      <c r="U27" s="19">
        <v>8</v>
      </c>
      <c r="V27" s="19">
        <v>5</v>
      </c>
      <c r="W27" s="19">
        <v>2</v>
      </c>
      <c r="X27" s="19">
        <v>6</v>
      </c>
      <c r="Y27" s="19">
        <v>2</v>
      </c>
      <c r="Z27" s="19">
        <v>0</v>
      </c>
      <c r="AA27" s="19">
        <v>9</v>
      </c>
      <c r="AB27" s="19">
        <v>5</v>
      </c>
      <c r="AC27" s="19">
        <v>7</v>
      </c>
      <c r="AD27" s="10">
        <f t="shared" si="0"/>
        <v>142</v>
      </c>
    </row>
    <row r="28" spans="1:30" ht="21" customHeight="1" x14ac:dyDescent="0.35">
      <c r="A28" s="6">
        <v>27</v>
      </c>
      <c r="B28" s="6" t="s">
        <v>237</v>
      </c>
      <c r="C28" s="6" t="s">
        <v>238</v>
      </c>
      <c r="D28" s="7" t="s">
        <v>239</v>
      </c>
      <c r="E28" s="18">
        <v>8</v>
      </c>
      <c r="F28" s="18">
        <v>9</v>
      </c>
      <c r="G28" s="18">
        <v>4</v>
      </c>
      <c r="H28" s="18">
        <v>3</v>
      </c>
      <c r="I28" s="18">
        <v>8</v>
      </c>
      <c r="J28" s="18">
        <v>5</v>
      </c>
      <c r="K28" s="18">
        <v>9</v>
      </c>
      <c r="L28" s="18">
        <v>5</v>
      </c>
      <c r="M28" s="18">
        <v>0</v>
      </c>
      <c r="N28" s="18">
        <v>9</v>
      </c>
      <c r="O28" s="18">
        <v>1</v>
      </c>
      <c r="P28" s="18">
        <v>4</v>
      </c>
      <c r="Q28" s="18">
        <v>5</v>
      </c>
      <c r="R28" s="18">
        <v>2</v>
      </c>
      <c r="S28" s="18">
        <v>10</v>
      </c>
      <c r="T28" s="18">
        <v>7</v>
      </c>
      <c r="U28" s="18">
        <v>0</v>
      </c>
      <c r="V28" s="18">
        <v>10</v>
      </c>
      <c r="W28" s="18">
        <v>5</v>
      </c>
      <c r="X28" s="18">
        <v>4</v>
      </c>
      <c r="Y28" s="18">
        <v>3</v>
      </c>
      <c r="Z28" s="18">
        <v>3</v>
      </c>
      <c r="AA28" s="18">
        <v>6</v>
      </c>
      <c r="AB28" s="18">
        <v>1</v>
      </c>
      <c r="AC28" s="18">
        <v>9</v>
      </c>
      <c r="AD28" s="10">
        <f t="shared" si="0"/>
        <v>130</v>
      </c>
    </row>
    <row r="29" spans="1:30" ht="21" customHeight="1" x14ac:dyDescent="0.35">
      <c r="A29" s="11">
        <v>28</v>
      </c>
      <c r="B29" s="11" t="s">
        <v>240</v>
      </c>
      <c r="C29" s="11" t="s">
        <v>241</v>
      </c>
      <c r="D29" s="12" t="s">
        <v>242</v>
      </c>
      <c r="E29" s="19">
        <v>10</v>
      </c>
      <c r="F29" s="19">
        <v>9</v>
      </c>
      <c r="G29" s="19">
        <v>7</v>
      </c>
      <c r="H29" s="19">
        <v>6</v>
      </c>
      <c r="I29" s="19">
        <v>7</v>
      </c>
      <c r="J29" s="19">
        <v>8</v>
      </c>
      <c r="K29" s="19">
        <v>4</v>
      </c>
      <c r="L29" s="19">
        <v>8</v>
      </c>
      <c r="M29" s="19">
        <v>7</v>
      </c>
      <c r="N29" s="19">
        <v>6</v>
      </c>
      <c r="O29" s="19">
        <v>10</v>
      </c>
      <c r="P29" s="19">
        <v>7</v>
      </c>
      <c r="Q29" s="19">
        <v>5</v>
      </c>
      <c r="R29" s="19">
        <v>2</v>
      </c>
      <c r="S29" s="19">
        <v>7</v>
      </c>
      <c r="T29" s="19">
        <v>1</v>
      </c>
      <c r="U29" s="19">
        <v>10</v>
      </c>
      <c r="V29" s="19">
        <v>0</v>
      </c>
      <c r="W29" s="19">
        <v>2</v>
      </c>
      <c r="X29" s="19">
        <v>4</v>
      </c>
      <c r="Y29" s="19">
        <v>10</v>
      </c>
      <c r="Z29" s="19">
        <v>2</v>
      </c>
      <c r="AA29" s="19">
        <v>9</v>
      </c>
      <c r="AB29" s="19">
        <v>5</v>
      </c>
      <c r="AC29" s="19">
        <v>5</v>
      </c>
      <c r="AD29" s="10">
        <f t="shared" si="0"/>
        <v>151</v>
      </c>
    </row>
    <row r="30" spans="1:30" ht="21" customHeight="1" x14ac:dyDescent="0.35">
      <c r="A30" s="6">
        <v>29</v>
      </c>
      <c r="B30" s="6" t="s">
        <v>243</v>
      </c>
      <c r="C30" s="6" t="s">
        <v>244</v>
      </c>
      <c r="D30" s="7" t="s">
        <v>245</v>
      </c>
      <c r="E30" s="18">
        <v>1</v>
      </c>
      <c r="F30" s="18">
        <v>-2</v>
      </c>
      <c r="G30" s="18">
        <v>3</v>
      </c>
      <c r="H30" s="18">
        <v>10</v>
      </c>
      <c r="I30" s="18">
        <v>3</v>
      </c>
      <c r="J30" s="18">
        <v>3</v>
      </c>
      <c r="K30" s="18">
        <v>1</v>
      </c>
      <c r="L30" s="18">
        <v>1</v>
      </c>
      <c r="M30" s="18">
        <v>10</v>
      </c>
      <c r="N30" s="18">
        <v>2</v>
      </c>
      <c r="O30" s="18">
        <v>0</v>
      </c>
      <c r="P30" s="18">
        <v>6</v>
      </c>
      <c r="Q30" s="18">
        <v>10</v>
      </c>
      <c r="R30" s="18">
        <v>6</v>
      </c>
      <c r="S30" s="18">
        <v>1</v>
      </c>
      <c r="T30" s="18">
        <v>7</v>
      </c>
      <c r="U30" s="18">
        <v>8</v>
      </c>
      <c r="V30" s="18">
        <v>7</v>
      </c>
      <c r="W30" s="18">
        <v>8</v>
      </c>
      <c r="X30" s="18">
        <v>6</v>
      </c>
      <c r="Y30" s="18">
        <v>8</v>
      </c>
      <c r="Z30" s="18">
        <v>3</v>
      </c>
      <c r="AA30" s="18">
        <v>10</v>
      </c>
      <c r="AB30" s="18">
        <v>0</v>
      </c>
      <c r="AC30" s="18">
        <v>0</v>
      </c>
      <c r="AD30" s="10">
        <f t="shared" si="0"/>
        <v>112</v>
      </c>
    </row>
    <row r="31" spans="1:30" ht="21" customHeight="1" x14ac:dyDescent="0.35">
      <c r="A31" s="11">
        <v>30</v>
      </c>
      <c r="B31" s="11" t="s">
        <v>246</v>
      </c>
      <c r="C31" s="11" t="s">
        <v>247</v>
      </c>
      <c r="D31" s="12" t="s">
        <v>248</v>
      </c>
      <c r="E31" s="19">
        <v>0</v>
      </c>
      <c r="F31" s="19">
        <v>9</v>
      </c>
      <c r="G31" s="19">
        <v>4</v>
      </c>
      <c r="H31" s="19">
        <v>5</v>
      </c>
      <c r="I31" s="19">
        <v>5</v>
      </c>
      <c r="J31" s="19">
        <v>1</v>
      </c>
      <c r="K31" s="19">
        <v>6</v>
      </c>
      <c r="L31" s="19">
        <v>9</v>
      </c>
      <c r="M31" s="19">
        <v>1</v>
      </c>
      <c r="N31" s="19">
        <v>6</v>
      </c>
      <c r="O31" s="19">
        <v>10</v>
      </c>
      <c r="P31" s="19">
        <v>0</v>
      </c>
      <c r="Q31" s="19">
        <v>0</v>
      </c>
      <c r="R31" s="19">
        <v>2</v>
      </c>
      <c r="S31" s="19">
        <v>5</v>
      </c>
      <c r="T31" s="19">
        <v>2</v>
      </c>
      <c r="U31" s="19">
        <v>6</v>
      </c>
      <c r="V31" s="19">
        <v>6</v>
      </c>
      <c r="W31" s="19">
        <v>6</v>
      </c>
      <c r="X31" s="19">
        <v>6</v>
      </c>
      <c r="Y31" s="19">
        <v>7</v>
      </c>
      <c r="Z31" s="19">
        <v>1</v>
      </c>
      <c r="AA31" s="19">
        <v>10</v>
      </c>
      <c r="AB31" s="19">
        <v>2</v>
      </c>
      <c r="AC31" s="19">
        <v>10</v>
      </c>
      <c r="AD31" s="10">
        <f t="shared" si="0"/>
        <v>119</v>
      </c>
    </row>
    <row r="32" spans="1:30" ht="21" customHeight="1" x14ac:dyDescent="0.35">
      <c r="A32" s="6">
        <v>31</v>
      </c>
      <c r="B32" s="6" t="s">
        <v>249</v>
      </c>
      <c r="C32" s="6" t="s">
        <v>250</v>
      </c>
      <c r="D32" s="7" t="s">
        <v>251</v>
      </c>
      <c r="E32" s="18">
        <v>2</v>
      </c>
      <c r="F32" s="18">
        <v>2</v>
      </c>
      <c r="G32" s="18">
        <v>1</v>
      </c>
      <c r="H32" s="18">
        <v>6</v>
      </c>
      <c r="I32" s="18">
        <v>3</v>
      </c>
      <c r="J32" s="18">
        <v>2</v>
      </c>
      <c r="K32" s="18">
        <v>10</v>
      </c>
      <c r="L32" s="18">
        <v>6</v>
      </c>
      <c r="M32" s="18">
        <v>2</v>
      </c>
      <c r="N32" s="18">
        <v>3</v>
      </c>
      <c r="O32" s="18">
        <v>7</v>
      </c>
      <c r="P32" s="18">
        <v>2</v>
      </c>
      <c r="Q32" s="18">
        <v>6</v>
      </c>
      <c r="R32" s="18">
        <v>2</v>
      </c>
      <c r="S32" s="18">
        <v>4</v>
      </c>
      <c r="T32" s="18">
        <v>6</v>
      </c>
      <c r="U32" s="18">
        <v>2</v>
      </c>
      <c r="V32" s="18">
        <v>10</v>
      </c>
      <c r="W32" s="18">
        <v>9</v>
      </c>
      <c r="X32" s="18">
        <v>2</v>
      </c>
      <c r="Y32" s="18">
        <v>1</v>
      </c>
      <c r="Z32" s="18">
        <v>1</v>
      </c>
      <c r="AA32" s="18">
        <v>6</v>
      </c>
      <c r="AB32" s="18">
        <v>4</v>
      </c>
      <c r="AC32" s="18">
        <v>4</v>
      </c>
      <c r="AD32" s="10">
        <f t="shared" si="0"/>
        <v>103</v>
      </c>
    </row>
    <row r="33" spans="1:30" ht="21" customHeight="1" x14ac:dyDescent="0.35">
      <c r="A33" s="11">
        <v>32</v>
      </c>
      <c r="B33" s="11" t="s">
        <v>252</v>
      </c>
      <c r="C33" s="11" t="s">
        <v>253</v>
      </c>
      <c r="D33" s="12" t="s">
        <v>254</v>
      </c>
      <c r="E33" s="19">
        <v>8</v>
      </c>
      <c r="F33" s="19">
        <v>7</v>
      </c>
      <c r="G33" s="19">
        <v>1</v>
      </c>
      <c r="H33" s="19">
        <v>2</v>
      </c>
      <c r="I33" s="19">
        <v>6</v>
      </c>
      <c r="J33" s="19">
        <v>1</v>
      </c>
      <c r="K33" s="19">
        <v>4</v>
      </c>
      <c r="L33" s="19">
        <v>7</v>
      </c>
      <c r="M33" s="19">
        <v>2</v>
      </c>
      <c r="N33" s="19">
        <v>7</v>
      </c>
      <c r="O33" s="19">
        <v>8</v>
      </c>
      <c r="P33" s="19">
        <v>6</v>
      </c>
      <c r="Q33" s="19">
        <v>0</v>
      </c>
      <c r="R33" s="19">
        <v>5</v>
      </c>
      <c r="S33" s="19">
        <v>9</v>
      </c>
      <c r="T33" s="19">
        <v>10</v>
      </c>
      <c r="U33" s="19">
        <v>10</v>
      </c>
      <c r="V33" s="19">
        <v>4</v>
      </c>
      <c r="W33" s="19">
        <v>4</v>
      </c>
      <c r="X33" s="19">
        <v>8</v>
      </c>
      <c r="Y33" s="19">
        <v>7</v>
      </c>
      <c r="Z33" s="19">
        <v>3</v>
      </c>
      <c r="AA33" s="19">
        <v>0</v>
      </c>
      <c r="AB33" s="19">
        <v>9</v>
      </c>
      <c r="AC33" s="19">
        <v>6</v>
      </c>
      <c r="AD33" s="10">
        <f t="shared" si="0"/>
        <v>134</v>
      </c>
    </row>
    <row r="34" spans="1:30" ht="21" customHeight="1" x14ac:dyDescent="0.35">
      <c r="A34" s="6">
        <v>33</v>
      </c>
      <c r="B34" s="6" t="s">
        <v>255</v>
      </c>
      <c r="C34" s="6" t="s">
        <v>256</v>
      </c>
      <c r="D34" s="7" t="s">
        <v>257</v>
      </c>
      <c r="E34" s="18">
        <v>8</v>
      </c>
      <c r="F34" s="18">
        <v>9</v>
      </c>
      <c r="G34" s="18">
        <v>1</v>
      </c>
      <c r="H34" s="18">
        <v>0</v>
      </c>
      <c r="I34" s="18">
        <v>3</v>
      </c>
      <c r="J34" s="18">
        <v>4</v>
      </c>
      <c r="K34" s="18">
        <v>5</v>
      </c>
      <c r="L34" s="18">
        <v>2</v>
      </c>
      <c r="M34" s="18">
        <v>0</v>
      </c>
      <c r="N34" s="18">
        <v>10</v>
      </c>
      <c r="O34" s="18">
        <v>8</v>
      </c>
      <c r="P34" s="18">
        <v>6</v>
      </c>
      <c r="Q34" s="18">
        <v>9</v>
      </c>
      <c r="R34" s="18">
        <v>0</v>
      </c>
      <c r="S34" s="18">
        <v>7</v>
      </c>
      <c r="T34" s="18">
        <v>4</v>
      </c>
      <c r="U34" s="18">
        <v>3</v>
      </c>
      <c r="V34" s="18">
        <v>7</v>
      </c>
      <c r="W34" s="18">
        <v>4</v>
      </c>
      <c r="X34" s="18">
        <v>7</v>
      </c>
      <c r="Y34" s="18">
        <v>8</v>
      </c>
      <c r="Z34" s="18">
        <v>10</v>
      </c>
      <c r="AA34" s="18">
        <v>1</v>
      </c>
      <c r="AB34" s="18">
        <v>5</v>
      </c>
      <c r="AC34" s="18">
        <v>6</v>
      </c>
      <c r="AD34" s="10">
        <f t="shared" si="0"/>
        <v>127</v>
      </c>
    </row>
    <row r="35" spans="1:30" ht="21" customHeight="1" x14ac:dyDescent="0.35">
      <c r="A35" s="11">
        <v>34</v>
      </c>
      <c r="B35" s="11" t="s">
        <v>258</v>
      </c>
      <c r="C35" s="11" t="s">
        <v>259</v>
      </c>
      <c r="D35" s="12" t="s">
        <v>260</v>
      </c>
      <c r="E35" s="19">
        <v>1</v>
      </c>
      <c r="F35" s="19">
        <v>7</v>
      </c>
      <c r="G35" s="19">
        <v>0</v>
      </c>
      <c r="H35" s="19">
        <v>3</v>
      </c>
      <c r="I35" s="19">
        <v>8</v>
      </c>
      <c r="J35" s="19">
        <v>7</v>
      </c>
      <c r="K35" s="19">
        <v>6</v>
      </c>
      <c r="L35" s="19">
        <v>0</v>
      </c>
      <c r="M35" s="19">
        <v>10</v>
      </c>
      <c r="N35" s="19">
        <v>4</v>
      </c>
      <c r="O35" s="19">
        <v>10</v>
      </c>
      <c r="P35" s="19">
        <v>3</v>
      </c>
      <c r="Q35" s="19">
        <v>0</v>
      </c>
      <c r="R35" s="19">
        <v>0</v>
      </c>
      <c r="S35" s="19">
        <v>8</v>
      </c>
      <c r="T35" s="19">
        <v>9</v>
      </c>
      <c r="U35" s="19">
        <v>0</v>
      </c>
      <c r="V35" s="19">
        <v>6</v>
      </c>
      <c r="W35" s="19">
        <v>9</v>
      </c>
      <c r="X35" s="19">
        <v>7</v>
      </c>
      <c r="Y35" s="19">
        <v>0</v>
      </c>
      <c r="Z35" s="19">
        <v>7</v>
      </c>
      <c r="AA35" s="19">
        <v>3</v>
      </c>
      <c r="AB35" s="19">
        <v>2</v>
      </c>
      <c r="AC35" s="19">
        <v>8</v>
      </c>
      <c r="AD35" s="10">
        <f t="shared" si="0"/>
        <v>118</v>
      </c>
    </row>
    <row r="36" spans="1:30" ht="21" customHeight="1" x14ac:dyDescent="0.35">
      <c r="A36" s="6">
        <v>35</v>
      </c>
      <c r="B36" s="6" t="s">
        <v>261</v>
      </c>
      <c r="C36" s="6" t="s">
        <v>262</v>
      </c>
      <c r="D36" s="7" t="s">
        <v>263</v>
      </c>
      <c r="E36" s="18">
        <v>6</v>
      </c>
      <c r="F36" s="18">
        <v>4</v>
      </c>
      <c r="G36" s="18">
        <v>9</v>
      </c>
      <c r="H36" s="18">
        <v>1</v>
      </c>
      <c r="I36" s="18">
        <v>7</v>
      </c>
      <c r="J36" s="18">
        <v>7</v>
      </c>
      <c r="K36" s="18">
        <v>4</v>
      </c>
      <c r="L36" s="18">
        <v>3</v>
      </c>
      <c r="M36" s="18">
        <v>2</v>
      </c>
      <c r="N36" s="18">
        <v>2</v>
      </c>
      <c r="O36" s="18">
        <v>10</v>
      </c>
      <c r="P36" s="18">
        <v>4</v>
      </c>
      <c r="Q36" s="18">
        <v>8</v>
      </c>
      <c r="R36" s="18">
        <v>7</v>
      </c>
      <c r="S36" s="18">
        <v>1</v>
      </c>
      <c r="T36" s="18">
        <v>2</v>
      </c>
      <c r="U36" s="18">
        <v>10</v>
      </c>
      <c r="V36" s="18">
        <v>6</v>
      </c>
      <c r="W36" s="18">
        <v>10</v>
      </c>
      <c r="X36" s="18">
        <v>0</v>
      </c>
      <c r="Y36" s="18">
        <v>10</v>
      </c>
      <c r="Z36" s="18">
        <v>7</v>
      </c>
      <c r="AA36" s="18">
        <v>1</v>
      </c>
      <c r="AB36" s="18">
        <v>7</v>
      </c>
      <c r="AC36" s="18">
        <v>9</v>
      </c>
      <c r="AD36" s="10">
        <f t="shared" si="0"/>
        <v>137</v>
      </c>
    </row>
    <row r="37" spans="1:30" ht="21" customHeight="1" x14ac:dyDescent="0.35">
      <c r="A37" s="11">
        <v>36</v>
      </c>
      <c r="B37" s="11" t="s">
        <v>264</v>
      </c>
      <c r="C37" s="11" t="s">
        <v>265</v>
      </c>
      <c r="D37" s="12" t="s">
        <v>266</v>
      </c>
      <c r="E37" s="19">
        <v>3</v>
      </c>
      <c r="F37" s="19">
        <v>2</v>
      </c>
      <c r="G37" s="19">
        <v>10</v>
      </c>
      <c r="H37" s="19">
        <v>5</v>
      </c>
      <c r="I37" s="19">
        <v>1</v>
      </c>
      <c r="J37" s="19">
        <v>4</v>
      </c>
      <c r="K37" s="19">
        <v>10</v>
      </c>
      <c r="L37" s="19">
        <v>5</v>
      </c>
      <c r="M37" s="19">
        <v>0</v>
      </c>
      <c r="N37" s="19">
        <v>4</v>
      </c>
      <c r="O37" s="19">
        <v>7</v>
      </c>
      <c r="P37" s="19">
        <v>3</v>
      </c>
      <c r="Q37" s="19">
        <v>8</v>
      </c>
      <c r="R37" s="19">
        <v>8</v>
      </c>
      <c r="S37" s="19">
        <v>5</v>
      </c>
      <c r="T37" s="19">
        <v>5</v>
      </c>
      <c r="U37" s="19">
        <v>7</v>
      </c>
      <c r="V37" s="19">
        <v>8</v>
      </c>
      <c r="W37" s="19">
        <v>2</v>
      </c>
      <c r="X37" s="19">
        <v>2</v>
      </c>
      <c r="Y37" s="19">
        <v>3</v>
      </c>
      <c r="Z37" s="19">
        <v>4</v>
      </c>
      <c r="AA37" s="19">
        <v>10</v>
      </c>
      <c r="AB37" s="19">
        <v>5</v>
      </c>
      <c r="AC37" s="19">
        <v>9</v>
      </c>
      <c r="AD37" s="10">
        <f t="shared" si="0"/>
        <v>130</v>
      </c>
    </row>
  </sheetData>
  <autoFilter ref="A1:AD37" xr:uid="{00000000-0009-0000-0000-000001000000}"/>
  <conditionalFormatting sqref="D1">
    <cfRule type="cellIs" dxfId="76" priority="2" operator="equal">
      <formula>"Present"</formula>
    </cfRule>
    <cfRule type="cellIs" dxfId="75" priority="3" operator="equal">
      <formula>"Absent"</formula>
    </cfRule>
  </conditionalFormatting>
  <conditionalFormatting sqref="E2:AD37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1">
    <dataValidation type="list" allowBlank="1" showInputMessage="1" showErrorMessage="1" sqref="D1" xr:uid="{00000000-0002-0000-0100-000000000000}">
      <formula1>$B$1:$AG$1</formula1>
      <formula2>0</formula2>
    </dataValidation>
  </dataValidations>
  <pageMargins left="0.25" right="0.25" top="0.5" bottom="0.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AD42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21" customHeight="1" x14ac:dyDescent="0.35">
      <c r="A2" s="6">
        <v>1</v>
      </c>
      <c r="B2" s="6" t="s">
        <v>278</v>
      </c>
      <c r="C2" s="6" t="s">
        <v>279</v>
      </c>
      <c r="D2" s="7" t="s">
        <v>280</v>
      </c>
      <c r="E2" s="18">
        <v>8</v>
      </c>
      <c r="F2" s="18">
        <v>5</v>
      </c>
      <c r="G2" s="18">
        <v>10</v>
      </c>
      <c r="H2" s="18">
        <v>3</v>
      </c>
      <c r="I2" s="18">
        <v>2</v>
      </c>
      <c r="J2" s="18">
        <v>10</v>
      </c>
      <c r="K2" s="18">
        <v>3</v>
      </c>
      <c r="L2" s="18">
        <v>4</v>
      </c>
      <c r="M2" s="18">
        <v>6</v>
      </c>
      <c r="N2" s="18">
        <v>10</v>
      </c>
      <c r="O2" s="18">
        <v>7</v>
      </c>
      <c r="P2" s="18">
        <v>2</v>
      </c>
      <c r="Q2" s="18">
        <v>4</v>
      </c>
      <c r="R2" s="18">
        <v>5</v>
      </c>
      <c r="S2" s="18">
        <v>10</v>
      </c>
      <c r="T2" s="18">
        <v>10</v>
      </c>
      <c r="U2" s="18">
        <v>0</v>
      </c>
      <c r="V2" s="18">
        <v>5</v>
      </c>
      <c r="W2" s="18">
        <v>5</v>
      </c>
      <c r="X2" s="18">
        <v>3</v>
      </c>
      <c r="Y2" s="18">
        <v>2</v>
      </c>
      <c r="Z2" s="18">
        <v>3</v>
      </c>
      <c r="AA2" s="18">
        <v>10</v>
      </c>
      <c r="AB2" s="18">
        <v>5</v>
      </c>
      <c r="AC2" s="18">
        <v>1</v>
      </c>
      <c r="AD2" s="10">
        <f t="shared" ref="AD2:AD40" si="0">SUM(E2:AC2)</f>
        <v>133</v>
      </c>
    </row>
    <row r="3" spans="1:30" ht="21" customHeight="1" x14ac:dyDescent="0.35">
      <c r="A3" s="11">
        <v>2</v>
      </c>
      <c r="B3" s="11" t="s">
        <v>281</v>
      </c>
      <c r="C3" s="11" t="s">
        <v>282</v>
      </c>
      <c r="D3" s="12" t="s">
        <v>283</v>
      </c>
      <c r="E3" s="19">
        <v>3</v>
      </c>
      <c r="F3" s="19">
        <v>5</v>
      </c>
      <c r="G3" s="19">
        <v>6</v>
      </c>
      <c r="H3" s="19">
        <v>4</v>
      </c>
      <c r="I3" s="19">
        <v>7</v>
      </c>
      <c r="J3" s="19">
        <v>4</v>
      </c>
      <c r="K3" s="19">
        <v>8</v>
      </c>
      <c r="L3" s="19">
        <v>3</v>
      </c>
      <c r="M3" s="19">
        <v>7</v>
      </c>
      <c r="N3" s="19">
        <v>7</v>
      </c>
      <c r="O3" s="19">
        <v>9</v>
      </c>
      <c r="P3" s="19">
        <v>2</v>
      </c>
      <c r="Q3" s="19">
        <v>6</v>
      </c>
      <c r="R3" s="19">
        <v>4</v>
      </c>
      <c r="S3" s="19">
        <v>10</v>
      </c>
      <c r="T3" s="19">
        <v>0</v>
      </c>
      <c r="U3" s="19">
        <v>4</v>
      </c>
      <c r="V3" s="19">
        <v>8</v>
      </c>
      <c r="W3" s="19">
        <v>7</v>
      </c>
      <c r="X3" s="19">
        <v>3</v>
      </c>
      <c r="Y3" s="19">
        <v>6</v>
      </c>
      <c r="Z3" s="19">
        <v>7</v>
      </c>
      <c r="AA3" s="19">
        <v>6</v>
      </c>
      <c r="AB3" s="19">
        <v>4</v>
      </c>
      <c r="AC3" s="19">
        <v>5</v>
      </c>
      <c r="AD3" s="10">
        <f t="shared" si="0"/>
        <v>135</v>
      </c>
    </row>
    <row r="4" spans="1:30" ht="21" customHeight="1" x14ac:dyDescent="0.35">
      <c r="A4" s="6">
        <v>3</v>
      </c>
      <c r="B4" s="6" t="s">
        <v>284</v>
      </c>
      <c r="C4" s="6" t="s">
        <v>285</v>
      </c>
      <c r="D4" s="7" t="s">
        <v>286</v>
      </c>
      <c r="E4" s="18">
        <v>9</v>
      </c>
      <c r="F4" s="18">
        <v>5</v>
      </c>
      <c r="G4" s="18">
        <v>8</v>
      </c>
      <c r="H4" s="18">
        <v>9</v>
      </c>
      <c r="I4" s="18">
        <v>4</v>
      </c>
      <c r="J4" s="18">
        <v>6</v>
      </c>
      <c r="K4" s="18">
        <v>3</v>
      </c>
      <c r="L4" s="18">
        <v>9</v>
      </c>
      <c r="M4" s="18">
        <v>3</v>
      </c>
      <c r="N4" s="18">
        <v>2</v>
      </c>
      <c r="O4" s="18">
        <v>7</v>
      </c>
      <c r="P4" s="18">
        <v>7</v>
      </c>
      <c r="Q4" s="18">
        <v>1</v>
      </c>
      <c r="R4" s="18">
        <v>9</v>
      </c>
      <c r="S4" s="18">
        <v>0</v>
      </c>
      <c r="T4" s="18">
        <v>2</v>
      </c>
      <c r="U4" s="18">
        <v>8</v>
      </c>
      <c r="V4" s="18">
        <v>2</v>
      </c>
      <c r="W4" s="18">
        <v>9</v>
      </c>
      <c r="X4" s="18">
        <v>5</v>
      </c>
      <c r="Y4" s="18">
        <v>10</v>
      </c>
      <c r="Z4" s="18">
        <v>0</v>
      </c>
      <c r="AA4" s="18">
        <v>3</v>
      </c>
      <c r="AB4" s="18">
        <v>4</v>
      </c>
      <c r="AC4" s="18">
        <v>4</v>
      </c>
      <c r="AD4" s="10">
        <f t="shared" si="0"/>
        <v>129</v>
      </c>
    </row>
    <row r="5" spans="1:30" ht="21" customHeight="1" x14ac:dyDescent="0.35">
      <c r="A5" s="11">
        <v>4</v>
      </c>
      <c r="B5" s="11" t="s">
        <v>287</v>
      </c>
      <c r="C5" s="11" t="s">
        <v>288</v>
      </c>
      <c r="D5" s="12" t="s">
        <v>289</v>
      </c>
      <c r="E5" s="19">
        <v>10</v>
      </c>
      <c r="F5" s="19">
        <v>7</v>
      </c>
      <c r="G5" s="19">
        <v>4</v>
      </c>
      <c r="H5" s="19">
        <v>3</v>
      </c>
      <c r="I5" s="19">
        <v>5</v>
      </c>
      <c r="J5" s="19">
        <v>4</v>
      </c>
      <c r="K5" s="19">
        <v>1</v>
      </c>
      <c r="L5" s="19">
        <v>6</v>
      </c>
      <c r="M5" s="19">
        <v>5</v>
      </c>
      <c r="N5" s="19">
        <v>3</v>
      </c>
      <c r="O5" s="19">
        <v>6</v>
      </c>
      <c r="P5" s="19">
        <v>7</v>
      </c>
      <c r="Q5" s="19">
        <v>6</v>
      </c>
      <c r="R5" s="19">
        <v>4</v>
      </c>
      <c r="S5" s="19">
        <v>8</v>
      </c>
      <c r="T5" s="19">
        <v>5</v>
      </c>
      <c r="U5" s="19">
        <v>0</v>
      </c>
      <c r="V5" s="19">
        <v>6</v>
      </c>
      <c r="W5" s="19">
        <v>8</v>
      </c>
      <c r="X5" s="19">
        <v>0</v>
      </c>
      <c r="Y5" s="19">
        <v>9</v>
      </c>
      <c r="Z5" s="19">
        <v>10</v>
      </c>
      <c r="AA5" s="19">
        <v>1</v>
      </c>
      <c r="AB5" s="19">
        <v>10</v>
      </c>
      <c r="AC5" s="19">
        <v>7</v>
      </c>
      <c r="AD5" s="10">
        <f t="shared" si="0"/>
        <v>135</v>
      </c>
    </row>
    <row r="6" spans="1:30" ht="21" customHeight="1" x14ac:dyDescent="0.35">
      <c r="A6" s="6">
        <v>5</v>
      </c>
      <c r="B6" s="6" t="s">
        <v>290</v>
      </c>
      <c r="C6" s="6" t="s">
        <v>291</v>
      </c>
      <c r="D6" s="7" t="s">
        <v>292</v>
      </c>
      <c r="E6" s="18">
        <v>4</v>
      </c>
      <c r="F6" s="18">
        <v>6</v>
      </c>
      <c r="G6" s="18">
        <v>3</v>
      </c>
      <c r="H6" s="18">
        <v>4</v>
      </c>
      <c r="I6" s="18">
        <v>7</v>
      </c>
      <c r="J6" s="18">
        <v>1</v>
      </c>
      <c r="K6" s="18">
        <v>0</v>
      </c>
      <c r="L6" s="18">
        <v>5</v>
      </c>
      <c r="M6" s="18">
        <v>2</v>
      </c>
      <c r="N6" s="18">
        <v>1</v>
      </c>
      <c r="O6" s="18">
        <v>7</v>
      </c>
      <c r="P6" s="18">
        <v>4</v>
      </c>
      <c r="Q6" s="18">
        <v>0</v>
      </c>
      <c r="R6" s="18">
        <v>1</v>
      </c>
      <c r="S6" s="18">
        <v>8</v>
      </c>
      <c r="T6" s="18">
        <v>8</v>
      </c>
      <c r="U6" s="18">
        <v>6</v>
      </c>
      <c r="V6" s="18">
        <v>5</v>
      </c>
      <c r="W6" s="18">
        <v>4</v>
      </c>
      <c r="X6" s="18">
        <v>7</v>
      </c>
      <c r="Y6" s="18">
        <v>4</v>
      </c>
      <c r="Z6" s="18">
        <v>3</v>
      </c>
      <c r="AA6" s="18">
        <v>1</v>
      </c>
      <c r="AB6" s="18">
        <v>3</v>
      </c>
      <c r="AC6" s="18">
        <v>9</v>
      </c>
      <c r="AD6" s="10">
        <f t="shared" si="0"/>
        <v>103</v>
      </c>
    </row>
    <row r="7" spans="1:30" ht="21" customHeight="1" x14ac:dyDescent="0.35">
      <c r="A7" s="11">
        <v>6</v>
      </c>
      <c r="B7" s="11" t="s">
        <v>293</v>
      </c>
      <c r="C7" s="11" t="s">
        <v>294</v>
      </c>
      <c r="D7" s="12" t="s">
        <v>295</v>
      </c>
      <c r="E7" s="19">
        <v>9</v>
      </c>
      <c r="F7" s="19">
        <v>2</v>
      </c>
      <c r="G7" s="19">
        <v>5</v>
      </c>
      <c r="H7" s="19">
        <v>10</v>
      </c>
      <c r="I7" s="19">
        <v>0</v>
      </c>
      <c r="J7" s="19">
        <v>6</v>
      </c>
      <c r="K7" s="19">
        <v>4</v>
      </c>
      <c r="L7" s="19">
        <v>0</v>
      </c>
      <c r="M7" s="19">
        <v>4</v>
      </c>
      <c r="N7" s="19">
        <v>6</v>
      </c>
      <c r="O7" s="19">
        <v>2</v>
      </c>
      <c r="P7" s="19">
        <v>2</v>
      </c>
      <c r="Q7" s="19">
        <v>9</v>
      </c>
      <c r="R7" s="19">
        <v>6</v>
      </c>
      <c r="S7" s="19">
        <v>9</v>
      </c>
      <c r="T7" s="19">
        <v>8</v>
      </c>
      <c r="U7" s="19">
        <v>3</v>
      </c>
      <c r="V7" s="19">
        <v>5</v>
      </c>
      <c r="W7" s="19">
        <v>1</v>
      </c>
      <c r="X7" s="19">
        <v>1</v>
      </c>
      <c r="Y7" s="19">
        <v>1</v>
      </c>
      <c r="Z7" s="19">
        <v>4</v>
      </c>
      <c r="AA7" s="19">
        <v>4</v>
      </c>
      <c r="AB7" s="19">
        <v>8</v>
      </c>
      <c r="AC7" s="19">
        <v>0</v>
      </c>
      <c r="AD7" s="10">
        <f t="shared" si="0"/>
        <v>109</v>
      </c>
    </row>
    <row r="8" spans="1:30" ht="21" customHeight="1" x14ac:dyDescent="0.35">
      <c r="A8" s="6">
        <v>7</v>
      </c>
      <c r="B8" s="6" t="s">
        <v>296</v>
      </c>
      <c r="C8" s="6" t="s">
        <v>297</v>
      </c>
      <c r="D8" s="7" t="s">
        <v>298</v>
      </c>
      <c r="E8" s="18">
        <v>8</v>
      </c>
      <c r="F8" s="18">
        <v>5</v>
      </c>
      <c r="G8" s="18">
        <v>9</v>
      </c>
      <c r="H8" s="18">
        <v>1</v>
      </c>
      <c r="I8" s="18">
        <v>0</v>
      </c>
      <c r="J8" s="18">
        <v>2</v>
      </c>
      <c r="K8" s="18">
        <v>7</v>
      </c>
      <c r="L8" s="18">
        <v>7</v>
      </c>
      <c r="M8" s="18">
        <v>4</v>
      </c>
      <c r="N8" s="18">
        <v>8</v>
      </c>
      <c r="O8" s="18">
        <v>10</v>
      </c>
      <c r="P8" s="18">
        <v>2</v>
      </c>
      <c r="Q8" s="18">
        <v>8</v>
      </c>
      <c r="R8" s="18">
        <v>4</v>
      </c>
      <c r="S8" s="18">
        <v>5</v>
      </c>
      <c r="T8" s="18">
        <v>3</v>
      </c>
      <c r="U8" s="18">
        <v>4</v>
      </c>
      <c r="V8" s="18">
        <v>1</v>
      </c>
      <c r="W8" s="18">
        <v>9</v>
      </c>
      <c r="X8" s="18">
        <v>5</v>
      </c>
      <c r="Y8" s="18">
        <v>4</v>
      </c>
      <c r="Z8" s="18">
        <v>0</v>
      </c>
      <c r="AA8" s="18">
        <v>3</v>
      </c>
      <c r="AB8" s="18">
        <v>8</v>
      </c>
      <c r="AC8" s="18">
        <v>7</v>
      </c>
      <c r="AD8" s="10">
        <f t="shared" si="0"/>
        <v>124</v>
      </c>
    </row>
    <row r="9" spans="1:30" ht="21" customHeight="1" x14ac:dyDescent="0.35">
      <c r="A9" s="11">
        <v>8</v>
      </c>
      <c r="B9" s="11" t="s">
        <v>299</v>
      </c>
      <c r="C9" s="11" t="s">
        <v>300</v>
      </c>
      <c r="D9" s="12" t="s">
        <v>301</v>
      </c>
      <c r="E9" s="19">
        <v>8</v>
      </c>
      <c r="F9" s="19">
        <v>9</v>
      </c>
      <c r="G9" s="19">
        <v>1</v>
      </c>
      <c r="H9" s="19">
        <v>5</v>
      </c>
      <c r="I9" s="19">
        <v>10</v>
      </c>
      <c r="J9" s="19">
        <v>7</v>
      </c>
      <c r="K9" s="19">
        <v>5</v>
      </c>
      <c r="L9" s="19">
        <v>7</v>
      </c>
      <c r="M9" s="19">
        <v>8</v>
      </c>
      <c r="N9" s="19">
        <v>7</v>
      </c>
      <c r="O9" s="19">
        <v>1</v>
      </c>
      <c r="P9" s="19">
        <v>3</v>
      </c>
      <c r="Q9" s="19">
        <v>7</v>
      </c>
      <c r="R9" s="19">
        <v>2</v>
      </c>
      <c r="S9" s="19">
        <v>5</v>
      </c>
      <c r="T9" s="19">
        <v>5</v>
      </c>
      <c r="U9" s="19">
        <v>8</v>
      </c>
      <c r="V9" s="19">
        <v>7</v>
      </c>
      <c r="W9" s="19">
        <v>7</v>
      </c>
      <c r="X9" s="19">
        <v>5</v>
      </c>
      <c r="Y9" s="19">
        <v>8</v>
      </c>
      <c r="Z9" s="19">
        <v>0</v>
      </c>
      <c r="AA9" s="19">
        <v>8</v>
      </c>
      <c r="AB9" s="19">
        <v>6</v>
      </c>
      <c r="AC9" s="19">
        <v>1</v>
      </c>
      <c r="AD9" s="10">
        <f t="shared" si="0"/>
        <v>140</v>
      </c>
    </row>
    <row r="10" spans="1:30" ht="21" customHeight="1" x14ac:dyDescent="0.35">
      <c r="A10" s="6">
        <v>9</v>
      </c>
      <c r="B10" s="6" t="s">
        <v>302</v>
      </c>
      <c r="C10" s="6" t="s">
        <v>303</v>
      </c>
      <c r="D10" s="7" t="s">
        <v>304</v>
      </c>
      <c r="E10" s="18">
        <v>3</v>
      </c>
      <c r="F10" s="18">
        <v>7</v>
      </c>
      <c r="G10" s="18">
        <v>10</v>
      </c>
      <c r="H10" s="18">
        <v>1</v>
      </c>
      <c r="I10" s="18">
        <v>3</v>
      </c>
      <c r="J10" s="18">
        <v>7</v>
      </c>
      <c r="K10" s="18">
        <v>6</v>
      </c>
      <c r="L10" s="18">
        <v>9</v>
      </c>
      <c r="M10" s="18">
        <v>5</v>
      </c>
      <c r="N10" s="18">
        <v>3</v>
      </c>
      <c r="O10" s="18">
        <v>7</v>
      </c>
      <c r="P10" s="18">
        <v>6</v>
      </c>
      <c r="Q10" s="18">
        <v>4</v>
      </c>
      <c r="R10" s="18">
        <v>8</v>
      </c>
      <c r="S10" s="18">
        <v>4</v>
      </c>
      <c r="T10" s="18">
        <v>3</v>
      </c>
      <c r="U10" s="18">
        <v>4</v>
      </c>
      <c r="V10" s="18">
        <v>2</v>
      </c>
      <c r="W10" s="18">
        <v>10</v>
      </c>
      <c r="X10" s="18">
        <v>10</v>
      </c>
      <c r="Y10" s="18">
        <v>3</v>
      </c>
      <c r="Z10" s="18">
        <v>1</v>
      </c>
      <c r="AA10" s="18">
        <v>4</v>
      </c>
      <c r="AB10" s="18">
        <v>3</v>
      </c>
      <c r="AC10" s="18">
        <v>3</v>
      </c>
      <c r="AD10" s="10">
        <f t="shared" si="0"/>
        <v>126</v>
      </c>
    </row>
    <row r="11" spans="1:30" ht="21" customHeight="1" x14ac:dyDescent="0.35">
      <c r="A11" s="11">
        <v>10</v>
      </c>
      <c r="B11" s="11" t="s">
        <v>305</v>
      </c>
      <c r="C11" s="11" t="s">
        <v>306</v>
      </c>
      <c r="D11" s="12" t="s">
        <v>307</v>
      </c>
      <c r="E11" s="19">
        <v>2</v>
      </c>
      <c r="F11" s="19">
        <v>3</v>
      </c>
      <c r="G11" s="19">
        <v>6</v>
      </c>
      <c r="H11" s="19">
        <v>2</v>
      </c>
      <c r="I11" s="19">
        <v>5</v>
      </c>
      <c r="J11" s="19">
        <v>3</v>
      </c>
      <c r="K11" s="19">
        <v>2</v>
      </c>
      <c r="L11" s="19">
        <v>10</v>
      </c>
      <c r="M11" s="19">
        <v>0</v>
      </c>
      <c r="N11" s="19">
        <v>6</v>
      </c>
      <c r="O11" s="19">
        <v>7</v>
      </c>
      <c r="P11" s="19">
        <v>2</v>
      </c>
      <c r="Q11" s="19">
        <v>7</v>
      </c>
      <c r="R11" s="19">
        <v>3</v>
      </c>
      <c r="S11" s="19">
        <v>10</v>
      </c>
      <c r="T11" s="19">
        <v>4</v>
      </c>
      <c r="U11" s="19">
        <v>4</v>
      </c>
      <c r="V11" s="19">
        <v>2</v>
      </c>
      <c r="W11" s="19">
        <v>2</v>
      </c>
      <c r="X11" s="19">
        <v>0</v>
      </c>
      <c r="Y11" s="19">
        <v>10</v>
      </c>
      <c r="Z11" s="19">
        <v>9</v>
      </c>
      <c r="AA11" s="19">
        <v>7</v>
      </c>
      <c r="AB11" s="19">
        <v>7</v>
      </c>
      <c r="AC11" s="19">
        <v>2</v>
      </c>
      <c r="AD11" s="10">
        <f t="shared" si="0"/>
        <v>115</v>
      </c>
    </row>
    <row r="12" spans="1:30" ht="21" customHeight="1" x14ac:dyDescent="0.35">
      <c r="A12" s="6">
        <v>11</v>
      </c>
      <c r="B12" s="6" t="s">
        <v>308</v>
      </c>
      <c r="C12" s="6" t="s">
        <v>309</v>
      </c>
      <c r="D12" s="7" t="s">
        <v>310</v>
      </c>
      <c r="E12" s="18">
        <v>5</v>
      </c>
      <c r="F12" s="18">
        <v>5</v>
      </c>
      <c r="G12" s="18">
        <v>8</v>
      </c>
      <c r="H12" s="18">
        <v>9</v>
      </c>
      <c r="I12" s="18">
        <v>7</v>
      </c>
      <c r="J12" s="18">
        <v>1</v>
      </c>
      <c r="K12" s="18">
        <v>9</v>
      </c>
      <c r="L12" s="18">
        <v>10</v>
      </c>
      <c r="M12" s="18">
        <v>2</v>
      </c>
      <c r="N12" s="18">
        <v>3</v>
      </c>
      <c r="O12" s="18">
        <v>7</v>
      </c>
      <c r="P12" s="18">
        <v>4</v>
      </c>
      <c r="Q12" s="18">
        <v>1</v>
      </c>
      <c r="R12" s="18">
        <v>3</v>
      </c>
      <c r="S12" s="18">
        <v>7</v>
      </c>
      <c r="T12" s="18">
        <v>7</v>
      </c>
      <c r="U12" s="18">
        <v>2</v>
      </c>
      <c r="V12" s="18">
        <v>6</v>
      </c>
      <c r="W12" s="18">
        <v>2</v>
      </c>
      <c r="X12" s="18">
        <v>7</v>
      </c>
      <c r="Y12" s="18">
        <v>0</v>
      </c>
      <c r="Z12" s="18">
        <v>3</v>
      </c>
      <c r="AA12" s="18">
        <v>2</v>
      </c>
      <c r="AB12" s="18">
        <v>10</v>
      </c>
      <c r="AC12" s="18">
        <v>1</v>
      </c>
      <c r="AD12" s="10">
        <f t="shared" si="0"/>
        <v>121</v>
      </c>
    </row>
    <row r="13" spans="1:30" ht="21" customHeight="1" x14ac:dyDescent="0.35">
      <c r="A13" s="11">
        <v>12</v>
      </c>
      <c r="B13" s="11" t="s">
        <v>311</v>
      </c>
      <c r="C13" s="11" t="s">
        <v>312</v>
      </c>
      <c r="D13" s="12" t="s">
        <v>313</v>
      </c>
      <c r="E13" s="19">
        <v>3</v>
      </c>
      <c r="F13" s="19">
        <v>7</v>
      </c>
      <c r="G13" s="19">
        <v>2</v>
      </c>
      <c r="H13" s="19">
        <v>7</v>
      </c>
      <c r="I13" s="19">
        <v>3</v>
      </c>
      <c r="J13" s="19">
        <v>4</v>
      </c>
      <c r="K13" s="19">
        <v>9</v>
      </c>
      <c r="L13" s="19">
        <v>10</v>
      </c>
      <c r="M13" s="19">
        <v>2</v>
      </c>
      <c r="N13" s="19">
        <v>4</v>
      </c>
      <c r="O13" s="19">
        <v>1</v>
      </c>
      <c r="P13" s="19">
        <v>2</v>
      </c>
      <c r="Q13" s="19">
        <v>9</v>
      </c>
      <c r="R13" s="19">
        <v>3</v>
      </c>
      <c r="S13" s="19">
        <v>6</v>
      </c>
      <c r="T13" s="19">
        <v>10</v>
      </c>
      <c r="U13" s="19">
        <v>10</v>
      </c>
      <c r="V13" s="19">
        <v>0</v>
      </c>
      <c r="W13" s="19">
        <v>0</v>
      </c>
      <c r="X13" s="19">
        <v>3</v>
      </c>
      <c r="Y13" s="19">
        <v>6</v>
      </c>
      <c r="Z13" s="19">
        <v>4</v>
      </c>
      <c r="AA13" s="19">
        <v>0</v>
      </c>
      <c r="AB13" s="19">
        <v>6</v>
      </c>
      <c r="AC13" s="19">
        <v>1</v>
      </c>
      <c r="AD13" s="10">
        <f t="shared" si="0"/>
        <v>112</v>
      </c>
    </row>
    <row r="14" spans="1:30" ht="21" customHeight="1" x14ac:dyDescent="0.35">
      <c r="A14" s="6">
        <v>13</v>
      </c>
      <c r="B14" s="6" t="s">
        <v>314</v>
      </c>
      <c r="C14" s="6" t="s">
        <v>315</v>
      </c>
      <c r="D14" s="7" t="s">
        <v>316</v>
      </c>
      <c r="E14" s="18">
        <v>4</v>
      </c>
      <c r="F14" s="18">
        <v>7</v>
      </c>
      <c r="G14" s="18">
        <v>1</v>
      </c>
      <c r="H14" s="18">
        <v>10</v>
      </c>
      <c r="I14" s="18">
        <v>6</v>
      </c>
      <c r="J14" s="18">
        <v>5</v>
      </c>
      <c r="K14" s="18">
        <v>9</v>
      </c>
      <c r="L14" s="18">
        <v>2</v>
      </c>
      <c r="M14" s="18">
        <v>4</v>
      </c>
      <c r="N14" s="18">
        <v>7</v>
      </c>
      <c r="O14" s="18">
        <v>3</v>
      </c>
      <c r="P14" s="18">
        <v>7</v>
      </c>
      <c r="Q14" s="18">
        <v>5</v>
      </c>
      <c r="R14" s="18">
        <v>7</v>
      </c>
      <c r="S14" s="18">
        <v>9</v>
      </c>
      <c r="T14" s="18">
        <v>6</v>
      </c>
      <c r="U14" s="18">
        <v>8</v>
      </c>
      <c r="V14" s="18">
        <v>2</v>
      </c>
      <c r="W14" s="18">
        <v>2</v>
      </c>
      <c r="X14" s="18">
        <v>6</v>
      </c>
      <c r="Y14" s="18">
        <v>6</v>
      </c>
      <c r="Z14" s="18">
        <v>5</v>
      </c>
      <c r="AA14" s="18">
        <v>2</v>
      </c>
      <c r="AB14" s="18">
        <v>8</v>
      </c>
      <c r="AC14" s="18">
        <v>4</v>
      </c>
      <c r="AD14" s="10">
        <f t="shared" si="0"/>
        <v>135</v>
      </c>
    </row>
    <row r="15" spans="1:30" ht="21" customHeight="1" x14ac:dyDescent="0.35">
      <c r="A15" s="11">
        <v>14</v>
      </c>
      <c r="B15" s="11" t="s">
        <v>317</v>
      </c>
      <c r="C15" s="11" t="s">
        <v>318</v>
      </c>
      <c r="D15" s="12" t="s">
        <v>319</v>
      </c>
      <c r="E15" s="19">
        <v>10</v>
      </c>
      <c r="F15" s="19">
        <v>6</v>
      </c>
      <c r="G15" s="19">
        <v>5</v>
      </c>
      <c r="H15" s="19">
        <v>4</v>
      </c>
      <c r="I15" s="19">
        <v>9</v>
      </c>
      <c r="J15" s="19">
        <v>10</v>
      </c>
      <c r="K15" s="19">
        <v>0</v>
      </c>
      <c r="L15" s="19">
        <v>4</v>
      </c>
      <c r="M15" s="19">
        <v>3</v>
      </c>
      <c r="N15" s="19">
        <v>0</v>
      </c>
      <c r="O15" s="19">
        <v>0</v>
      </c>
      <c r="P15" s="19">
        <v>2</v>
      </c>
      <c r="Q15" s="19">
        <v>9</v>
      </c>
      <c r="R15" s="19">
        <v>2</v>
      </c>
      <c r="S15" s="19">
        <v>6</v>
      </c>
      <c r="T15" s="19">
        <v>5</v>
      </c>
      <c r="U15" s="19">
        <v>7</v>
      </c>
      <c r="V15" s="19">
        <v>8</v>
      </c>
      <c r="W15" s="19">
        <v>7</v>
      </c>
      <c r="X15" s="19">
        <v>4</v>
      </c>
      <c r="Y15" s="19">
        <v>0</v>
      </c>
      <c r="Z15" s="19">
        <v>2</v>
      </c>
      <c r="AA15" s="19">
        <v>6</v>
      </c>
      <c r="AB15" s="19">
        <v>8</v>
      </c>
      <c r="AC15" s="19">
        <v>6</v>
      </c>
      <c r="AD15" s="10">
        <f t="shared" si="0"/>
        <v>123</v>
      </c>
    </row>
    <row r="16" spans="1:30" ht="21" customHeight="1" x14ac:dyDescent="0.35">
      <c r="A16" s="6">
        <v>15</v>
      </c>
      <c r="B16" s="6" t="s">
        <v>320</v>
      </c>
      <c r="C16" s="6" t="s">
        <v>321</v>
      </c>
      <c r="D16" s="7" t="s">
        <v>322</v>
      </c>
      <c r="E16" s="18">
        <v>7</v>
      </c>
      <c r="F16" s="18">
        <v>7</v>
      </c>
      <c r="G16" s="18">
        <v>9</v>
      </c>
      <c r="H16" s="18">
        <v>10</v>
      </c>
      <c r="I16" s="18">
        <v>0</v>
      </c>
      <c r="J16" s="18">
        <v>2</v>
      </c>
      <c r="K16" s="18">
        <v>9</v>
      </c>
      <c r="L16" s="18">
        <v>2</v>
      </c>
      <c r="M16" s="18">
        <v>4</v>
      </c>
      <c r="N16" s="18">
        <v>5</v>
      </c>
      <c r="O16" s="18">
        <v>7</v>
      </c>
      <c r="P16" s="18">
        <v>2</v>
      </c>
      <c r="Q16" s="18">
        <v>3</v>
      </c>
      <c r="R16" s="18">
        <v>7</v>
      </c>
      <c r="S16" s="18">
        <v>6</v>
      </c>
      <c r="T16" s="18">
        <v>9</v>
      </c>
      <c r="U16" s="18">
        <v>4</v>
      </c>
      <c r="V16" s="18">
        <v>5</v>
      </c>
      <c r="W16" s="18">
        <v>6</v>
      </c>
      <c r="X16" s="18">
        <v>4</v>
      </c>
      <c r="Y16" s="18">
        <v>6</v>
      </c>
      <c r="Z16" s="18">
        <v>7</v>
      </c>
      <c r="AA16" s="18">
        <v>4</v>
      </c>
      <c r="AB16" s="18">
        <v>5</v>
      </c>
      <c r="AC16" s="18">
        <v>5</v>
      </c>
      <c r="AD16" s="10">
        <f t="shared" si="0"/>
        <v>135</v>
      </c>
    </row>
    <row r="17" spans="1:30" ht="21" customHeight="1" x14ac:dyDescent="0.35">
      <c r="A17" s="11">
        <v>16</v>
      </c>
      <c r="B17" s="11" t="s">
        <v>323</v>
      </c>
      <c r="C17" s="11" t="s">
        <v>324</v>
      </c>
      <c r="D17" s="12" t="s">
        <v>325</v>
      </c>
      <c r="E17" s="19">
        <v>5</v>
      </c>
      <c r="F17" s="19">
        <v>2</v>
      </c>
      <c r="G17" s="19">
        <v>3</v>
      </c>
      <c r="H17" s="19">
        <v>3</v>
      </c>
      <c r="I17" s="19">
        <v>5</v>
      </c>
      <c r="J17" s="19">
        <v>5</v>
      </c>
      <c r="K17" s="19">
        <v>1</v>
      </c>
      <c r="L17" s="19">
        <v>8</v>
      </c>
      <c r="M17" s="19">
        <v>5</v>
      </c>
      <c r="N17" s="19">
        <v>4</v>
      </c>
      <c r="O17" s="19">
        <v>8</v>
      </c>
      <c r="P17" s="19">
        <v>6</v>
      </c>
      <c r="Q17" s="19">
        <v>9</v>
      </c>
      <c r="R17" s="19">
        <v>4</v>
      </c>
      <c r="S17" s="19">
        <v>7</v>
      </c>
      <c r="T17" s="19">
        <v>1</v>
      </c>
      <c r="U17" s="19">
        <v>6</v>
      </c>
      <c r="V17" s="19">
        <v>3</v>
      </c>
      <c r="W17" s="19">
        <v>3</v>
      </c>
      <c r="X17" s="19">
        <v>8</v>
      </c>
      <c r="Y17" s="19">
        <v>6</v>
      </c>
      <c r="Z17" s="19">
        <v>2</v>
      </c>
      <c r="AA17" s="19">
        <v>4</v>
      </c>
      <c r="AB17" s="19">
        <v>0</v>
      </c>
      <c r="AC17" s="19">
        <v>10</v>
      </c>
      <c r="AD17" s="10">
        <f t="shared" si="0"/>
        <v>118</v>
      </c>
    </row>
    <row r="18" spans="1:30" ht="21" customHeight="1" x14ac:dyDescent="0.35">
      <c r="A18" s="6">
        <v>17</v>
      </c>
      <c r="B18" s="6" t="s">
        <v>326</v>
      </c>
      <c r="C18" s="6" t="s">
        <v>327</v>
      </c>
      <c r="D18" s="7" t="s">
        <v>328</v>
      </c>
      <c r="E18" s="18">
        <v>4</v>
      </c>
      <c r="F18" s="18">
        <v>7</v>
      </c>
      <c r="G18" s="18">
        <v>5</v>
      </c>
      <c r="H18" s="18">
        <v>7</v>
      </c>
      <c r="I18" s="18">
        <v>7</v>
      </c>
      <c r="J18" s="18">
        <v>4</v>
      </c>
      <c r="K18" s="18">
        <v>2</v>
      </c>
      <c r="L18" s="18">
        <v>6</v>
      </c>
      <c r="M18" s="18">
        <v>1</v>
      </c>
      <c r="N18" s="18">
        <v>1</v>
      </c>
      <c r="O18" s="18">
        <v>3</v>
      </c>
      <c r="P18" s="18">
        <v>2</v>
      </c>
      <c r="Q18" s="18">
        <v>9</v>
      </c>
      <c r="R18" s="18">
        <v>7</v>
      </c>
      <c r="S18" s="18">
        <v>5</v>
      </c>
      <c r="T18" s="18">
        <v>1</v>
      </c>
      <c r="U18" s="18">
        <v>10</v>
      </c>
      <c r="V18" s="18">
        <v>3</v>
      </c>
      <c r="W18" s="18">
        <v>8</v>
      </c>
      <c r="X18" s="18">
        <v>1</v>
      </c>
      <c r="Y18" s="18">
        <v>5</v>
      </c>
      <c r="Z18" s="18">
        <v>4</v>
      </c>
      <c r="AA18" s="18">
        <v>0</v>
      </c>
      <c r="AB18" s="18">
        <v>4</v>
      </c>
      <c r="AC18" s="18">
        <v>5</v>
      </c>
      <c r="AD18" s="10">
        <f t="shared" si="0"/>
        <v>111</v>
      </c>
    </row>
    <row r="19" spans="1:30" ht="21" customHeight="1" x14ac:dyDescent="0.35">
      <c r="A19" s="11">
        <v>18</v>
      </c>
      <c r="B19" s="11" t="s">
        <v>329</v>
      </c>
      <c r="C19" s="11" t="s">
        <v>330</v>
      </c>
      <c r="D19" s="12" t="s">
        <v>331</v>
      </c>
      <c r="E19" s="19">
        <v>8</v>
      </c>
      <c r="F19" s="19">
        <v>0</v>
      </c>
      <c r="G19" s="19">
        <v>9</v>
      </c>
      <c r="H19" s="19">
        <v>6</v>
      </c>
      <c r="I19" s="19">
        <v>7</v>
      </c>
      <c r="J19" s="19">
        <v>4</v>
      </c>
      <c r="K19" s="19">
        <v>2</v>
      </c>
      <c r="L19" s="19">
        <v>3</v>
      </c>
      <c r="M19" s="19">
        <v>8</v>
      </c>
      <c r="N19" s="19">
        <v>7</v>
      </c>
      <c r="O19" s="19">
        <v>8</v>
      </c>
      <c r="P19" s="19">
        <v>1</v>
      </c>
      <c r="Q19" s="19">
        <v>7</v>
      </c>
      <c r="R19" s="19">
        <v>7</v>
      </c>
      <c r="S19" s="19">
        <v>3</v>
      </c>
      <c r="T19" s="19">
        <v>9</v>
      </c>
      <c r="U19" s="19">
        <v>4</v>
      </c>
      <c r="V19" s="19">
        <v>5</v>
      </c>
      <c r="W19" s="19">
        <v>10</v>
      </c>
      <c r="X19" s="19">
        <v>9</v>
      </c>
      <c r="Y19" s="19">
        <v>1</v>
      </c>
      <c r="Z19" s="19">
        <v>4</v>
      </c>
      <c r="AA19" s="19">
        <v>8</v>
      </c>
      <c r="AB19" s="19">
        <v>0</v>
      </c>
      <c r="AC19" s="19">
        <v>5</v>
      </c>
      <c r="AD19" s="10">
        <f t="shared" si="0"/>
        <v>135</v>
      </c>
    </row>
    <row r="20" spans="1:30" ht="21" customHeight="1" x14ac:dyDescent="0.35">
      <c r="A20" s="6">
        <v>19</v>
      </c>
      <c r="B20" s="6" t="s">
        <v>332</v>
      </c>
      <c r="C20" s="6" t="s">
        <v>333</v>
      </c>
      <c r="D20" s="7" t="s">
        <v>334</v>
      </c>
      <c r="E20" s="18">
        <v>9</v>
      </c>
      <c r="F20" s="18">
        <v>7</v>
      </c>
      <c r="G20" s="18">
        <v>9</v>
      </c>
      <c r="H20" s="18">
        <v>0</v>
      </c>
      <c r="I20" s="18">
        <v>7</v>
      </c>
      <c r="J20" s="18">
        <v>8</v>
      </c>
      <c r="K20" s="18">
        <v>6</v>
      </c>
      <c r="L20" s="18">
        <v>5</v>
      </c>
      <c r="M20" s="18">
        <v>10</v>
      </c>
      <c r="N20" s="18">
        <v>4</v>
      </c>
      <c r="O20" s="18">
        <v>5</v>
      </c>
      <c r="P20" s="18">
        <v>2</v>
      </c>
      <c r="Q20" s="18">
        <v>0</v>
      </c>
      <c r="R20" s="18">
        <v>5</v>
      </c>
      <c r="S20" s="18">
        <v>4</v>
      </c>
      <c r="T20" s="18">
        <v>6</v>
      </c>
      <c r="U20" s="18">
        <v>0</v>
      </c>
      <c r="V20" s="18">
        <v>9</v>
      </c>
      <c r="W20" s="18">
        <v>6</v>
      </c>
      <c r="X20" s="18">
        <v>2</v>
      </c>
      <c r="Y20" s="18">
        <v>10</v>
      </c>
      <c r="Z20" s="18">
        <v>5</v>
      </c>
      <c r="AA20" s="18">
        <v>9</v>
      </c>
      <c r="AB20" s="18">
        <v>5</v>
      </c>
      <c r="AC20" s="18">
        <v>7</v>
      </c>
      <c r="AD20" s="10">
        <f t="shared" si="0"/>
        <v>140</v>
      </c>
    </row>
    <row r="21" spans="1:30" ht="21" customHeight="1" x14ac:dyDescent="0.35">
      <c r="A21" s="11">
        <v>20</v>
      </c>
      <c r="B21" s="11" t="s">
        <v>335</v>
      </c>
      <c r="C21" s="11" t="s">
        <v>336</v>
      </c>
      <c r="D21" s="12" t="s">
        <v>337</v>
      </c>
      <c r="E21" s="19">
        <v>7</v>
      </c>
      <c r="F21" s="19">
        <v>6</v>
      </c>
      <c r="G21" s="19">
        <v>9</v>
      </c>
      <c r="H21" s="19">
        <v>8</v>
      </c>
      <c r="I21" s="19">
        <v>1</v>
      </c>
      <c r="J21" s="19">
        <v>7</v>
      </c>
      <c r="K21" s="19">
        <v>4</v>
      </c>
      <c r="L21" s="19">
        <v>9</v>
      </c>
      <c r="M21" s="19">
        <v>9</v>
      </c>
      <c r="N21" s="19">
        <v>0</v>
      </c>
      <c r="O21" s="19">
        <v>8</v>
      </c>
      <c r="P21" s="19">
        <v>2</v>
      </c>
      <c r="Q21" s="19">
        <v>7</v>
      </c>
      <c r="R21" s="19">
        <v>8</v>
      </c>
      <c r="S21" s="19">
        <v>7</v>
      </c>
      <c r="T21" s="19">
        <v>5</v>
      </c>
      <c r="U21" s="19">
        <v>5</v>
      </c>
      <c r="V21" s="19">
        <v>8</v>
      </c>
      <c r="W21" s="19">
        <v>10</v>
      </c>
      <c r="X21" s="19">
        <v>3</v>
      </c>
      <c r="Y21" s="19">
        <v>10</v>
      </c>
      <c r="Z21" s="19">
        <v>8</v>
      </c>
      <c r="AA21" s="19">
        <v>9</v>
      </c>
      <c r="AB21" s="19">
        <v>10</v>
      </c>
      <c r="AC21" s="19">
        <v>1</v>
      </c>
      <c r="AD21" s="10">
        <f t="shared" si="0"/>
        <v>161</v>
      </c>
    </row>
    <row r="22" spans="1:30" ht="21" customHeight="1" x14ac:dyDescent="0.35">
      <c r="A22" s="6">
        <v>21</v>
      </c>
      <c r="B22" s="6" t="s">
        <v>338</v>
      </c>
      <c r="C22" s="6" t="s">
        <v>339</v>
      </c>
      <c r="D22" s="7" t="s">
        <v>340</v>
      </c>
      <c r="E22" s="18">
        <v>6</v>
      </c>
      <c r="F22" s="18">
        <v>7</v>
      </c>
      <c r="G22" s="18">
        <v>4</v>
      </c>
      <c r="H22" s="18">
        <v>6</v>
      </c>
      <c r="I22" s="18">
        <v>2</v>
      </c>
      <c r="J22" s="18">
        <v>1</v>
      </c>
      <c r="K22" s="18">
        <v>1</v>
      </c>
      <c r="L22" s="18">
        <v>3</v>
      </c>
      <c r="M22" s="18">
        <v>3</v>
      </c>
      <c r="N22" s="18">
        <v>3</v>
      </c>
      <c r="O22" s="18">
        <v>7</v>
      </c>
      <c r="P22" s="18">
        <v>9</v>
      </c>
      <c r="Q22" s="18">
        <v>9</v>
      </c>
      <c r="R22" s="18">
        <v>7</v>
      </c>
      <c r="S22" s="18">
        <v>0</v>
      </c>
      <c r="T22" s="18">
        <v>8</v>
      </c>
      <c r="U22" s="18">
        <v>9</v>
      </c>
      <c r="V22" s="18">
        <v>2</v>
      </c>
      <c r="W22" s="18">
        <v>7</v>
      </c>
      <c r="X22" s="18">
        <v>6</v>
      </c>
      <c r="Y22" s="18">
        <v>7</v>
      </c>
      <c r="Z22" s="18">
        <v>5</v>
      </c>
      <c r="AA22" s="18">
        <v>5</v>
      </c>
      <c r="AB22" s="18">
        <v>2</v>
      </c>
      <c r="AC22" s="18">
        <v>2</v>
      </c>
      <c r="AD22" s="10">
        <f t="shared" si="0"/>
        <v>121</v>
      </c>
    </row>
    <row r="23" spans="1:30" ht="21" customHeight="1" x14ac:dyDescent="0.35">
      <c r="A23" s="11">
        <v>22</v>
      </c>
      <c r="B23" s="11" t="s">
        <v>341</v>
      </c>
      <c r="C23" s="11" t="s">
        <v>342</v>
      </c>
      <c r="D23" s="12" t="s">
        <v>343</v>
      </c>
      <c r="E23" s="19">
        <v>7</v>
      </c>
      <c r="F23" s="19">
        <v>7</v>
      </c>
      <c r="G23" s="19">
        <v>1</v>
      </c>
      <c r="H23" s="19">
        <v>6</v>
      </c>
      <c r="I23" s="19">
        <v>3</v>
      </c>
      <c r="J23" s="19">
        <v>7</v>
      </c>
      <c r="K23" s="19">
        <v>3</v>
      </c>
      <c r="L23" s="19">
        <v>4</v>
      </c>
      <c r="M23" s="19">
        <v>5</v>
      </c>
      <c r="N23" s="19">
        <v>10</v>
      </c>
      <c r="O23" s="19">
        <v>5</v>
      </c>
      <c r="P23" s="19">
        <v>3</v>
      </c>
      <c r="Q23" s="19">
        <v>3</v>
      </c>
      <c r="R23" s="19">
        <v>1</v>
      </c>
      <c r="S23" s="19">
        <v>5</v>
      </c>
      <c r="T23" s="19">
        <v>8</v>
      </c>
      <c r="U23" s="19">
        <v>7</v>
      </c>
      <c r="V23" s="19">
        <v>7</v>
      </c>
      <c r="W23" s="19">
        <v>8</v>
      </c>
      <c r="X23" s="19">
        <v>0</v>
      </c>
      <c r="Y23" s="19">
        <v>0</v>
      </c>
      <c r="Z23" s="19">
        <v>3</v>
      </c>
      <c r="AA23" s="19">
        <v>4</v>
      </c>
      <c r="AB23" s="19">
        <v>2</v>
      </c>
      <c r="AC23" s="19">
        <v>8</v>
      </c>
      <c r="AD23" s="10">
        <f t="shared" si="0"/>
        <v>117</v>
      </c>
    </row>
    <row r="24" spans="1:30" ht="21" customHeight="1" x14ac:dyDescent="0.35">
      <c r="A24" s="6">
        <v>23</v>
      </c>
      <c r="B24" s="6" t="s">
        <v>344</v>
      </c>
      <c r="C24" s="6" t="s">
        <v>345</v>
      </c>
      <c r="D24" s="7" t="s">
        <v>346</v>
      </c>
      <c r="E24" s="18">
        <v>1</v>
      </c>
      <c r="F24" s="18">
        <v>5</v>
      </c>
      <c r="G24" s="18">
        <v>0</v>
      </c>
      <c r="H24" s="18">
        <v>5</v>
      </c>
      <c r="I24" s="18">
        <v>7</v>
      </c>
      <c r="J24" s="18">
        <v>1</v>
      </c>
      <c r="K24" s="18">
        <v>6</v>
      </c>
      <c r="L24" s="18">
        <v>10</v>
      </c>
      <c r="M24" s="18">
        <v>5</v>
      </c>
      <c r="N24" s="18">
        <v>2</v>
      </c>
      <c r="O24" s="18">
        <v>0</v>
      </c>
      <c r="P24" s="18">
        <v>2</v>
      </c>
      <c r="Q24" s="18">
        <v>10</v>
      </c>
      <c r="R24" s="18">
        <v>3</v>
      </c>
      <c r="S24" s="18">
        <v>6</v>
      </c>
      <c r="T24" s="18">
        <v>10</v>
      </c>
      <c r="U24" s="18">
        <v>2</v>
      </c>
      <c r="V24" s="18">
        <v>5</v>
      </c>
      <c r="W24" s="18">
        <v>5</v>
      </c>
      <c r="X24" s="18">
        <v>3</v>
      </c>
      <c r="Y24" s="18">
        <v>0</v>
      </c>
      <c r="Z24" s="18">
        <v>3</v>
      </c>
      <c r="AA24" s="18">
        <v>9</v>
      </c>
      <c r="AB24" s="18">
        <v>2</v>
      </c>
      <c r="AC24" s="18">
        <v>2</v>
      </c>
      <c r="AD24" s="10">
        <f t="shared" si="0"/>
        <v>104</v>
      </c>
    </row>
    <row r="25" spans="1:30" ht="21" customHeight="1" x14ac:dyDescent="0.35">
      <c r="A25" s="11">
        <v>24</v>
      </c>
      <c r="B25" s="11" t="s">
        <v>347</v>
      </c>
      <c r="C25" s="11" t="s">
        <v>348</v>
      </c>
      <c r="D25" s="12" t="s">
        <v>349</v>
      </c>
      <c r="E25" s="19">
        <v>7</v>
      </c>
      <c r="F25" s="19">
        <v>7</v>
      </c>
      <c r="G25" s="19">
        <v>4</v>
      </c>
      <c r="H25" s="19">
        <v>2</v>
      </c>
      <c r="I25" s="19">
        <v>7</v>
      </c>
      <c r="J25" s="19">
        <v>10</v>
      </c>
      <c r="K25" s="19">
        <v>10</v>
      </c>
      <c r="L25" s="19">
        <v>1</v>
      </c>
      <c r="M25" s="19">
        <v>8</v>
      </c>
      <c r="N25" s="19">
        <v>0</v>
      </c>
      <c r="O25" s="19">
        <v>9</v>
      </c>
      <c r="P25" s="19">
        <v>3</v>
      </c>
      <c r="Q25" s="19">
        <v>1</v>
      </c>
      <c r="R25" s="19">
        <v>6</v>
      </c>
      <c r="S25" s="19">
        <v>5</v>
      </c>
      <c r="T25" s="19">
        <v>2</v>
      </c>
      <c r="U25" s="19">
        <v>1</v>
      </c>
      <c r="V25" s="19">
        <v>7</v>
      </c>
      <c r="W25" s="19">
        <v>9</v>
      </c>
      <c r="X25" s="19">
        <v>10</v>
      </c>
      <c r="Y25" s="19">
        <v>9</v>
      </c>
      <c r="Z25" s="19">
        <v>8</v>
      </c>
      <c r="AA25" s="19">
        <v>1</v>
      </c>
      <c r="AB25" s="19">
        <v>7</v>
      </c>
      <c r="AC25" s="19">
        <v>10</v>
      </c>
      <c r="AD25" s="10">
        <f t="shared" si="0"/>
        <v>144</v>
      </c>
    </row>
    <row r="26" spans="1:30" ht="21" customHeight="1" x14ac:dyDescent="0.35">
      <c r="A26" s="6">
        <v>25</v>
      </c>
      <c r="B26" s="6" t="s">
        <v>350</v>
      </c>
      <c r="C26" s="6" t="s">
        <v>351</v>
      </c>
      <c r="D26" s="7" t="s">
        <v>352</v>
      </c>
      <c r="E26" s="18">
        <v>5</v>
      </c>
      <c r="F26" s="18">
        <v>7</v>
      </c>
      <c r="G26" s="18">
        <v>1</v>
      </c>
      <c r="H26" s="18">
        <v>7</v>
      </c>
      <c r="I26" s="18">
        <v>0</v>
      </c>
      <c r="J26" s="18">
        <v>8</v>
      </c>
      <c r="K26" s="18">
        <v>8</v>
      </c>
      <c r="L26" s="18">
        <v>0</v>
      </c>
      <c r="M26" s="18">
        <v>10</v>
      </c>
      <c r="N26" s="18">
        <v>8</v>
      </c>
      <c r="O26" s="18">
        <v>4</v>
      </c>
      <c r="P26" s="18">
        <v>10</v>
      </c>
      <c r="Q26" s="18">
        <v>4</v>
      </c>
      <c r="R26" s="18">
        <v>7</v>
      </c>
      <c r="S26" s="18">
        <v>7</v>
      </c>
      <c r="T26" s="18">
        <v>10</v>
      </c>
      <c r="U26" s="18">
        <v>1</v>
      </c>
      <c r="V26" s="18">
        <v>3</v>
      </c>
      <c r="W26" s="18">
        <v>4</v>
      </c>
      <c r="X26" s="18">
        <v>3</v>
      </c>
      <c r="Y26" s="18">
        <v>7</v>
      </c>
      <c r="Z26" s="18">
        <v>0</v>
      </c>
      <c r="AA26" s="18">
        <v>6</v>
      </c>
      <c r="AB26" s="18">
        <v>4</v>
      </c>
      <c r="AC26" s="18">
        <v>5</v>
      </c>
      <c r="AD26" s="10">
        <f t="shared" si="0"/>
        <v>129</v>
      </c>
    </row>
    <row r="27" spans="1:30" ht="21" customHeight="1" x14ac:dyDescent="0.35">
      <c r="A27" s="11">
        <v>26</v>
      </c>
      <c r="B27" s="11" t="s">
        <v>353</v>
      </c>
      <c r="C27" s="11" t="s">
        <v>354</v>
      </c>
      <c r="D27" s="12" t="s">
        <v>355</v>
      </c>
      <c r="E27" s="19">
        <v>8</v>
      </c>
      <c r="F27" s="19">
        <v>5</v>
      </c>
      <c r="G27" s="19">
        <v>3</v>
      </c>
      <c r="H27" s="19">
        <v>9</v>
      </c>
      <c r="I27" s="19">
        <v>6</v>
      </c>
      <c r="J27" s="19">
        <v>7</v>
      </c>
      <c r="K27" s="19">
        <v>4</v>
      </c>
      <c r="L27" s="19">
        <v>10</v>
      </c>
      <c r="M27" s="19">
        <v>0</v>
      </c>
      <c r="N27" s="19">
        <v>2</v>
      </c>
      <c r="O27" s="19">
        <v>9</v>
      </c>
      <c r="P27" s="19">
        <v>7</v>
      </c>
      <c r="Q27" s="19">
        <v>10</v>
      </c>
      <c r="R27" s="19">
        <v>5</v>
      </c>
      <c r="S27" s="19">
        <v>10</v>
      </c>
      <c r="T27" s="19">
        <v>5</v>
      </c>
      <c r="U27" s="19">
        <v>3</v>
      </c>
      <c r="V27" s="19">
        <v>2</v>
      </c>
      <c r="W27" s="19">
        <v>5</v>
      </c>
      <c r="X27" s="19">
        <v>6</v>
      </c>
      <c r="Y27" s="19">
        <v>2</v>
      </c>
      <c r="Z27" s="19">
        <v>3</v>
      </c>
      <c r="AA27" s="19">
        <v>9</v>
      </c>
      <c r="AB27" s="19">
        <v>4</v>
      </c>
      <c r="AC27" s="19">
        <v>1</v>
      </c>
      <c r="AD27" s="10">
        <f t="shared" si="0"/>
        <v>135</v>
      </c>
    </row>
    <row r="28" spans="1:30" ht="21" customHeight="1" x14ac:dyDescent="0.35">
      <c r="A28" s="6">
        <v>27</v>
      </c>
      <c r="B28" s="6" t="s">
        <v>356</v>
      </c>
      <c r="C28" s="6" t="s">
        <v>357</v>
      </c>
      <c r="D28" s="7" t="s">
        <v>358</v>
      </c>
      <c r="E28" s="18">
        <v>1</v>
      </c>
      <c r="F28" s="18">
        <v>7</v>
      </c>
      <c r="G28" s="18">
        <v>0</v>
      </c>
      <c r="H28" s="18">
        <v>7</v>
      </c>
      <c r="I28" s="18">
        <v>7</v>
      </c>
      <c r="J28" s="18">
        <v>3</v>
      </c>
      <c r="K28" s="18">
        <v>8</v>
      </c>
      <c r="L28" s="18">
        <v>8</v>
      </c>
      <c r="M28" s="18">
        <v>6</v>
      </c>
      <c r="N28" s="18">
        <v>9</v>
      </c>
      <c r="O28" s="18">
        <v>7</v>
      </c>
      <c r="P28" s="18">
        <v>1</v>
      </c>
      <c r="Q28" s="18">
        <v>4</v>
      </c>
      <c r="R28" s="18">
        <v>2</v>
      </c>
      <c r="S28" s="18">
        <v>6</v>
      </c>
      <c r="T28" s="18">
        <v>9</v>
      </c>
      <c r="U28" s="18">
        <v>9</v>
      </c>
      <c r="V28" s="18">
        <v>3</v>
      </c>
      <c r="W28" s="18">
        <v>10</v>
      </c>
      <c r="X28" s="18">
        <v>0</v>
      </c>
      <c r="Y28" s="18">
        <v>4</v>
      </c>
      <c r="Z28" s="18">
        <v>6</v>
      </c>
      <c r="AA28" s="18">
        <v>5</v>
      </c>
      <c r="AB28" s="18">
        <v>4</v>
      </c>
      <c r="AC28" s="18">
        <v>5</v>
      </c>
      <c r="AD28" s="10">
        <f t="shared" si="0"/>
        <v>131</v>
      </c>
    </row>
    <row r="29" spans="1:30" ht="21" customHeight="1" x14ac:dyDescent="0.35">
      <c r="A29" s="11">
        <v>28</v>
      </c>
      <c r="B29" s="11" t="s">
        <v>359</v>
      </c>
      <c r="C29" s="11" t="s">
        <v>360</v>
      </c>
      <c r="D29" s="12" t="s">
        <v>361</v>
      </c>
      <c r="E29" s="19">
        <v>0</v>
      </c>
      <c r="F29" s="19">
        <v>7</v>
      </c>
      <c r="G29" s="19">
        <v>4</v>
      </c>
      <c r="H29" s="19">
        <v>6</v>
      </c>
      <c r="I29" s="19">
        <v>9</v>
      </c>
      <c r="J29" s="19">
        <v>9</v>
      </c>
      <c r="K29" s="19">
        <v>1</v>
      </c>
      <c r="L29" s="19">
        <v>6</v>
      </c>
      <c r="M29" s="19">
        <v>4</v>
      </c>
      <c r="N29" s="19">
        <v>4</v>
      </c>
      <c r="O29" s="19">
        <v>2</v>
      </c>
      <c r="P29" s="19">
        <v>4</v>
      </c>
      <c r="Q29" s="19">
        <v>5</v>
      </c>
      <c r="R29" s="19">
        <v>1</v>
      </c>
      <c r="S29" s="19">
        <v>0</v>
      </c>
      <c r="T29" s="19">
        <v>6</v>
      </c>
      <c r="U29" s="19">
        <v>3</v>
      </c>
      <c r="V29" s="19">
        <v>10</v>
      </c>
      <c r="W29" s="19">
        <v>8</v>
      </c>
      <c r="X29" s="19">
        <v>10</v>
      </c>
      <c r="Y29" s="19">
        <v>8</v>
      </c>
      <c r="Z29" s="19">
        <v>10</v>
      </c>
      <c r="AA29" s="19">
        <v>3</v>
      </c>
      <c r="AB29" s="19">
        <v>3</v>
      </c>
      <c r="AC29" s="19">
        <v>10</v>
      </c>
      <c r="AD29" s="10">
        <f t="shared" si="0"/>
        <v>133</v>
      </c>
    </row>
    <row r="30" spans="1:30" ht="21" customHeight="1" x14ac:dyDescent="0.35">
      <c r="A30" s="6">
        <v>29</v>
      </c>
      <c r="B30" s="6" t="s">
        <v>362</v>
      </c>
      <c r="C30" s="6" t="s">
        <v>363</v>
      </c>
      <c r="D30" s="7" t="s">
        <v>364</v>
      </c>
      <c r="E30" s="18">
        <v>10</v>
      </c>
      <c r="F30" s="18">
        <v>6</v>
      </c>
      <c r="G30" s="18">
        <v>6</v>
      </c>
      <c r="H30" s="18">
        <v>6</v>
      </c>
      <c r="I30" s="18">
        <v>7</v>
      </c>
      <c r="J30" s="18">
        <v>10</v>
      </c>
      <c r="K30" s="18">
        <v>10</v>
      </c>
      <c r="L30" s="18">
        <v>5</v>
      </c>
      <c r="M30" s="18">
        <v>2</v>
      </c>
      <c r="N30" s="18">
        <v>4</v>
      </c>
      <c r="O30" s="18">
        <v>9</v>
      </c>
      <c r="P30" s="18">
        <v>10</v>
      </c>
      <c r="Q30" s="18">
        <v>4</v>
      </c>
      <c r="R30" s="18">
        <v>3</v>
      </c>
      <c r="S30" s="18">
        <v>9</v>
      </c>
      <c r="T30" s="18">
        <v>6</v>
      </c>
      <c r="U30" s="18">
        <v>4</v>
      </c>
      <c r="V30" s="18">
        <v>4</v>
      </c>
      <c r="W30" s="18">
        <v>4</v>
      </c>
      <c r="X30" s="18">
        <v>6</v>
      </c>
      <c r="Y30" s="18">
        <v>9</v>
      </c>
      <c r="Z30" s="18">
        <v>10</v>
      </c>
      <c r="AA30" s="18">
        <v>8</v>
      </c>
      <c r="AB30" s="18">
        <v>10</v>
      </c>
      <c r="AC30" s="18">
        <v>0</v>
      </c>
      <c r="AD30" s="10">
        <f t="shared" si="0"/>
        <v>162</v>
      </c>
    </row>
    <row r="31" spans="1:30" ht="21" customHeight="1" x14ac:dyDescent="0.35">
      <c r="A31" s="11">
        <v>30</v>
      </c>
      <c r="B31" s="11" t="s">
        <v>365</v>
      </c>
      <c r="C31" s="11" t="s">
        <v>366</v>
      </c>
      <c r="D31" s="12" t="s">
        <v>367</v>
      </c>
      <c r="E31" s="19">
        <v>7</v>
      </c>
      <c r="F31" s="19">
        <v>7</v>
      </c>
      <c r="G31" s="19">
        <v>9</v>
      </c>
      <c r="H31" s="19">
        <v>7</v>
      </c>
      <c r="I31" s="19">
        <v>7</v>
      </c>
      <c r="J31" s="19">
        <v>6</v>
      </c>
      <c r="K31" s="19">
        <v>6</v>
      </c>
      <c r="L31" s="19">
        <v>6</v>
      </c>
      <c r="M31" s="19">
        <v>3</v>
      </c>
      <c r="N31" s="19">
        <v>2</v>
      </c>
      <c r="O31" s="19">
        <v>0</v>
      </c>
      <c r="P31" s="19">
        <v>5</v>
      </c>
      <c r="Q31" s="19">
        <v>2</v>
      </c>
      <c r="R31" s="19">
        <v>3</v>
      </c>
      <c r="S31" s="19">
        <v>8</v>
      </c>
      <c r="T31" s="19">
        <v>9</v>
      </c>
      <c r="U31" s="19">
        <v>3</v>
      </c>
      <c r="V31" s="19">
        <v>3</v>
      </c>
      <c r="W31" s="19">
        <v>1</v>
      </c>
      <c r="X31" s="19">
        <v>4</v>
      </c>
      <c r="Y31" s="19">
        <v>2</v>
      </c>
      <c r="Z31" s="19">
        <v>3</v>
      </c>
      <c r="AA31" s="19">
        <v>0</v>
      </c>
      <c r="AB31" s="19">
        <v>3</v>
      </c>
      <c r="AC31" s="19">
        <v>1</v>
      </c>
      <c r="AD31" s="10">
        <f t="shared" si="0"/>
        <v>107</v>
      </c>
    </row>
    <row r="32" spans="1:30" ht="21" customHeight="1" x14ac:dyDescent="0.35">
      <c r="A32" s="6">
        <v>31</v>
      </c>
      <c r="B32" s="6" t="s">
        <v>368</v>
      </c>
      <c r="C32" s="6" t="s">
        <v>369</v>
      </c>
      <c r="D32" s="7" t="s">
        <v>370</v>
      </c>
      <c r="E32" s="18">
        <v>2</v>
      </c>
      <c r="F32" s="18">
        <v>3</v>
      </c>
      <c r="G32" s="18">
        <v>1</v>
      </c>
      <c r="H32" s="18">
        <v>4</v>
      </c>
      <c r="I32" s="18">
        <v>7</v>
      </c>
      <c r="J32" s="18">
        <v>2</v>
      </c>
      <c r="K32" s="18">
        <v>9</v>
      </c>
      <c r="L32" s="18">
        <v>4</v>
      </c>
      <c r="M32" s="18">
        <v>4</v>
      </c>
      <c r="N32" s="18">
        <v>6</v>
      </c>
      <c r="O32" s="18">
        <v>8</v>
      </c>
      <c r="P32" s="18">
        <v>2</v>
      </c>
      <c r="Q32" s="18">
        <v>2</v>
      </c>
      <c r="R32" s="18">
        <v>9</v>
      </c>
      <c r="S32" s="18">
        <v>4</v>
      </c>
      <c r="T32" s="18">
        <v>7</v>
      </c>
      <c r="U32" s="18">
        <v>5</v>
      </c>
      <c r="V32" s="18">
        <v>2</v>
      </c>
      <c r="W32" s="18">
        <v>5</v>
      </c>
      <c r="X32" s="18">
        <v>9</v>
      </c>
      <c r="Y32" s="18">
        <v>6</v>
      </c>
      <c r="Z32" s="18">
        <v>6</v>
      </c>
      <c r="AA32" s="18">
        <v>0</v>
      </c>
      <c r="AB32" s="18">
        <v>0</v>
      </c>
      <c r="AC32" s="18">
        <v>5</v>
      </c>
      <c r="AD32" s="10">
        <f t="shared" si="0"/>
        <v>112</v>
      </c>
    </row>
    <row r="33" spans="1:30" ht="21" customHeight="1" x14ac:dyDescent="0.35">
      <c r="A33" s="11">
        <v>32</v>
      </c>
      <c r="B33" s="11" t="s">
        <v>371</v>
      </c>
      <c r="C33" s="11" t="s">
        <v>372</v>
      </c>
      <c r="D33" s="12" t="s">
        <v>373</v>
      </c>
      <c r="E33" s="19">
        <v>3</v>
      </c>
      <c r="F33" s="19">
        <v>7</v>
      </c>
      <c r="G33" s="19">
        <v>3</v>
      </c>
      <c r="H33" s="19">
        <v>6</v>
      </c>
      <c r="I33" s="19">
        <v>10</v>
      </c>
      <c r="J33" s="19">
        <v>5</v>
      </c>
      <c r="K33" s="19">
        <v>8</v>
      </c>
      <c r="L33" s="19">
        <v>3</v>
      </c>
      <c r="M33" s="19">
        <v>2</v>
      </c>
      <c r="N33" s="19">
        <v>8</v>
      </c>
      <c r="O33" s="19">
        <v>2</v>
      </c>
      <c r="P33" s="19">
        <v>2</v>
      </c>
      <c r="Q33" s="19">
        <v>9</v>
      </c>
      <c r="R33" s="19">
        <v>4</v>
      </c>
      <c r="S33" s="19">
        <v>9</v>
      </c>
      <c r="T33" s="19">
        <v>4</v>
      </c>
      <c r="U33" s="19">
        <v>4</v>
      </c>
      <c r="V33" s="19">
        <v>2</v>
      </c>
      <c r="W33" s="19">
        <v>10</v>
      </c>
      <c r="X33" s="19">
        <v>4</v>
      </c>
      <c r="Y33" s="19">
        <v>3</v>
      </c>
      <c r="Z33" s="19">
        <v>5</v>
      </c>
      <c r="AA33" s="19">
        <v>9</v>
      </c>
      <c r="AB33" s="19">
        <v>0</v>
      </c>
      <c r="AC33" s="19">
        <v>10</v>
      </c>
      <c r="AD33" s="10">
        <f t="shared" si="0"/>
        <v>132</v>
      </c>
    </row>
    <row r="34" spans="1:30" ht="21" customHeight="1" x14ac:dyDescent="0.35">
      <c r="A34" s="6">
        <v>33</v>
      </c>
      <c r="B34" s="6" t="s">
        <v>374</v>
      </c>
      <c r="C34" s="6" t="s">
        <v>375</v>
      </c>
      <c r="D34" s="7" t="s">
        <v>376</v>
      </c>
      <c r="E34" s="18">
        <v>10</v>
      </c>
      <c r="F34" s="18">
        <v>7</v>
      </c>
      <c r="G34" s="18">
        <v>5</v>
      </c>
      <c r="H34" s="18">
        <v>0</v>
      </c>
      <c r="I34" s="18">
        <v>10</v>
      </c>
      <c r="J34" s="18">
        <v>1</v>
      </c>
      <c r="K34" s="18">
        <v>8</v>
      </c>
      <c r="L34" s="18">
        <v>9</v>
      </c>
      <c r="M34" s="18">
        <v>9</v>
      </c>
      <c r="N34" s="18">
        <v>5</v>
      </c>
      <c r="O34" s="18">
        <v>7</v>
      </c>
      <c r="P34" s="18">
        <v>2</v>
      </c>
      <c r="Q34" s="18">
        <v>7</v>
      </c>
      <c r="R34" s="18">
        <v>7</v>
      </c>
      <c r="S34" s="18">
        <v>10</v>
      </c>
      <c r="T34" s="18">
        <v>2</v>
      </c>
      <c r="U34" s="18">
        <v>8</v>
      </c>
      <c r="V34" s="18">
        <v>8</v>
      </c>
      <c r="W34" s="18">
        <v>10</v>
      </c>
      <c r="X34" s="18">
        <v>8</v>
      </c>
      <c r="Y34" s="18">
        <v>7</v>
      </c>
      <c r="Z34" s="18">
        <v>1</v>
      </c>
      <c r="AA34" s="18">
        <v>3</v>
      </c>
      <c r="AB34" s="18">
        <v>2</v>
      </c>
      <c r="AC34" s="18">
        <v>4</v>
      </c>
      <c r="AD34" s="10">
        <f t="shared" si="0"/>
        <v>150</v>
      </c>
    </row>
    <row r="35" spans="1:30" ht="21" customHeight="1" x14ac:dyDescent="0.35">
      <c r="A35" s="11">
        <v>34</v>
      </c>
      <c r="B35" s="11" t="s">
        <v>377</v>
      </c>
      <c r="C35" s="11" t="s">
        <v>378</v>
      </c>
      <c r="D35" s="12" t="s">
        <v>379</v>
      </c>
      <c r="E35" s="19">
        <v>8</v>
      </c>
      <c r="F35" s="19">
        <v>7</v>
      </c>
      <c r="G35" s="19">
        <v>7</v>
      </c>
      <c r="H35" s="19">
        <v>8</v>
      </c>
      <c r="I35" s="19">
        <v>9</v>
      </c>
      <c r="J35" s="19">
        <v>7</v>
      </c>
      <c r="K35" s="19">
        <v>9</v>
      </c>
      <c r="L35" s="19">
        <v>6</v>
      </c>
      <c r="M35" s="19">
        <v>9</v>
      </c>
      <c r="N35" s="19">
        <v>1</v>
      </c>
      <c r="O35" s="19">
        <v>3</v>
      </c>
      <c r="P35" s="19">
        <v>6</v>
      </c>
      <c r="Q35" s="19">
        <v>0</v>
      </c>
      <c r="R35" s="19">
        <v>2</v>
      </c>
      <c r="S35" s="19">
        <v>8</v>
      </c>
      <c r="T35" s="19">
        <v>10</v>
      </c>
      <c r="U35" s="19">
        <v>7</v>
      </c>
      <c r="V35" s="19">
        <v>8</v>
      </c>
      <c r="W35" s="19">
        <v>6</v>
      </c>
      <c r="X35" s="19">
        <v>2</v>
      </c>
      <c r="Y35" s="19">
        <v>9</v>
      </c>
      <c r="Z35" s="19">
        <v>10</v>
      </c>
      <c r="AA35" s="19">
        <v>8</v>
      </c>
      <c r="AB35" s="19">
        <v>6</v>
      </c>
      <c r="AC35" s="19">
        <v>1</v>
      </c>
      <c r="AD35" s="10">
        <f t="shared" si="0"/>
        <v>157</v>
      </c>
    </row>
    <row r="36" spans="1:30" ht="21" customHeight="1" x14ac:dyDescent="0.35">
      <c r="A36" s="6">
        <v>35</v>
      </c>
      <c r="B36" s="6" t="s">
        <v>380</v>
      </c>
      <c r="C36" s="6" t="s">
        <v>381</v>
      </c>
      <c r="D36" s="7" t="s">
        <v>382</v>
      </c>
      <c r="E36" s="18">
        <v>8</v>
      </c>
      <c r="F36" s="18">
        <v>3</v>
      </c>
      <c r="G36" s="18">
        <v>2</v>
      </c>
      <c r="H36" s="18">
        <v>3</v>
      </c>
      <c r="I36" s="18">
        <v>6</v>
      </c>
      <c r="J36" s="18">
        <v>5</v>
      </c>
      <c r="K36" s="18">
        <v>7</v>
      </c>
      <c r="L36" s="18">
        <v>4</v>
      </c>
      <c r="M36" s="18">
        <v>6</v>
      </c>
      <c r="N36" s="18">
        <v>1</v>
      </c>
      <c r="O36" s="18">
        <v>1</v>
      </c>
      <c r="P36" s="18">
        <v>0</v>
      </c>
      <c r="Q36" s="18">
        <v>3</v>
      </c>
      <c r="R36" s="18">
        <v>10</v>
      </c>
      <c r="S36" s="18">
        <v>1</v>
      </c>
      <c r="T36" s="18">
        <v>2</v>
      </c>
      <c r="U36" s="18">
        <v>2</v>
      </c>
      <c r="V36" s="18">
        <v>1</v>
      </c>
      <c r="W36" s="18">
        <v>2</v>
      </c>
      <c r="X36" s="18">
        <v>7</v>
      </c>
      <c r="Y36" s="18">
        <v>6</v>
      </c>
      <c r="Z36" s="18">
        <v>7</v>
      </c>
      <c r="AA36" s="18">
        <v>7</v>
      </c>
      <c r="AB36" s="18">
        <v>5</v>
      </c>
      <c r="AC36" s="18">
        <v>1</v>
      </c>
      <c r="AD36" s="10">
        <f t="shared" si="0"/>
        <v>100</v>
      </c>
    </row>
    <row r="37" spans="1:30" ht="21" customHeight="1" x14ac:dyDescent="0.35">
      <c r="A37" s="11">
        <v>36</v>
      </c>
      <c r="B37" s="11" t="s">
        <v>383</v>
      </c>
      <c r="C37" s="11" t="s">
        <v>384</v>
      </c>
      <c r="D37" s="12" t="s">
        <v>385</v>
      </c>
      <c r="E37" s="19">
        <v>5</v>
      </c>
      <c r="F37" s="19">
        <v>5</v>
      </c>
      <c r="G37" s="19">
        <v>8</v>
      </c>
      <c r="H37" s="19">
        <v>5</v>
      </c>
      <c r="I37" s="19">
        <v>7</v>
      </c>
      <c r="J37" s="19">
        <v>3</v>
      </c>
      <c r="K37" s="19">
        <v>6</v>
      </c>
      <c r="L37" s="19">
        <v>1</v>
      </c>
      <c r="M37" s="19">
        <v>8</v>
      </c>
      <c r="N37" s="19">
        <v>2</v>
      </c>
      <c r="O37" s="19">
        <v>10</v>
      </c>
      <c r="P37" s="19">
        <v>2</v>
      </c>
      <c r="Q37" s="19">
        <v>5</v>
      </c>
      <c r="R37" s="19">
        <v>3</v>
      </c>
      <c r="S37" s="19">
        <v>7</v>
      </c>
      <c r="T37" s="19">
        <v>4</v>
      </c>
      <c r="U37" s="19">
        <v>9</v>
      </c>
      <c r="V37" s="19">
        <v>6</v>
      </c>
      <c r="W37" s="19">
        <v>4</v>
      </c>
      <c r="X37" s="19">
        <v>1</v>
      </c>
      <c r="Y37" s="19">
        <v>8</v>
      </c>
      <c r="Z37" s="19">
        <v>10</v>
      </c>
      <c r="AA37" s="19">
        <v>6</v>
      </c>
      <c r="AB37" s="19">
        <v>0</v>
      </c>
      <c r="AC37" s="19">
        <v>5</v>
      </c>
      <c r="AD37" s="10">
        <f t="shared" si="0"/>
        <v>130</v>
      </c>
    </row>
    <row r="38" spans="1:30" ht="21" customHeight="1" x14ac:dyDescent="0.35">
      <c r="A38" s="6">
        <v>37</v>
      </c>
      <c r="B38" s="6" t="s">
        <v>386</v>
      </c>
      <c r="C38" s="6" t="s">
        <v>387</v>
      </c>
      <c r="D38" s="7" t="s">
        <v>388</v>
      </c>
      <c r="E38" s="18">
        <v>8</v>
      </c>
      <c r="F38" s="18">
        <v>7</v>
      </c>
      <c r="G38" s="18">
        <v>3</v>
      </c>
      <c r="H38" s="18">
        <v>0</v>
      </c>
      <c r="I38" s="18">
        <v>0</v>
      </c>
      <c r="J38" s="18">
        <v>6</v>
      </c>
      <c r="K38" s="18">
        <v>8</v>
      </c>
      <c r="L38" s="18">
        <v>6</v>
      </c>
      <c r="M38" s="18">
        <v>2</v>
      </c>
      <c r="N38" s="18">
        <v>9</v>
      </c>
      <c r="O38" s="18">
        <v>0</v>
      </c>
      <c r="P38" s="18">
        <v>10</v>
      </c>
      <c r="Q38" s="18">
        <v>8</v>
      </c>
      <c r="R38" s="18">
        <v>10</v>
      </c>
      <c r="S38" s="18">
        <v>9</v>
      </c>
      <c r="T38" s="18">
        <v>2</v>
      </c>
      <c r="U38" s="18">
        <v>0</v>
      </c>
      <c r="V38" s="18">
        <v>0</v>
      </c>
      <c r="W38" s="18">
        <v>8</v>
      </c>
      <c r="X38" s="18">
        <v>3</v>
      </c>
      <c r="Y38" s="18">
        <v>4</v>
      </c>
      <c r="Z38" s="18">
        <v>6</v>
      </c>
      <c r="AA38" s="18">
        <v>3</v>
      </c>
      <c r="AB38" s="18">
        <v>5</v>
      </c>
      <c r="AC38" s="18">
        <v>0</v>
      </c>
      <c r="AD38" s="10">
        <f t="shared" si="0"/>
        <v>117</v>
      </c>
    </row>
    <row r="39" spans="1:30" ht="21" customHeight="1" x14ac:dyDescent="0.35">
      <c r="A39" s="11">
        <v>38</v>
      </c>
      <c r="B39" s="11" t="s">
        <v>389</v>
      </c>
      <c r="C39" s="11" t="s">
        <v>390</v>
      </c>
      <c r="D39" s="12" t="s">
        <v>391</v>
      </c>
      <c r="E39" s="19">
        <v>4</v>
      </c>
      <c r="F39" s="19">
        <v>2</v>
      </c>
      <c r="G39" s="19">
        <v>9</v>
      </c>
      <c r="H39" s="19">
        <v>2</v>
      </c>
      <c r="I39" s="19">
        <v>4</v>
      </c>
      <c r="J39" s="19">
        <v>0</v>
      </c>
      <c r="K39" s="19">
        <v>0</v>
      </c>
      <c r="L39" s="19">
        <v>10</v>
      </c>
      <c r="M39" s="19">
        <v>3</v>
      </c>
      <c r="N39" s="19">
        <v>10</v>
      </c>
      <c r="O39" s="19">
        <v>9</v>
      </c>
      <c r="P39" s="19">
        <v>0</v>
      </c>
      <c r="Q39" s="19">
        <v>10</v>
      </c>
      <c r="R39" s="19">
        <v>4</v>
      </c>
      <c r="S39" s="19">
        <v>9</v>
      </c>
      <c r="T39" s="19">
        <v>3</v>
      </c>
      <c r="U39" s="19">
        <v>6</v>
      </c>
      <c r="V39" s="19">
        <v>2</v>
      </c>
      <c r="W39" s="19">
        <v>3</v>
      </c>
      <c r="X39" s="19">
        <v>2</v>
      </c>
      <c r="Y39" s="19">
        <v>10</v>
      </c>
      <c r="Z39" s="19">
        <v>6</v>
      </c>
      <c r="AA39" s="19">
        <v>6</v>
      </c>
      <c r="AB39" s="19">
        <v>8</v>
      </c>
      <c r="AC39" s="19">
        <v>1</v>
      </c>
      <c r="AD39" s="10">
        <f t="shared" si="0"/>
        <v>123</v>
      </c>
    </row>
    <row r="40" spans="1:30" ht="21" customHeight="1" x14ac:dyDescent="0.35">
      <c r="A40" s="6">
        <v>39</v>
      </c>
      <c r="B40" s="6" t="s">
        <v>392</v>
      </c>
      <c r="C40" s="6" t="s">
        <v>393</v>
      </c>
      <c r="D40" s="7" t="s">
        <v>394</v>
      </c>
      <c r="E40" s="18">
        <v>7</v>
      </c>
      <c r="F40" s="18">
        <v>2</v>
      </c>
      <c r="G40" s="18">
        <v>0</v>
      </c>
      <c r="H40" s="18">
        <v>6</v>
      </c>
      <c r="I40" s="18">
        <v>7</v>
      </c>
      <c r="J40" s="18">
        <v>0</v>
      </c>
      <c r="K40" s="18">
        <v>10</v>
      </c>
      <c r="L40" s="18">
        <v>3</v>
      </c>
      <c r="M40" s="18">
        <v>9</v>
      </c>
      <c r="N40" s="18">
        <v>10</v>
      </c>
      <c r="O40" s="18">
        <v>0</v>
      </c>
      <c r="P40" s="18">
        <v>10</v>
      </c>
      <c r="Q40" s="18">
        <v>4</v>
      </c>
      <c r="R40" s="18">
        <v>8</v>
      </c>
      <c r="S40" s="18">
        <v>0</v>
      </c>
      <c r="T40" s="18">
        <v>10</v>
      </c>
      <c r="U40" s="18">
        <v>4</v>
      </c>
      <c r="V40" s="18">
        <v>8</v>
      </c>
      <c r="W40" s="18">
        <v>7</v>
      </c>
      <c r="X40" s="18">
        <v>5</v>
      </c>
      <c r="Y40" s="18">
        <v>8</v>
      </c>
      <c r="Z40" s="18">
        <v>8</v>
      </c>
      <c r="AA40" s="18">
        <v>10</v>
      </c>
      <c r="AB40" s="18">
        <v>6</v>
      </c>
      <c r="AC40" s="18">
        <v>3</v>
      </c>
      <c r="AD40" s="10">
        <f t="shared" si="0"/>
        <v>145</v>
      </c>
    </row>
    <row r="41" spans="1:30" ht="21" customHeight="1" x14ac:dyDescent="0.35">
      <c r="A41" s="1"/>
      <c r="B41" s="1"/>
      <c r="C41" s="1"/>
      <c r="D41" s="1"/>
      <c r="E41" s="19">
        <v>7</v>
      </c>
      <c r="F41" s="19">
        <v>5</v>
      </c>
      <c r="G41" s="19">
        <v>4</v>
      </c>
      <c r="H41" s="19">
        <v>8</v>
      </c>
      <c r="I41" s="19">
        <v>10</v>
      </c>
      <c r="J41" s="19">
        <v>10</v>
      </c>
      <c r="K41" s="19">
        <v>8</v>
      </c>
      <c r="L41" s="19">
        <v>6</v>
      </c>
      <c r="M41" s="19">
        <v>9</v>
      </c>
      <c r="N41" s="19">
        <v>5</v>
      </c>
      <c r="O41" s="19">
        <v>10</v>
      </c>
      <c r="P41" s="19">
        <v>2</v>
      </c>
      <c r="Q41" s="19">
        <v>10</v>
      </c>
      <c r="R41" s="19">
        <v>9</v>
      </c>
      <c r="S41" s="19">
        <v>8</v>
      </c>
      <c r="T41" s="19">
        <v>0</v>
      </c>
      <c r="U41" s="19">
        <v>10</v>
      </c>
      <c r="V41" s="19">
        <v>10</v>
      </c>
      <c r="W41" s="19">
        <v>1</v>
      </c>
      <c r="X41" s="19">
        <v>5</v>
      </c>
      <c r="Y41" s="19">
        <v>7</v>
      </c>
      <c r="Z41" s="19">
        <v>3</v>
      </c>
      <c r="AA41" s="19">
        <v>7</v>
      </c>
      <c r="AB41" s="19">
        <v>6</v>
      </c>
      <c r="AC41" s="19">
        <v>9</v>
      </c>
      <c r="AD41" s="10">
        <v>10</v>
      </c>
    </row>
    <row r="42" spans="1:30" ht="21" customHeight="1" x14ac:dyDescent="0.35">
      <c r="A42" s="1"/>
      <c r="B42" s="1"/>
      <c r="C42" s="1"/>
      <c r="D42" s="1"/>
      <c r="E42" s="18">
        <v>10</v>
      </c>
      <c r="F42" s="18">
        <v>2</v>
      </c>
      <c r="G42" s="18">
        <v>8</v>
      </c>
      <c r="H42" s="18">
        <v>10</v>
      </c>
      <c r="I42" s="18">
        <v>0</v>
      </c>
      <c r="J42" s="18">
        <v>4</v>
      </c>
      <c r="K42" s="18">
        <v>0</v>
      </c>
      <c r="L42" s="18">
        <v>3</v>
      </c>
      <c r="M42" s="18">
        <v>2</v>
      </c>
      <c r="N42" s="18">
        <v>6</v>
      </c>
      <c r="O42" s="18">
        <v>3</v>
      </c>
      <c r="P42" s="18">
        <v>7</v>
      </c>
      <c r="Q42" s="18">
        <v>6</v>
      </c>
      <c r="R42" s="18">
        <v>6</v>
      </c>
      <c r="S42" s="18">
        <v>1</v>
      </c>
      <c r="T42" s="18">
        <v>8</v>
      </c>
      <c r="U42" s="18">
        <v>2</v>
      </c>
      <c r="V42" s="18">
        <v>6</v>
      </c>
      <c r="W42" s="18">
        <v>4</v>
      </c>
      <c r="X42" s="18">
        <v>2</v>
      </c>
      <c r="Y42" s="18">
        <v>0</v>
      </c>
      <c r="Z42" s="18">
        <v>8</v>
      </c>
      <c r="AA42" s="18">
        <v>10</v>
      </c>
      <c r="AB42" s="18">
        <v>2</v>
      </c>
      <c r="AC42" s="18">
        <v>7</v>
      </c>
      <c r="AD42" s="10">
        <v>8</v>
      </c>
    </row>
  </sheetData>
  <autoFilter ref="A1:AD42" xr:uid="{00000000-0009-0000-0000-000004000000}"/>
  <conditionalFormatting sqref="B1:D1">
    <cfRule type="cellIs" dxfId="63" priority="2" operator="equal">
      <formula>"Present"</formula>
    </cfRule>
    <cfRule type="cellIs" dxfId="62" priority="3" operator="equal">
      <formula>"Absent"</formula>
    </cfRule>
  </conditionalFormatting>
  <conditionalFormatting sqref="E2:AD42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  <pageSetUpPr fitToPage="1"/>
  </sheetPr>
  <dimension ref="A1:AD38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18" sqref="P18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21" customHeight="1" x14ac:dyDescent="0.35">
      <c r="A2" s="6">
        <v>1</v>
      </c>
      <c r="B2" s="6" t="s">
        <v>399</v>
      </c>
      <c r="C2" s="6" t="s">
        <v>400</v>
      </c>
      <c r="D2" s="7" t="s">
        <v>401</v>
      </c>
      <c r="E2" s="18">
        <v>7</v>
      </c>
      <c r="F2" s="18">
        <v>7</v>
      </c>
      <c r="G2" s="18">
        <v>10</v>
      </c>
      <c r="H2" s="18">
        <v>7</v>
      </c>
      <c r="I2" s="18">
        <v>1</v>
      </c>
      <c r="J2" s="18">
        <v>9</v>
      </c>
      <c r="K2" s="18">
        <v>2</v>
      </c>
      <c r="L2" s="18">
        <v>1</v>
      </c>
      <c r="M2" s="18">
        <v>3</v>
      </c>
      <c r="N2" s="18">
        <v>10</v>
      </c>
      <c r="O2" s="18">
        <v>2</v>
      </c>
      <c r="P2" s="18">
        <v>8</v>
      </c>
      <c r="Q2" s="18">
        <v>10</v>
      </c>
      <c r="R2" s="18">
        <v>6</v>
      </c>
      <c r="S2" s="18">
        <v>3</v>
      </c>
      <c r="T2" s="18">
        <v>0</v>
      </c>
      <c r="U2" s="18">
        <v>7</v>
      </c>
      <c r="V2" s="18">
        <v>10</v>
      </c>
      <c r="W2" s="18">
        <v>3</v>
      </c>
      <c r="X2" s="18">
        <v>0</v>
      </c>
      <c r="Y2" s="18">
        <v>4</v>
      </c>
      <c r="Z2" s="18">
        <v>2</v>
      </c>
      <c r="AA2" s="18">
        <v>4</v>
      </c>
      <c r="AB2" s="18">
        <v>0</v>
      </c>
      <c r="AC2" s="18">
        <v>6</v>
      </c>
      <c r="AD2" s="10">
        <f t="shared" ref="AD2:AD37" si="0">SUM(E2:AC2)</f>
        <v>122</v>
      </c>
    </row>
    <row r="3" spans="1:30" ht="21" customHeight="1" x14ac:dyDescent="0.35">
      <c r="A3" s="11">
        <v>2</v>
      </c>
      <c r="B3" s="11" t="s">
        <v>402</v>
      </c>
      <c r="C3" s="11" t="s">
        <v>403</v>
      </c>
      <c r="D3" s="12" t="s">
        <v>404</v>
      </c>
      <c r="E3" s="19">
        <v>7</v>
      </c>
      <c r="F3" s="19">
        <v>10</v>
      </c>
      <c r="G3" s="19">
        <v>10</v>
      </c>
      <c r="H3" s="19">
        <v>1</v>
      </c>
      <c r="I3" s="19">
        <v>6</v>
      </c>
      <c r="J3" s="19">
        <v>2</v>
      </c>
      <c r="K3" s="19">
        <v>0</v>
      </c>
      <c r="L3" s="19">
        <v>3</v>
      </c>
      <c r="M3" s="19">
        <v>4</v>
      </c>
      <c r="N3" s="19">
        <v>5</v>
      </c>
      <c r="O3" s="19">
        <v>5</v>
      </c>
      <c r="P3" s="19">
        <v>3</v>
      </c>
      <c r="Q3" s="19">
        <v>5</v>
      </c>
      <c r="R3" s="19">
        <v>0</v>
      </c>
      <c r="S3" s="19">
        <v>6</v>
      </c>
      <c r="T3" s="19">
        <v>8</v>
      </c>
      <c r="U3" s="19">
        <v>1</v>
      </c>
      <c r="V3" s="19">
        <v>10</v>
      </c>
      <c r="W3" s="19">
        <v>7</v>
      </c>
      <c r="X3" s="19">
        <v>7</v>
      </c>
      <c r="Y3" s="19">
        <v>10</v>
      </c>
      <c r="Z3" s="19">
        <v>1</v>
      </c>
      <c r="AA3" s="19">
        <v>8</v>
      </c>
      <c r="AB3" s="19">
        <v>0</v>
      </c>
      <c r="AC3" s="19">
        <v>7</v>
      </c>
      <c r="AD3" s="10">
        <f t="shared" si="0"/>
        <v>126</v>
      </c>
    </row>
    <row r="4" spans="1:30" ht="21" customHeight="1" x14ac:dyDescent="0.35">
      <c r="A4" s="6">
        <v>3</v>
      </c>
      <c r="B4" s="6" t="s">
        <v>405</v>
      </c>
      <c r="C4" s="6" t="s">
        <v>406</v>
      </c>
      <c r="D4" s="7" t="s">
        <v>407</v>
      </c>
      <c r="E4" s="18">
        <v>7</v>
      </c>
      <c r="F4" s="18">
        <v>1</v>
      </c>
      <c r="G4" s="18">
        <v>1</v>
      </c>
      <c r="H4" s="18">
        <v>2</v>
      </c>
      <c r="I4" s="18">
        <v>8</v>
      </c>
      <c r="J4" s="18">
        <v>8</v>
      </c>
      <c r="K4" s="18">
        <v>3</v>
      </c>
      <c r="L4" s="18">
        <v>3</v>
      </c>
      <c r="M4" s="18">
        <v>7</v>
      </c>
      <c r="N4" s="18">
        <v>8</v>
      </c>
      <c r="O4" s="18">
        <v>2</v>
      </c>
      <c r="P4" s="18">
        <v>10</v>
      </c>
      <c r="Q4" s="18">
        <v>10</v>
      </c>
      <c r="R4" s="18">
        <v>7</v>
      </c>
      <c r="S4" s="18">
        <v>3</v>
      </c>
      <c r="T4" s="18">
        <v>9</v>
      </c>
      <c r="U4" s="18">
        <v>4</v>
      </c>
      <c r="V4" s="18">
        <v>10</v>
      </c>
      <c r="W4" s="18">
        <v>2</v>
      </c>
      <c r="X4" s="18">
        <v>10</v>
      </c>
      <c r="Y4" s="18">
        <v>1</v>
      </c>
      <c r="Z4" s="18">
        <v>2</v>
      </c>
      <c r="AA4" s="18">
        <v>1</v>
      </c>
      <c r="AB4" s="18">
        <v>6</v>
      </c>
      <c r="AC4" s="18">
        <v>8</v>
      </c>
      <c r="AD4" s="10">
        <f t="shared" si="0"/>
        <v>133</v>
      </c>
    </row>
    <row r="5" spans="1:30" ht="21" customHeight="1" x14ac:dyDescent="0.35">
      <c r="A5" s="11">
        <v>4</v>
      </c>
      <c r="B5" s="11" t="s">
        <v>408</v>
      </c>
      <c r="C5" s="11" t="s">
        <v>409</v>
      </c>
      <c r="D5" s="12" t="s">
        <v>410</v>
      </c>
      <c r="E5" s="19">
        <v>7</v>
      </c>
      <c r="F5" s="19">
        <v>9</v>
      </c>
      <c r="G5" s="19">
        <v>9</v>
      </c>
      <c r="H5" s="19">
        <v>10</v>
      </c>
      <c r="I5" s="19">
        <v>1</v>
      </c>
      <c r="J5" s="19">
        <v>7</v>
      </c>
      <c r="K5" s="19">
        <v>8</v>
      </c>
      <c r="L5" s="19">
        <v>8</v>
      </c>
      <c r="M5" s="19">
        <v>7</v>
      </c>
      <c r="N5" s="19">
        <v>0</v>
      </c>
      <c r="O5" s="19">
        <v>2</v>
      </c>
      <c r="P5" s="19">
        <v>3</v>
      </c>
      <c r="Q5" s="19">
        <v>6</v>
      </c>
      <c r="R5" s="19">
        <v>8</v>
      </c>
      <c r="S5" s="19">
        <v>4</v>
      </c>
      <c r="T5" s="19">
        <v>4</v>
      </c>
      <c r="U5" s="19">
        <v>3</v>
      </c>
      <c r="V5" s="19">
        <v>10</v>
      </c>
      <c r="W5" s="19">
        <v>5</v>
      </c>
      <c r="X5" s="19">
        <v>0</v>
      </c>
      <c r="Y5" s="19">
        <v>8</v>
      </c>
      <c r="Z5" s="19">
        <v>7</v>
      </c>
      <c r="AA5" s="19">
        <v>0</v>
      </c>
      <c r="AB5" s="19">
        <v>9</v>
      </c>
      <c r="AC5" s="19">
        <v>7</v>
      </c>
      <c r="AD5" s="10">
        <f t="shared" si="0"/>
        <v>142</v>
      </c>
    </row>
    <row r="6" spans="1:30" ht="21" customHeight="1" x14ac:dyDescent="0.35">
      <c r="A6" s="6">
        <v>5</v>
      </c>
      <c r="B6" s="6" t="s">
        <v>411</v>
      </c>
      <c r="C6" s="6" t="s">
        <v>412</v>
      </c>
      <c r="D6" s="7" t="s">
        <v>413</v>
      </c>
      <c r="E6" s="18">
        <v>7</v>
      </c>
      <c r="F6" s="18">
        <v>7</v>
      </c>
      <c r="G6" s="18">
        <v>0</v>
      </c>
      <c r="H6" s="18">
        <v>5</v>
      </c>
      <c r="I6" s="18">
        <v>3</v>
      </c>
      <c r="J6" s="18">
        <v>7</v>
      </c>
      <c r="K6" s="18">
        <v>5</v>
      </c>
      <c r="L6" s="18">
        <v>4</v>
      </c>
      <c r="M6" s="18">
        <v>1</v>
      </c>
      <c r="N6" s="18">
        <v>5</v>
      </c>
      <c r="O6" s="18">
        <v>2</v>
      </c>
      <c r="P6" s="18">
        <v>4</v>
      </c>
      <c r="Q6" s="18">
        <v>5</v>
      </c>
      <c r="R6" s="18">
        <v>1</v>
      </c>
      <c r="S6" s="18">
        <v>0</v>
      </c>
      <c r="T6" s="18">
        <v>2</v>
      </c>
      <c r="U6" s="18">
        <v>2</v>
      </c>
      <c r="V6" s="18">
        <v>4</v>
      </c>
      <c r="W6" s="18">
        <v>2</v>
      </c>
      <c r="X6" s="18">
        <v>3</v>
      </c>
      <c r="Y6" s="18">
        <v>5</v>
      </c>
      <c r="Z6" s="18">
        <v>8</v>
      </c>
      <c r="AA6" s="18">
        <v>7</v>
      </c>
      <c r="AB6" s="18">
        <v>1</v>
      </c>
      <c r="AC6" s="18">
        <v>1</v>
      </c>
      <c r="AD6" s="10">
        <f t="shared" si="0"/>
        <v>91</v>
      </c>
    </row>
    <row r="7" spans="1:30" ht="21" customHeight="1" x14ac:dyDescent="0.35">
      <c r="A7" s="11">
        <v>6</v>
      </c>
      <c r="B7" s="11" t="s">
        <v>414</v>
      </c>
      <c r="C7" s="11" t="s">
        <v>415</v>
      </c>
      <c r="D7" s="12" t="s">
        <v>416</v>
      </c>
      <c r="E7" s="19">
        <v>8</v>
      </c>
      <c r="F7" s="19">
        <v>4</v>
      </c>
      <c r="G7" s="19">
        <v>10</v>
      </c>
      <c r="H7" s="19">
        <v>2</v>
      </c>
      <c r="I7" s="19">
        <v>2</v>
      </c>
      <c r="J7" s="19">
        <v>5</v>
      </c>
      <c r="K7" s="19">
        <v>2</v>
      </c>
      <c r="L7" s="19">
        <v>0</v>
      </c>
      <c r="M7" s="19">
        <v>1</v>
      </c>
      <c r="N7" s="19">
        <v>8</v>
      </c>
      <c r="O7" s="19">
        <v>3</v>
      </c>
      <c r="P7" s="19">
        <v>1</v>
      </c>
      <c r="Q7" s="19">
        <v>0</v>
      </c>
      <c r="R7" s="19">
        <v>8</v>
      </c>
      <c r="S7" s="19">
        <v>2</v>
      </c>
      <c r="T7" s="19">
        <v>0</v>
      </c>
      <c r="U7" s="19">
        <v>8</v>
      </c>
      <c r="V7" s="19">
        <v>3</v>
      </c>
      <c r="W7" s="19">
        <v>8</v>
      </c>
      <c r="X7" s="19">
        <v>3</v>
      </c>
      <c r="Y7" s="19">
        <v>7</v>
      </c>
      <c r="Z7" s="19">
        <v>7</v>
      </c>
      <c r="AA7" s="19">
        <v>0</v>
      </c>
      <c r="AB7" s="19">
        <v>3</v>
      </c>
      <c r="AC7" s="19">
        <v>10</v>
      </c>
      <c r="AD7" s="10">
        <f t="shared" si="0"/>
        <v>105</v>
      </c>
    </row>
    <row r="8" spans="1:30" ht="21" customHeight="1" x14ac:dyDescent="0.35">
      <c r="A8" s="6">
        <v>7</v>
      </c>
      <c r="B8" s="6" t="s">
        <v>417</v>
      </c>
      <c r="C8" s="6" t="s">
        <v>418</v>
      </c>
      <c r="D8" s="7" t="s">
        <v>419</v>
      </c>
      <c r="E8" s="18">
        <v>7</v>
      </c>
      <c r="F8" s="18">
        <v>8</v>
      </c>
      <c r="G8" s="18">
        <v>8</v>
      </c>
      <c r="H8" s="18">
        <v>1</v>
      </c>
      <c r="I8" s="18">
        <v>10</v>
      </c>
      <c r="J8" s="18">
        <v>3</v>
      </c>
      <c r="K8" s="18">
        <v>1</v>
      </c>
      <c r="L8" s="18">
        <v>2</v>
      </c>
      <c r="M8" s="18">
        <v>6</v>
      </c>
      <c r="N8" s="18">
        <v>10</v>
      </c>
      <c r="O8" s="18">
        <v>2</v>
      </c>
      <c r="P8" s="18">
        <v>7</v>
      </c>
      <c r="Q8" s="18">
        <v>2</v>
      </c>
      <c r="R8" s="18">
        <v>0</v>
      </c>
      <c r="S8" s="18">
        <v>4</v>
      </c>
      <c r="T8" s="18">
        <v>2</v>
      </c>
      <c r="U8" s="18">
        <v>5</v>
      </c>
      <c r="V8" s="18">
        <v>0</v>
      </c>
      <c r="W8" s="18">
        <v>7</v>
      </c>
      <c r="X8" s="18">
        <v>6</v>
      </c>
      <c r="Y8" s="18">
        <v>1</v>
      </c>
      <c r="Z8" s="18">
        <v>0</v>
      </c>
      <c r="AA8" s="18">
        <v>6</v>
      </c>
      <c r="AB8" s="18">
        <v>5</v>
      </c>
      <c r="AC8" s="18">
        <v>0</v>
      </c>
      <c r="AD8" s="10">
        <f t="shared" si="0"/>
        <v>103</v>
      </c>
    </row>
    <row r="9" spans="1:30" ht="21" customHeight="1" x14ac:dyDescent="0.35">
      <c r="A9" s="11">
        <v>8</v>
      </c>
      <c r="B9" s="11" t="s">
        <v>420</v>
      </c>
      <c r="C9" s="11" t="s">
        <v>421</v>
      </c>
      <c r="D9" s="12" t="s">
        <v>422</v>
      </c>
      <c r="E9" s="19">
        <v>7</v>
      </c>
      <c r="F9" s="19">
        <v>1</v>
      </c>
      <c r="G9" s="19">
        <v>5</v>
      </c>
      <c r="H9" s="19">
        <v>10</v>
      </c>
      <c r="I9" s="19">
        <v>0</v>
      </c>
      <c r="J9" s="19">
        <v>9</v>
      </c>
      <c r="K9" s="19">
        <v>5</v>
      </c>
      <c r="L9" s="19">
        <v>4</v>
      </c>
      <c r="M9" s="19">
        <v>8</v>
      </c>
      <c r="N9" s="19">
        <v>2</v>
      </c>
      <c r="O9" s="19">
        <v>10</v>
      </c>
      <c r="P9" s="19">
        <v>2</v>
      </c>
      <c r="Q9" s="19">
        <v>8</v>
      </c>
      <c r="R9" s="19">
        <v>5</v>
      </c>
      <c r="S9" s="19">
        <v>6</v>
      </c>
      <c r="T9" s="19">
        <v>2</v>
      </c>
      <c r="U9" s="19">
        <v>7</v>
      </c>
      <c r="V9" s="19">
        <v>10</v>
      </c>
      <c r="W9" s="19">
        <v>9</v>
      </c>
      <c r="X9" s="19">
        <v>0</v>
      </c>
      <c r="Y9" s="19">
        <v>9</v>
      </c>
      <c r="Z9" s="19">
        <v>8</v>
      </c>
      <c r="AA9" s="19">
        <v>7</v>
      </c>
      <c r="AB9" s="19">
        <v>4</v>
      </c>
      <c r="AC9" s="19">
        <v>9</v>
      </c>
      <c r="AD9" s="10">
        <f t="shared" si="0"/>
        <v>147</v>
      </c>
    </row>
    <row r="10" spans="1:30" ht="21" customHeight="1" x14ac:dyDescent="0.35">
      <c r="A10" s="6">
        <v>9</v>
      </c>
      <c r="B10" s="6" t="s">
        <v>423</v>
      </c>
      <c r="C10" s="6" t="s">
        <v>424</v>
      </c>
      <c r="D10" s="7" t="s">
        <v>425</v>
      </c>
      <c r="E10" s="18">
        <v>7</v>
      </c>
      <c r="F10" s="18">
        <v>4</v>
      </c>
      <c r="G10" s="18">
        <v>8</v>
      </c>
      <c r="H10" s="18">
        <v>6</v>
      </c>
      <c r="I10" s="18">
        <v>4</v>
      </c>
      <c r="J10" s="18">
        <v>1</v>
      </c>
      <c r="K10" s="18">
        <v>3</v>
      </c>
      <c r="L10" s="18">
        <v>7</v>
      </c>
      <c r="M10" s="18">
        <v>2</v>
      </c>
      <c r="N10" s="18">
        <v>5</v>
      </c>
      <c r="O10" s="18">
        <v>6</v>
      </c>
      <c r="P10" s="18">
        <v>1</v>
      </c>
      <c r="Q10" s="18">
        <v>2</v>
      </c>
      <c r="R10" s="18">
        <v>2</v>
      </c>
      <c r="S10" s="18">
        <v>3</v>
      </c>
      <c r="T10" s="18">
        <v>2</v>
      </c>
      <c r="U10" s="18">
        <v>1</v>
      </c>
      <c r="V10" s="18">
        <v>8</v>
      </c>
      <c r="W10" s="18">
        <v>7</v>
      </c>
      <c r="X10" s="18">
        <v>8</v>
      </c>
      <c r="Y10" s="18">
        <v>0</v>
      </c>
      <c r="Z10" s="18">
        <v>3</v>
      </c>
      <c r="AA10" s="18">
        <v>0</v>
      </c>
      <c r="AB10" s="18">
        <v>2</v>
      </c>
      <c r="AC10" s="18">
        <v>3</v>
      </c>
      <c r="AD10" s="10">
        <f t="shared" si="0"/>
        <v>95</v>
      </c>
    </row>
    <row r="11" spans="1:30" ht="21" customHeight="1" x14ac:dyDescent="0.35">
      <c r="A11" s="11">
        <v>10</v>
      </c>
      <c r="B11" s="11" t="s">
        <v>426</v>
      </c>
      <c r="C11" s="11" t="s">
        <v>427</v>
      </c>
      <c r="D11" s="12" t="s">
        <v>428</v>
      </c>
      <c r="E11" s="19">
        <v>6</v>
      </c>
      <c r="F11" s="19">
        <v>1</v>
      </c>
      <c r="G11" s="19">
        <v>4</v>
      </c>
      <c r="H11" s="19">
        <v>5</v>
      </c>
      <c r="I11" s="19">
        <v>2</v>
      </c>
      <c r="J11" s="19">
        <v>0</v>
      </c>
      <c r="K11" s="19">
        <v>6</v>
      </c>
      <c r="L11" s="19">
        <v>8</v>
      </c>
      <c r="M11" s="19">
        <v>9</v>
      </c>
      <c r="N11" s="19">
        <v>6</v>
      </c>
      <c r="O11" s="19">
        <v>3</v>
      </c>
      <c r="P11" s="19">
        <v>5</v>
      </c>
      <c r="Q11" s="19">
        <v>1</v>
      </c>
      <c r="R11" s="19">
        <v>9</v>
      </c>
      <c r="S11" s="19">
        <v>3</v>
      </c>
      <c r="T11" s="19">
        <v>2</v>
      </c>
      <c r="U11" s="19">
        <v>8</v>
      </c>
      <c r="V11" s="19">
        <v>10</v>
      </c>
      <c r="W11" s="19">
        <v>2</v>
      </c>
      <c r="X11" s="19">
        <v>5</v>
      </c>
      <c r="Y11" s="19">
        <v>2</v>
      </c>
      <c r="Z11" s="19">
        <v>1</v>
      </c>
      <c r="AA11" s="19">
        <v>3</v>
      </c>
      <c r="AB11" s="19">
        <v>6</v>
      </c>
      <c r="AC11" s="19">
        <v>7</v>
      </c>
      <c r="AD11" s="10">
        <f t="shared" si="0"/>
        <v>114</v>
      </c>
    </row>
    <row r="12" spans="1:30" ht="21" customHeight="1" x14ac:dyDescent="0.35">
      <c r="A12" s="6">
        <v>11</v>
      </c>
      <c r="B12" s="6" t="s">
        <v>429</v>
      </c>
      <c r="C12" s="6" t="s">
        <v>430</v>
      </c>
      <c r="D12" s="7" t="s">
        <v>431</v>
      </c>
      <c r="E12" s="18">
        <v>3</v>
      </c>
      <c r="F12" s="18">
        <v>3</v>
      </c>
      <c r="G12" s="18">
        <v>5</v>
      </c>
      <c r="H12" s="18">
        <v>5</v>
      </c>
      <c r="I12" s="18">
        <v>9</v>
      </c>
      <c r="J12" s="18">
        <v>6</v>
      </c>
      <c r="K12" s="18">
        <v>8</v>
      </c>
      <c r="L12" s="18">
        <v>1</v>
      </c>
      <c r="M12" s="18">
        <v>9</v>
      </c>
      <c r="N12" s="18">
        <v>8</v>
      </c>
      <c r="O12" s="18">
        <v>0</v>
      </c>
      <c r="P12" s="18">
        <v>3</v>
      </c>
      <c r="Q12" s="18">
        <v>2</v>
      </c>
      <c r="R12" s="18">
        <v>7</v>
      </c>
      <c r="S12" s="18">
        <v>9</v>
      </c>
      <c r="T12" s="18">
        <v>2</v>
      </c>
      <c r="U12" s="18">
        <v>10</v>
      </c>
      <c r="V12" s="18">
        <v>5</v>
      </c>
      <c r="W12" s="18">
        <v>10</v>
      </c>
      <c r="X12" s="18">
        <v>9</v>
      </c>
      <c r="Y12" s="18">
        <v>3</v>
      </c>
      <c r="Z12" s="18">
        <v>9</v>
      </c>
      <c r="AA12" s="18">
        <v>10</v>
      </c>
      <c r="AB12" s="18">
        <v>10</v>
      </c>
      <c r="AC12" s="18">
        <v>6</v>
      </c>
      <c r="AD12" s="10">
        <f t="shared" si="0"/>
        <v>152</v>
      </c>
    </row>
    <row r="13" spans="1:30" ht="21" customHeight="1" x14ac:dyDescent="0.35">
      <c r="A13" s="11">
        <v>12</v>
      </c>
      <c r="B13" s="11" t="s">
        <v>432</v>
      </c>
      <c r="C13" s="11" t="s">
        <v>433</v>
      </c>
      <c r="D13" s="12" t="s">
        <v>434</v>
      </c>
      <c r="E13" s="19">
        <v>7</v>
      </c>
      <c r="F13" s="19">
        <v>4</v>
      </c>
      <c r="G13" s="19">
        <v>2</v>
      </c>
      <c r="H13" s="19">
        <v>0</v>
      </c>
      <c r="I13" s="19">
        <v>6</v>
      </c>
      <c r="J13" s="19">
        <v>4</v>
      </c>
      <c r="K13" s="19">
        <v>4</v>
      </c>
      <c r="L13" s="19">
        <v>8</v>
      </c>
      <c r="M13" s="19">
        <v>0</v>
      </c>
      <c r="N13" s="19">
        <v>3</v>
      </c>
      <c r="O13" s="19">
        <v>9</v>
      </c>
      <c r="P13" s="19">
        <v>10</v>
      </c>
      <c r="Q13" s="19">
        <v>3</v>
      </c>
      <c r="R13" s="19">
        <v>8</v>
      </c>
      <c r="S13" s="19">
        <v>0</v>
      </c>
      <c r="T13" s="19">
        <v>2</v>
      </c>
      <c r="U13" s="19">
        <v>10</v>
      </c>
      <c r="V13" s="19">
        <v>10</v>
      </c>
      <c r="W13" s="19">
        <v>4</v>
      </c>
      <c r="X13" s="19">
        <v>3</v>
      </c>
      <c r="Y13" s="19">
        <v>5</v>
      </c>
      <c r="Z13" s="19">
        <v>2</v>
      </c>
      <c r="AA13" s="19">
        <v>1</v>
      </c>
      <c r="AB13" s="19">
        <v>4</v>
      </c>
      <c r="AC13" s="19">
        <v>5</v>
      </c>
      <c r="AD13" s="10">
        <f t="shared" si="0"/>
        <v>114</v>
      </c>
    </row>
    <row r="14" spans="1:30" ht="21" customHeight="1" x14ac:dyDescent="0.35">
      <c r="A14" s="6">
        <v>13</v>
      </c>
      <c r="B14" s="6" t="s">
        <v>435</v>
      </c>
      <c r="C14" s="6" t="s">
        <v>436</v>
      </c>
      <c r="D14" s="7" t="s">
        <v>437</v>
      </c>
      <c r="E14" s="18">
        <v>7</v>
      </c>
      <c r="F14" s="18">
        <v>0</v>
      </c>
      <c r="G14" s="18">
        <v>9</v>
      </c>
      <c r="H14" s="18">
        <v>7</v>
      </c>
      <c r="I14" s="18">
        <v>9</v>
      </c>
      <c r="J14" s="18">
        <v>0</v>
      </c>
      <c r="K14" s="18">
        <v>8</v>
      </c>
      <c r="L14" s="18">
        <v>6</v>
      </c>
      <c r="M14" s="18">
        <v>7</v>
      </c>
      <c r="N14" s="18">
        <v>5</v>
      </c>
      <c r="O14" s="18">
        <v>3</v>
      </c>
      <c r="P14" s="18">
        <v>6</v>
      </c>
      <c r="Q14" s="18">
        <v>1</v>
      </c>
      <c r="R14" s="18">
        <v>5</v>
      </c>
      <c r="S14" s="18">
        <v>1</v>
      </c>
      <c r="T14" s="18">
        <v>2</v>
      </c>
      <c r="U14" s="18">
        <v>10</v>
      </c>
      <c r="V14" s="18">
        <v>6</v>
      </c>
      <c r="W14" s="18">
        <v>2</v>
      </c>
      <c r="X14" s="18">
        <v>8</v>
      </c>
      <c r="Y14" s="18">
        <v>0</v>
      </c>
      <c r="Z14" s="18">
        <v>6</v>
      </c>
      <c r="AA14" s="18">
        <v>4</v>
      </c>
      <c r="AB14" s="18">
        <v>5</v>
      </c>
      <c r="AC14" s="18">
        <v>7</v>
      </c>
      <c r="AD14" s="10">
        <f t="shared" si="0"/>
        <v>124</v>
      </c>
    </row>
    <row r="15" spans="1:30" ht="21" customHeight="1" x14ac:dyDescent="0.35">
      <c r="A15" s="11">
        <v>14</v>
      </c>
      <c r="B15" s="11" t="s">
        <v>438</v>
      </c>
      <c r="C15" s="11" t="s">
        <v>439</v>
      </c>
      <c r="D15" s="12" t="s">
        <v>440</v>
      </c>
      <c r="E15" s="19">
        <v>7</v>
      </c>
      <c r="F15" s="19">
        <v>1</v>
      </c>
      <c r="G15" s="19">
        <v>5</v>
      </c>
      <c r="H15" s="19">
        <v>5</v>
      </c>
      <c r="I15" s="19">
        <v>8</v>
      </c>
      <c r="J15" s="19">
        <v>10</v>
      </c>
      <c r="K15" s="19">
        <v>3</v>
      </c>
      <c r="L15" s="19">
        <v>10</v>
      </c>
      <c r="M15" s="19">
        <v>9</v>
      </c>
      <c r="N15" s="19">
        <v>8</v>
      </c>
      <c r="O15" s="19">
        <v>2</v>
      </c>
      <c r="P15" s="19">
        <v>8</v>
      </c>
      <c r="Q15" s="19">
        <v>5</v>
      </c>
      <c r="R15" s="19">
        <v>6</v>
      </c>
      <c r="S15" s="19">
        <v>9</v>
      </c>
      <c r="T15" s="19">
        <v>7</v>
      </c>
      <c r="U15" s="19">
        <v>4</v>
      </c>
      <c r="V15" s="19">
        <v>9</v>
      </c>
      <c r="W15" s="19">
        <v>2</v>
      </c>
      <c r="X15" s="19">
        <v>10</v>
      </c>
      <c r="Y15" s="19">
        <v>3</v>
      </c>
      <c r="Z15" s="19">
        <v>8</v>
      </c>
      <c r="AA15" s="19">
        <v>0</v>
      </c>
      <c r="AB15" s="19">
        <v>6</v>
      </c>
      <c r="AC15" s="19">
        <v>8</v>
      </c>
      <c r="AD15" s="10">
        <f t="shared" si="0"/>
        <v>153</v>
      </c>
    </row>
    <row r="16" spans="1:30" ht="21" customHeight="1" x14ac:dyDescent="0.35">
      <c r="A16" s="6">
        <v>15</v>
      </c>
      <c r="B16" s="6" t="s">
        <v>441</v>
      </c>
      <c r="C16" s="6" t="s">
        <v>442</v>
      </c>
      <c r="D16" s="7" t="s">
        <v>443</v>
      </c>
      <c r="E16" s="18">
        <v>4</v>
      </c>
      <c r="F16" s="18">
        <v>7</v>
      </c>
      <c r="G16" s="18">
        <v>9</v>
      </c>
      <c r="H16" s="18">
        <v>8</v>
      </c>
      <c r="I16" s="18">
        <v>1</v>
      </c>
      <c r="J16" s="18">
        <v>0</v>
      </c>
      <c r="K16" s="18">
        <v>1</v>
      </c>
      <c r="L16" s="18">
        <v>8</v>
      </c>
      <c r="M16" s="18">
        <v>7</v>
      </c>
      <c r="N16" s="18">
        <v>8</v>
      </c>
      <c r="O16" s="18">
        <v>9</v>
      </c>
      <c r="P16" s="18">
        <v>3</v>
      </c>
      <c r="Q16" s="18">
        <v>5</v>
      </c>
      <c r="R16" s="18">
        <v>0</v>
      </c>
      <c r="S16" s="18">
        <v>6</v>
      </c>
      <c r="T16" s="18">
        <v>5</v>
      </c>
      <c r="U16" s="18">
        <v>6</v>
      </c>
      <c r="V16" s="18">
        <v>10</v>
      </c>
      <c r="W16" s="18">
        <v>2</v>
      </c>
      <c r="X16" s="18">
        <v>4</v>
      </c>
      <c r="Y16" s="18">
        <v>8</v>
      </c>
      <c r="Z16" s="18">
        <v>2</v>
      </c>
      <c r="AA16" s="18">
        <v>3</v>
      </c>
      <c r="AB16" s="18">
        <v>3</v>
      </c>
      <c r="AC16" s="18">
        <v>3</v>
      </c>
      <c r="AD16" s="10">
        <f t="shared" si="0"/>
        <v>122</v>
      </c>
    </row>
    <row r="17" spans="1:30" ht="21" customHeight="1" x14ac:dyDescent="0.35">
      <c r="A17" s="11">
        <v>16</v>
      </c>
      <c r="B17" s="11" t="s">
        <v>444</v>
      </c>
      <c r="C17" s="11" t="s">
        <v>445</v>
      </c>
      <c r="D17" s="12" t="s">
        <v>446</v>
      </c>
      <c r="E17" s="19">
        <v>7</v>
      </c>
      <c r="F17" s="19">
        <v>4</v>
      </c>
      <c r="G17" s="19">
        <v>4</v>
      </c>
      <c r="H17" s="19">
        <v>8</v>
      </c>
      <c r="I17" s="19">
        <v>5</v>
      </c>
      <c r="J17" s="19">
        <v>8</v>
      </c>
      <c r="K17" s="19">
        <v>3</v>
      </c>
      <c r="L17" s="19">
        <v>3</v>
      </c>
      <c r="M17" s="19">
        <v>9</v>
      </c>
      <c r="N17" s="19">
        <v>9</v>
      </c>
      <c r="O17" s="19">
        <v>7</v>
      </c>
      <c r="P17" s="19">
        <v>10</v>
      </c>
      <c r="Q17" s="19">
        <v>15</v>
      </c>
      <c r="R17" s="19">
        <v>3</v>
      </c>
      <c r="S17" s="19">
        <v>8</v>
      </c>
      <c r="T17" s="19">
        <v>7</v>
      </c>
      <c r="U17" s="19">
        <v>0</v>
      </c>
      <c r="V17" s="19">
        <v>10</v>
      </c>
      <c r="W17" s="19">
        <v>2</v>
      </c>
      <c r="X17" s="19">
        <v>0</v>
      </c>
      <c r="Y17" s="19">
        <v>9</v>
      </c>
      <c r="Z17" s="19">
        <v>9</v>
      </c>
      <c r="AA17" s="19">
        <v>3</v>
      </c>
      <c r="AB17" s="19">
        <v>10</v>
      </c>
      <c r="AC17" s="19">
        <v>2</v>
      </c>
      <c r="AD17" s="10">
        <f t="shared" si="0"/>
        <v>155</v>
      </c>
    </row>
    <row r="18" spans="1:30" ht="21" customHeight="1" x14ac:dyDescent="0.35">
      <c r="A18" s="6">
        <v>17</v>
      </c>
      <c r="B18" s="6" t="s">
        <v>447</v>
      </c>
      <c r="C18" s="6" t="s">
        <v>448</v>
      </c>
      <c r="D18" s="7" t="s">
        <v>449</v>
      </c>
      <c r="E18" s="18">
        <v>7</v>
      </c>
      <c r="F18" s="18">
        <v>9</v>
      </c>
      <c r="G18" s="18">
        <v>8</v>
      </c>
      <c r="H18" s="18">
        <v>4</v>
      </c>
      <c r="I18" s="18">
        <v>6</v>
      </c>
      <c r="J18" s="18">
        <v>1</v>
      </c>
      <c r="K18" s="18">
        <v>3</v>
      </c>
      <c r="L18" s="18">
        <v>2</v>
      </c>
      <c r="M18" s="18">
        <v>8</v>
      </c>
      <c r="N18" s="18">
        <v>1</v>
      </c>
      <c r="O18" s="18">
        <v>2</v>
      </c>
      <c r="P18" s="18">
        <v>15</v>
      </c>
      <c r="Q18" s="18">
        <v>0</v>
      </c>
      <c r="R18" s="18">
        <v>10</v>
      </c>
      <c r="S18" s="18">
        <v>3</v>
      </c>
      <c r="T18" s="18">
        <v>6</v>
      </c>
      <c r="U18" s="18">
        <v>2</v>
      </c>
      <c r="V18" s="18">
        <v>8</v>
      </c>
      <c r="W18" s="18">
        <v>9</v>
      </c>
      <c r="X18" s="18">
        <v>4</v>
      </c>
      <c r="Y18" s="18">
        <v>7</v>
      </c>
      <c r="Z18" s="18">
        <v>1</v>
      </c>
      <c r="AA18" s="18">
        <v>4</v>
      </c>
      <c r="AB18" s="18">
        <v>10</v>
      </c>
      <c r="AC18" s="18">
        <v>10</v>
      </c>
      <c r="AD18" s="10">
        <f t="shared" si="0"/>
        <v>140</v>
      </c>
    </row>
    <row r="19" spans="1:30" ht="21" customHeight="1" x14ac:dyDescent="0.35">
      <c r="A19" s="11">
        <v>18</v>
      </c>
      <c r="B19" s="11" t="s">
        <v>450</v>
      </c>
      <c r="C19" s="11" t="s">
        <v>451</v>
      </c>
      <c r="D19" s="12" t="s">
        <v>452</v>
      </c>
      <c r="E19" s="19">
        <v>4</v>
      </c>
      <c r="F19" s="19">
        <v>2</v>
      </c>
      <c r="G19" s="19">
        <v>9</v>
      </c>
      <c r="H19" s="19">
        <v>1</v>
      </c>
      <c r="I19" s="19">
        <v>10</v>
      </c>
      <c r="J19" s="19">
        <v>7</v>
      </c>
      <c r="K19" s="19">
        <v>9</v>
      </c>
      <c r="L19" s="19">
        <v>1</v>
      </c>
      <c r="M19" s="19">
        <v>7</v>
      </c>
      <c r="N19" s="19">
        <v>0</v>
      </c>
      <c r="O19" s="19">
        <v>8</v>
      </c>
      <c r="P19" s="19">
        <v>0</v>
      </c>
      <c r="Q19" s="19">
        <v>4</v>
      </c>
      <c r="R19" s="19">
        <v>4</v>
      </c>
      <c r="S19" s="19">
        <v>2</v>
      </c>
      <c r="T19" s="19">
        <v>0</v>
      </c>
      <c r="U19" s="19">
        <v>2</v>
      </c>
      <c r="V19" s="19">
        <v>5</v>
      </c>
      <c r="W19" s="19">
        <v>1</v>
      </c>
      <c r="X19" s="19">
        <v>1</v>
      </c>
      <c r="Y19" s="19">
        <v>5</v>
      </c>
      <c r="Z19" s="19">
        <v>1</v>
      </c>
      <c r="AA19" s="19">
        <v>1</v>
      </c>
      <c r="AB19" s="19">
        <v>3</v>
      </c>
      <c r="AC19" s="19">
        <v>0</v>
      </c>
      <c r="AD19" s="10">
        <f t="shared" si="0"/>
        <v>87</v>
      </c>
    </row>
    <row r="20" spans="1:30" ht="21" customHeight="1" x14ac:dyDescent="0.35">
      <c r="A20" s="6">
        <v>19</v>
      </c>
      <c r="B20" s="6" t="s">
        <v>453</v>
      </c>
      <c r="C20" s="6" t="s">
        <v>454</v>
      </c>
      <c r="D20" s="7" t="s">
        <v>455</v>
      </c>
      <c r="E20" s="18">
        <v>7</v>
      </c>
      <c r="F20" s="18">
        <v>2</v>
      </c>
      <c r="G20" s="18">
        <v>6</v>
      </c>
      <c r="H20" s="18">
        <v>9</v>
      </c>
      <c r="I20" s="18">
        <v>0</v>
      </c>
      <c r="J20" s="18">
        <v>7</v>
      </c>
      <c r="K20" s="18">
        <v>4</v>
      </c>
      <c r="L20" s="18">
        <v>8</v>
      </c>
      <c r="M20" s="18">
        <v>0</v>
      </c>
      <c r="N20" s="18">
        <v>4</v>
      </c>
      <c r="O20" s="18">
        <v>3</v>
      </c>
      <c r="P20" s="18">
        <v>3</v>
      </c>
      <c r="Q20" s="18">
        <v>10</v>
      </c>
      <c r="R20" s="18">
        <v>7</v>
      </c>
      <c r="S20" s="18">
        <v>3</v>
      </c>
      <c r="T20" s="18">
        <v>2</v>
      </c>
      <c r="U20" s="18">
        <v>10</v>
      </c>
      <c r="V20" s="18">
        <v>5</v>
      </c>
      <c r="W20" s="18">
        <v>4</v>
      </c>
      <c r="X20" s="18">
        <v>8</v>
      </c>
      <c r="Y20" s="18">
        <v>5</v>
      </c>
      <c r="Z20" s="18">
        <v>0</v>
      </c>
      <c r="AA20" s="18">
        <v>1</v>
      </c>
      <c r="AB20" s="18">
        <v>4</v>
      </c>
      <c r="AC20" s="18">
        <v>8</v>
      </c>
      <c r="AD20" s="10">
        <f t="shared" si="0"/>
        <v>120</v>
      </c>
    </row>
    <row r="21" spans="1:30" ht="21" customHeight="1" x14ac:dyDescent="0.35">
      <c r="A21" s="11">
        <v>20</v>
      </c>
      <c r="B21" s="11" t="s">
        <v>456</v>
      </c>
      <c r="C21" s="11" t="s">
        <v>457</v>
      </c>
      <c r="D21" s="12" t="s">
        <v>458</v>
      </c>
      <c r="E21" s="19">
        <v>6</v>
      </c>
      <c r="F21" s="19">
        <v>5</v>
      </c>
      <c r="G21" s="19">
        <v>6</v>
      </c>
      <c r="H21" s="19">
        <v>7</v>
      </c>
      <c r="I21" s="19">
        <v>5</v>
      </c>
      <c r="J21" s="19">
        <v>8</v>
      </c>
      <c r="K21" s="19">
        <v>8</v>
      </c>
      <c r="L21" s="19">
        <v>9</v>
      </c>
      <c r="M21" s="19">
        <v>0</v>
      </c>
      <c r="N21" s="19">
        <v>6</v>
      </c>
      <c r="O21" s="19">
        <v>9</v>
      </c>
      <c r="P21" s="19">
        <v>10</v>
      </c>
      <c r="Q21" s="19">
        <v>6</v>
      </c>
      <c r="R21" s="19">
        <v>1</v>
      </c>
      <c r="S21" s="19">
        <v>4</v>
      </c>
      <c r="T21" s="19">
        <v>5</v>
      </c>
      <c r="U21" s="19">
        <v>7</v>
      </c>
      <c r="V21" s="19">
        <v>6</v>
      </c>
      <c r="W21" s="19">
        <v>2</v>
      </c>
      <c r="X21" s="19">
        <v>0</v>
      </c>
      <c r="Y21" s="19">
        <v>5</v>
      </c>
      <c r="Z21" s="19">
        <v>6</v>
      </c>
      <c r="AA21" s="19">
        <v>0</v>
      </c>
      <c r="AB21" s="19">
        <v>9</v>
      </c>
      <c r="AC21" s="19">
        <v>2</v>
      </c>
      <c r="AD21" s="10">
        <f t="shared" si="0"/>
        <v>132</v>
      </c>
    </row>
    <row r="22" spans="1:30" ht="21" customHeight="1" x14ac:dyDescent="0.35">
      <c r="A22" s="6">
        <v>21</v>
      </c>
      <c r="B22" s="6" t="s">
        <v>459</v>
      </c>
      <c r="C22" s="6" t="s">
        <v>460</v>
      </c>
      <c r="D22" s="7" t="s">
        <v>461</v>
      </c>
      <c r="E22" s="18">
        <v>7</v>
      </c>
      <c r="F22" s="18">
        <v>6</v>
      </c>
      <c r="G22" s="18">
        <v>6</v>
      </c>
      <c r="H22" s="18">
        <v>2</v>
      </c>
      <c r="I22" s="18">
        <v>0</v>
      </c>
      <c r="J22" s="18">
        <v>8</v>
      </c>
      <c r="K22" s="18">
        <v>0</v>
      </c>
      <c r="L22" s="18">
        <v>9</v>
      </c>
      <c r="M22" s="18">
        <v>4</v>
      </c>
      <c r="N22" s="18">
        <v>10</v>
      </c>
      <c r="O22" s="18">
        <v>7</v>
      </c>
      <c r="P22" s="18">
        <v>0</v>
      </c>
      <c r="Q22" s="18">
        <v>7</v>
      </c>
      <c r="R22" s="18">
        <v>3</v>
      </c>
      <c r="S22" s="18">
        <v>8</v>
      </c>
      <c r="T22" s="18">
        <v>6</v>
      </c>
      <c r="U22" s="18">
        <v>0</v>
      </c>
      <c r="V22" s="18">
        <v>9</v>
      </c>
      <c r="W22" s="18">
        <v>1</v>
      </c>
      <c r="X22" s="18">
        <v>8</v>
      </c>
      <c r="Y22" s="18">
        <v>7</v>
      </c>
      <c r="Z22" s="18">
        <v>7</v>
      </c>
      <c r="AA22" s="18">
        <v>4</v>
      </c>
      <c r="AB22" s="18">
        <v>10</v>
      </c>
      <c r="AC22" s="18">
        <v>7</v>
      </c>
      <c r="AD22" s="10">
        <f t="shared" si="0"/>
        <v>136</v>
      </c>
    </row>
    <row r="23" spans="1:30" ht="21" customHeight="1" x14ac:dyDescent="0.35">
      <c r="A23" s="11">
        <v>22</v>
      </c>
      <c r="B23" s="11" t="s">
        <v>462</v>
      </c>
      <c r="C23" s="11" t="s">
        <v>463</v>
      </c>
      <c r="D23" s="12" t="s">
        <v>464</v>
      </c>
      <c r="E23" s="19">
        <v>10</v>
      </c>
      <c r="F23" s="19">
        <v>5</v>
      </c>
      <c r="G23" s="19">
        <v>3</v>
      </c>
      <c r="H23" s="19">
        <v>9</v>
      </c>
      <c r="I23" s="19">
        <v>5</v>
      </c>
      <c r="J23" s="19">
        <v>0</v>
      </c>
      <c r="K23" s="19">
        <v>7</v>
      </c>
      <c r="L23" s="19">
        <v>8</v>
      </c>
      <c r="M23" s="19">
        <v>1</v>
      </c>
      <c r="N23" s="19">
        <v>2</v>
      </c>
      <c r="O23" s="19">
        <v>2</v>
      </c>
      <c r="P23" s="19">
        <v>7</v>
      </c>
      <c r="Q23" s="19">
        <v>8</v>
      </c>
      <c r="R23" s="19">
        <v>10</v>
      </c>
      <c r="S23" s="19">
        <v>4</v>
      </c>
      <c r="T23" s="19">
        <v>10</v>
      </c>
      <c r="U23" s="19">
        <v>9</v>
      </c>
      <c r="V23" s="19">
        <v>10</v>
      </c>
      <c r="W23" s="19">
        <v>2</v>
      </c>
      <c r="X23" s="19">
        <v>8</v>
      </c>
      <c r="Y23" s="19">
        <v>10</v>
      </c>
      <c r="Z23" s="19">
        <v>3</v>
      </c>
      <c r="AA23" s="19">
        <v>2</v>
      </c>
      <c r="AB23" s="19">
        <v>9</v>
      </c>
      <c r="AC23" s="19">
        <v>7</v>
      </c>
      <c r="AD23" s="10">
        <f t="shared" si="0"/>
        <v>151</v>
      </c>
    </row>
    <row r="24" spans="1:30" ht="21" customHeight="1" x14ac:dyDescent="0.35">
      <c r="A24" s="6">
        <v>23</v>
      </c>
      <c r="B24" s="6" t="s">
        <v>465</v>
      </c>
      <c r="C24" s="6" t="s">
        <v>466</v>
      </c>
      <c r="D24" s="7" t="s">
        <v>467</v>
      </c>
      <c r="E24" s="18">
        <v>5</v>
      </c>
      <c r="F24" s="18">
        <v>3</v>
      </c>
      <c r="G24" s="18">
        <v>2</v>
      </c>
      <c r="H24" s="18">
        <v>6</v>
      </c>
      <c r="I24" s="18">
        <v>6</v>
      </c>
      <c r="J24" s="18">
        <v>9</v>
      </c>
      <c r="K24" s="18">
        <v>3</v>
      </c>
      <c r="L24" s="18">
        <v>10</v>
      </c>
      <c r="M24" s="18">
        <v>2</v>
      </c>
      <c r="N24" s="18">
        <v>8</v>
      </c>
      <c r="O24" s="18">
        <v>10</v>
      </c>
      <c r="P24" s="18">
        <v>4</v>
      </c>
      <c r="Q24" s="18">
        <v>15</v>
      </c>
      <c r="R24" s="18">
        <v>3</v>
      </c>
      <c r="S24" s="18">
        <v>7</v>
      </c>
      <c r="T24" s="18">
        <v>2</v>
      </c>
      <c r="U24" s="18">
        <v>5</v>
      </c>
      <c r="V24" s="18">
        <v>4</v>
      </c>
      <c r="W24" s="18">
        <v>2</v>
      </c>
      <c r="X24" s="18">
        <v>0</v>
      </c>
      <c r="Y24" s="18">
        <v>5</v>
      </c>
      <c r="Z24" s="18">
        <v>6</v>
      </c>
      <c r="AA24" s="18">
        <v>9</v>
      </c>
      <c r="AB24" s="18">
        <v>6</v>
      </c>
      <c r="AC24" s="18">
        <v>9</v>
      </c>
      <c r="AD24" s="10">
        <f t="shared" si="0"/>
        <v>141</v>
      </c>
    </row>
    <row r="25" spans="1:30" ht="21" customHeight="1" x14ac:dyDescent="0.35">
      <c r="A25" s="11">
        <v>24</v>
      </c>
      <c r="B25" s="11" t="s">
        <v>468</v>
      </c>
      <c r="C25" s="11" t="s">
        <v>469</v>
      </c>
      <c r="D25" s="12" t="s">
        <v>470</v>
      </c>
      <c r="E25" s="19">
        <v>7</v>
      </c>
      <c r="F25" s="19">
        <v>2</v>
      </c>
      <c r="G25" s="19">
        <v>4</v>
      </c>
      <c r="H25" s="19">
        <v>4</v>
      </c>
      <c r="I25" s="19">
        <v>4</v>
      </c>
      <c r="J25" s="19">
        <v>6</v>
      </c>
      <c r="K25" s="19">
        <v>2</v>
      </c>
      <c r="L25" s="19">
        <v>7</v>
      </c>
      <c r="M25" s="19">
        <v>0</v>
      </c>
      <c r="N25" s="19">
        <v>3</v>
      </c>
      <c r="O25" s="19">
        <v>2</v>
      </c>
      <c r="P25" s="19">
        <v>7</v>
      </c>
      <c r="Q25" s="19">
        <v>0</v>
      </c>
      <c r="R25" s="19">
        <v>3</v>
      </c>
      <c r="S25" s="19">
        <v>7</v>
      </c>
      <c r="T25" s="19">
        <v>2</v>
      </c>
      <c r="U25" s="19">
        <v>0</v>
      </c>
      <c r="V25" s="19">
        <v>4</v>
      </c>
      <c r="W25" s="19">
        <v>7</v>
      </c>
      <c r="X25" s="19">
        <v>4</v>
      </c>
      <c r="Y25" s="19">
        <v>6</v>
      </c>
      <c r="Z25" s="19">
        <v>7</v>
      </c>
      <c r="AA25" s="19">
        <v>3</v>
      </c>
      <c r="AB25" s="19">
        <v>2</v>
      </c>
      <c r="AC25" s="19">
        <v>1</v>
      </c>
      <c r="AD25" s="10">
        <f t="shared" si="0"/>
        <v>94</v>
      </c>
    </row>
    <row r="26" spans="1:30" ht="21" customHeight="1" x14ac:dyDescent="0.35">
      <c r="A26" s="6">
        <v>25</v>
      </c>
      <c r="B26" s="6" t="s">
        <v>471</v>
      </c>
      <c r="C26" s="6" t="s">
        <v>472</v>
      </c>
      <c r="D26" s="7" t="s">
        <v>473</v>
      </c>
      <c r="E26" s="18">
        <v>1</v>
      </c>
      <c r="F26" s="18">
        <v>6</v>
      </c>
      <c r="G26" s="18">
        <v>5</v>
      </c>
      <c r="H26" s="18">
        <v>2</v>
      </c>
      <c r="I26" s="18">
        <v>9</v>
      </c>
      <c r="J26" s="18">
        <v>6</v>
      </c>
      <c r="K26" s="18">
        <v>0</v>
      </c>
      <c r="L26" s="18">
        <v>8</v>
      </c>
      <c r="M26" s="18">
        <v>5</v>
      </c>
      <c r="N26" s="18">
        <v>1</v>
      </c>
      <c r="O26" s="18">
        <v>7</v>
      </c>
      <c r="P26" s="18">
        <v>1</v>
      </c>
      <c r="Q26" s="18">
        <v>4</v>
      </c>
      <c r="R26" s="18">
        <v>1</v>
      </c>
      <c r="S26" s="18">
        <v>10</v>
      </c>
      <c r="T26" s="18">
        <v>0</v>
      </c>
      <c r="U26" s="18">
        <v>8</v>
      </c>
      <c r="V26" s="18">
        <v>1</v>
      </c>
      <c r="W26" s="18">
        <v>0</v>
      </c>
      <c r="X26" s="18">
        <v>0</v>
      </c>
      <c r="Y26" s="18">
        <v>9</v>
      </c>
      <c r="Z26" s="18">
        <v>6</v>
      </c>
      <c r="AA26" s="18">
        <v>4</v>
      </c>
      <c r="AB26" s="18">
        <v>5</v>
      </c>
      <c r="AC26" s="18">
        <v>10</v>
      </c>
      <c r="AD26" s="10">
        <f t="shared" si="0"/>
        <v>109</v>
      </c>
    </row>
    <row r="27" spans="1:30" ht="21" customHeight="1" x14ac:dyDescent="0.35">
      <c r="A27" s="11">
        <v>26</v>
      </c>
      <c r="B27" s="11" t="s">
        <v>474</v>
      </c>
      <c r="C27" s="11" t="s">
        <v>475</v>
      </c>
      <c r="D27" s="12" t="s">
        <v>476</v>
      </c>
      <c r="E27" s="19">
        <v>9</v>
      </c>
      <c r="F27" s="19">
        <v>3</v>
      </c>
      <c r="G27" s="19">
        <v>4</v>
      </c>
      <c r="H27" s="19">
        <v>0</v>
      </c>
      <c r="I27" s="19">
        <v>3</v>
      </c>
      <c r="J27" s="19">
        <v>8</v>
      </c>
      <c r="K27" s="19">
        <v>10</v>
      </c>
      <c r="L27" s="19">
        <v>6</v>
      </c>
      <c r="M27" s="19">
        <v>6</v>
      </c>
      <c r="N27" s="19">
        <v>8</v>
      </c>
      <c r="O27" s="19">
        <v>1</v>
      </c>
      <c r="P27" s="19">
        <v>8</v>
      </c>
      <c r="Q27" s="19">
        <v>9</v>
      </c>
      <c r="R27" s="19">
        <v>5</v>
      </c>
      <c r="S27" s="19">
        <v>9</v>
      </c>
      <c r="T27" s="19">
        <v>2</v>
      </c>
      <c r="U27" s="19">
        <v>10</v>
      </c>
      <c r="V27" s="19">
        <v>0</v>
      </c>
      <c r="W27" s="19">
        <v>0</v>
      </c>
      <c r="X27" s="19">
        <v>4</v>
      </c>
      <c r="Y27" s="19">
        <v>2</v>
      </c>
      <c r="Z27" s="19">
        <v>8</v>
      </c>
      <c r="AA27" s="19">
        <v>5</v>
      </c>
      <c r="AB27" s="19">
        <v>10</v>
      </c>
      <c r="AC27" s="19">
        <v>8</v>
      </c>
      <c r="AD27" s="10">
        <f t="shared" si="0"/>
        <v>138</v>
      </c>
    </row>
    <row r="28" spans="1:30" ht="21" customHeight="1" x14ac:dyDescent="0.35">
      <c r="A28" s="6">
        <v>27</v>
      </c>
      <c r="B28" s="6" t="s">
        <v>477</v>
      </c>
      <c r="C28" s="6" t="s">
        <v>478</v>
      </c>
      <c r="D28" s="7" t="s">
        <v>479</v>
      </c>
      <c r="E28" s="18">
        <v>7</v>
      </c>
      <c r="F28" s="18">
        <v>4</v>
      </c>
      <c r="G28" s="18">
        <v>2</v>
      </c>
      <c r="H28" s="18">
        <v>10</v>
      </c>
      <c r="I28" s="18">
        <v>7</v>
      </c>
      <c r="J28" s="18">
        <v>4</v>
      </c>
      <c r="K28" s="18">
        <v>7</v>
      </c>
      <c r="L28" s="18">
        <v>7</v>
      </c>
      <c r="M28" s="18">
        <v>2</v>
      </c>
      <c r="N28" s="18">
        <v>9</v>
      </c>
      <c r="O28" s="18">
        <v>3</v>
      </c>
      <c r="P28" s="18">
        <v>7</v>
      </c>
      <c r="Q28" s="18">
        <v>2</v>
      </c>
      <c r="R28" s="18">
        <v>7</v>
      </c>
      <c r="S28" s="18">
        <v>1</v>
      </c>
      <c r="T28" s="18">
        <v>9</v>
      </c>
      <c r="U28" s="18">
        <v>7</v>
      </c>
      <c r="V28" s="18">
        <v>7</v>
      </c>
      <c r="W28" s="18">
        <v>8</v>
      </c>
      <c r="X28" s="18">
        <v>4</v>
      </c>
      <c r="Y28" s="18">
        <v>4</v>
      </c>
      <c r="Z28" s="18">
        <v>2</v>
      </c>
      <c r="AA28" s="18">
        <v>4</v>
      </c>
      <c r="AB28" s="18">
        <v>5</v>
      </c>
      <c r="AC28" s="18">
        <v>7</v>
      </c>
      <c r="AD28" s="10">
        <f t="shared" si="0"/>
        <v>136</v>
      </c>
    </row>
    <row r="29" spans="1:30" ht="21" customHeight="1" x14ac:dyDescent="0.35">
      <c r="A29" s="11">
        <v>28</v>
      </c>
      <c r="B29" s="11" t="s">
        <v>480</v>
      </c>
      <c r="C29" s="11" t="s">
        <v>481</v>
      </c>
      <c r="D29" s="12" t="s">
        <v>482</v>
      </c>
      <c r="E29" s="19">
        <v>7</v>
      </c>
      <c r="F29" s="19">
        <v>0</v>
      </c>
      <c r="G29" s="19">
        <v>7</v>
      </c>
      <c r="H29" s="19">
        <v>9</v>
      </c>
      <c r="I29" s="19">
        <v>1</v>
      </c>
      <c r="J29" s="19">
        <v>4</v>
      </c>
      <c r="K29" s="19">
        <v>10</v>
      </c>
      <c r="L29" s="19">
        <v>5</v>
      </c>
      <c r="M29" s="19">
        <v>0</v>
      </c>
      <c r="N29" s="19">
        <v>7</v>
      </c>
      <c r="O29" s="19">
        <v>0</v>
      </c>
      <c r="P29" s="19">
        <v>7</v>
      </c>
      <c r="Q29" s="19">
        <v>7</v>
      </c>
      <c r="R29" s="19">
        <v>2</v>
      </c>
      <c r="S29" s="19">
        <v>0</v>
      </c>
      <c r="T29" s="19">
        <v>8</v>
      </c>
      <c r="U29" s="19">
        <v>0</v>
      </c>
      <c r="V29" s="19">
        <v>2</v>
      </c>
      <c r="W29" s="19">
        <v>6</v>
      </c>
      <c r="X29" s="19">
        <v>9</v>
      </c>
      <c r="Y29" s="19">
        <v>1</v>
      </c>
      <c r="Z29" s="19">
        <v>10</v>
      </c>
      <c r="AA29" s="19">
        <v>3</v>
      </c>
      <c r="AB29" s="19">
        <v>0</v>
      </c>
      <c r="AC29" s="19">
        <v>5</v>
      </c>
      <c r="AD29" s="10">
        <f t="shared" si="0"/>
        <v>110</v>
      </c>
    </row>
    <row r="30" spans="1:30" ht="21" customHeight="1" x14ac:dyDescent="0.35">
      <c r="A30" s="6">
        <v>29</v>
      </c>
      <c r="B30" s="6" t="s">
        <v>483</v>
      </c>
      <c r="C30" s="6" t="s">
        <v>484</v>
      </c>
      <c r="D30" s="7" t="s">
        <v>485</v>
      </c>
      <c r="E30" s="18">
        <v>7</v>
      </c>
      <c r="F30" s="18">
        <v>3</v>
      </c>
      <c r="G30" s="18">
        <v>7</v>
      </c>
      <c r="H30" s="18">
        <v>2</v>
      </c>
      <c r="I30" s="18">
        <v>1</v>
      </c>
      <c r="J30" s="18">
        <v>6</v>
      </c>
      <c r="K30" s="18">
        <v>2</v>
      </c>
      <c r="L30" s="18">
        <v>0</v>
      </c>
      <c r="M30" s="18">
        <v>10</v>
      </c>
      <c r="N30" s="18">
        <v>9</v>
      </c>
      <c r="O30" s="18">
        <v>10</v>
      </c>
      <c r="P30" s="18">
        <v>1</v>
      </c>
      <c r="Q30" s="18">
        <v>2</v>
      </c>
      <c r="R30" s="18">
        <v>10</v>
      </c>
      <c r="S30" s="18">
        <v>3</v>
      </c>
      <c r="T30" s="18">
        <v>4</v>
      </c>
      <c r="U30" s="18">
        <v>2</v>
      </c>
      <c r="V30" s="18">
        <v>1</v>
      </c>
      <c r="W30" s="18">
        <v>4</v>
      </c>
      <c r="X30" s="18">
        <v>1</v>
      </c>
      <c r="Y30" s="18">
        <v>8</v>
      </c>
      <c r="Z30" s="18">
        <v>8</v>
      </c>
      <c r="AA30" s="18">
        <v>0</v>
      </c>
      <c r="AB30" s="18">
        <v>8</v>
      </c>
      <c r="AC30" s="18">
        <v>10</v>
      </c>
      <c r="AD30" s="10">
        <f t="shared" si="0"/>
        <v>119</v>
      </c>
    </row>
    <row r="31" spans="1:30" ht="21" customHeight="1" x14ac:dyDescent="0.35">
      <c r="A31" s="11">
        <v>30</v>
      </c>
      <c r="B31" s="11" t="s">
        <v>486</v>
      </c>
      <c r="C31" s="11" t="s">
        <v>487</v>
      </c>
      <c r="D31" s="12" t="s">
        <v>488</v>
      </c>
      <c r="E31" s="19">
        <v>7</v>
      </c>
      <c r="F31" s="19">
        <v>4</v>
      </c>
      <c r="G31" s="19">
        <v>4</v>
      </c>
      <c r="H31" s="19">
        <v>1</v>
      </c>
      <c r="I31" s="19">
        <v>2</v>
      </c>
      <c r="J31" s="19">
        <v>6</v>
      </c>
      <c r="K31" s="19">
        <v>3</v>
      </c>
      <c r="L31" s="19">
        <v>5</v>
      </c>
      <c r="M31" s="19">
        <v>0</v>
      </c>
      <c r="N31" s="19">
        <v>10</v>
      </c>
      <c r="O31" s="19">
        <v>2</v>
      </c>
      <c r="P31" s="19">
        <v>2</v>
      </c>
      <c r="Q31" s="19">
        <v>6</v>
      </c>
      <c r="R31" s="19">
        <v>10</v>
      </c>
      <c r="S31" s="19">
        <v>8</v>
      </c>
      <c r="T31" s="19">
        <v>2</v>
      </c>
      <c r="U31" s="19">
        <v>4</v>
      </c>
      <c r="V31" s="19">
        <v>10</v>
      </c>
      <c r="W31" s="19">
        <v>2</v>
      </c>
      <c r="X31" s="19">
        <v>3</v>
      </c>
      <c r="Y31" s="19">
        <v>5</v>
      </c>
      <c r="Z31" s="19">
        <v>7</v>
      </c>
      <c r="AA31" s="19">
        <v>2</v>
      </c>
      <c r="AB31" s="19">
        <v>7</v>
      </c>
      <c r="AC31" s="19">
        <v>3</v>
      </c>
      <c r="AD31" s="10">
        <f t="shared" si="0"/>
        <v>115</v>
      </c>
    </row>
    <row r="32" spans="1:30" ht="21" customHeight="1" x14ac:dyDescent="0.35">
      <c r="A32" s="6">
        <v>31</v>
      </c>
      <c r="B32" s="6" t="s">
        <v>489</v>
      </c>
      <c r="C32" s="6" t="s">
        <v>490</v>
      </c>
      <c r="D32" s="7" t="s">
        <v>491</v>
      </c>
      <c r="E32" s="18">
        <v>7</v>
      </c>
      <c r="F32" s="18">
        <v>10</v>
      </c>
      <c r="G32" s="18">
        <v>5</v>
      </c>
      <c r="H32" s="18">
        <v>2</v>
      </c>
      <c r="I32" s="18">
        <v>4</v>
      </c>
      <c r="J32" s="18">
        <v>8</v>
      </c>
      <c r="K32" s="18">
        <v>10</v>
      </c>
      <c r="L32" s="18">
        <v>8</v>
      </c>
      <c r="M32" s="18">
        <v>8</v>
      </c>
      <c r="N32" s="18">
        <v>1</v>
      </c>
      <c r="O32" s="18">
        <v>8</v>
      </c>
      <c r="P32" s="18">
        <v>10</v>
      </c>
      <c r="Q32" s="18">
        <v>10</v>
      </c>
      <c r="R32" s="18">
        <v>9</v>
      </c>
      <c r="S32" s="18">
        <v>1</v>
      </c>
      <c r="T32" s="18">
        <v>0</v>
      </c>
      <c r="U32" s="18">
        <v>1</v>
      </c>
      <c r="V32" s="18">
        <v>9</v>
      </c>
      <c r="W32" s="18">
        <v>9</v>
      </c>
      <c r="X32" s="18">
        <v>8</v>
      </c>
      <c r="Y32" s="18">
        <v>1</v>
      </c>
      <c r="Z32" s="18">
        <v>10</v>
      </c>
      <c r="AA32" s="18">
        <v>3</v>
      </c>
      <c r="AB32" s="18">
        <v>9</v>
      </c>
      <c r="AC32" s="18">
        <v>9</v>
      </c>
      <c r="AD32" s="10">
        <f t="shared" si="0"/>
        <v>160</v>
      </c>
    </row>
    <row r="33" spans="1:30" ht="21" customHeight="1" x14ac:dyDescent="0.35">
      <c r="A33" s="11">
        <v>32</v>
      </c>
      <c r="B33" s="11" t="s">
        <v>492</v>
      </c>
      <c r="C33" s="11" t="s">
        <v>493</v>
      </c>
      <c r="D33" s="12" t="s">
        <v>494</v>
      </c>
      <c r="E33" s="19">
        <v>5</v>
      </c>
      <c r="F33" s="19">
        <v>6</v>
      </c>
      <c r="G33" s="19">
        <v>5</v>
      </c>
      <c r="H33" s="19">
        <v>7</v>
      </c>
      <c r="I33" s="19">
        <v>7</v>
      </c>
      <c r="J33" s="19">
        <v>6</v>
      </c>
      <c r="K33" s="19">
        <v>4</v>
      </c>
      <c r="L33" s="19">
        <v>9</v>
      </c>
      <c r="M33" s="19">
        <v>3</v>
      </c>
      <c r="N33" s="19">
        <v>2</v>
      </c>
      <c r="O33" s="19">
        <v>9</v>
      </c>
      <c r="P33" s="19">
        <v>6</v>
      </c>
      <c r="Q33" s="19">
        <v>3</v>
      </c>
      <c r="R33" s="19">
        <v>8</v>
      </c>
      <c r="S33" s="19">
        <v>7</v>
      </c>
      <c r="T33" s="19">
        <v>0</v>
      </c>
      <c r="U33" s="19">
        <v>4</v>
      </c>
      <c r="V33" s="19">
        <v>10</v>
      </c>
      <c r="W33" s="19">
        <v>3</v>
      </c>
      <c r="X33" s="19">
        <v>0</v>
      </c>
      <c r="Y33" s="19">
        <v>0</v>
      </c>
      <c r="Z33" s="19">
        <v>6</v>
      </c>
      <c r="AA33" s="19">
        <v>0</v>
      </c>
      <c r="AB33" s="19">
        <v>3</v>
      </c>
      <c r="AC33" s="19">
        <v>9</v>
      </c>
      <c r="AD33" s="10">
        <f t="shared" si="0"/>
        <v>122</v>
      </c>
    </row>
    <row r="34" spans="1:30" ht="21" customHeight="1" x14ac:dyDescent="0.35">
      <c r="A34" s="6">
        <v>33</v>
      </c>
      <c r="B34" s="6" t="s">
        <v>495</v>
      </c>
      <c r="C34" s="6" t="s">
        <v>496</v>
      </c>
      <c r="D34" s="7" t="s">
        <v>497</v>
      </c>
      <c r="E34" s="18">
        <v>1</v>
      </c>
      <c r="F34" s="18">
        <v>7</v>
      </c>
      <c r="G34" s="18">
        <v>5</v>
      </c>
      <c r="H34" s="18">
        <v>9</v>
      </c>
      <c r="I34" s="18">
        <v>1</v>
      </c>
      <c r="J34" s="18">
        <v>6</v>
      </c>
      <c r="K34" s="18">
        <v>9</v>
      </c>
      <c r="L34" s="18">
        <v>10</v>
      </c>
      <c r="M34" s="18">
        <v>2</v>
      </c>
      <c r="N34" s="18">
        <v>8</v>
      </c>
      <c r="O34" s="18">
        <v>3</v>
      </c>
      <c r="P34" s="18">
        <v>7</v>
      </c>
      <c r="Q34" s="18">
        <v>2</v>
      </c>
      <c r="R34" s="18">
        <v>6</v>
      </c>
      <c r="S34" s="18">
        <v>4</v>
      </c>
      <c r="T34" s="18">
        <v>9</v>
      </c>
      <c r="U34" s="18">
        <v>10</v>
      </c>
      <c r="V34" s="18">
        <v>10</v>
      </c>
      <c r="W34" s="18">
        <v>3</v>
      </c>
      <c r="X34" s="18">
        <v>0</v>
      </c>
      <c r="Y34" s="18">
        <v>6</v>
      </c>
      <c r="Z34" s="18">
        <v>7</v>
      </c>
      <c r="AA34" s="18">
        <v>10</v>
      </c>
      <c r="AB34" s="18">
        <v>0</v>
      </c>
      <c r="AC34" s="18">
        <v>2</v>
      </c>
      <c r="AD34" s="10">
        <f t="shared" si="0"/>
        <v>137</v>
      </c>
    </row>
    <row r="35" spans="1:30" ht="21" customHeight="1" x14ac:dyDescent="0.35">
      <c r="A35" s="11">
        <v>34</v>
      </c>
      <c r="B35" s="11" t="s">
        <v>505</v>
      </c>
      <c r="C35" s="11" t="s">
        <v>506</v>
      </c>
      <c r="D35" s="12" t="s">
        <v>507</v>
      </c>
      <c r="E35" s="19">
        <v>7</v>
      </c>
      <c r="F35" s="19">
        <v>6</v>
      </c>
      <c r="G35" s="19">
        <v>8</v>
      </c>
      <c r="H35" s="19">
        <v>2</v>
      </c>
      <c r="I35" s="19">
        <v>0</v>
      </c>
      <c r="J35" s="19">
        <v>1</v>
      </c>
      <c r="K35" s="19">
        <v>6</v>
      </c>
      <c r="L35" s="19">
        <v>2</v>
      </c>
      <c r="M35" s="19">
        <v>6</v>
      </c>
      <c r="N35" s="19">
        <v>6</v>
      </c>
      <c r="O35" s="19">
        <v>5</v>
      </c>
      <c r="P35" s="19">
        <v>1</v>
      </c>
      <c r="Q35" s="19">
        <v>5</v>
      </c>
      <c r="R35" s="19">
        <v>2</v>
      </c>
      <c r="S35" s="19">
        <v>9</v>
      </c>
      <c r="T35" s="19">
        <v>3</v>
      </c>
      <c r="U35" s="19">
        <v>3</v>
      </c>
      <c r="V35" s="19">
        <v>7</v>
      </c>
      <c r="W35" s="19">
        <v>3</v>
      </c>
      <c r="X35" s="19">
        <v>0</v>
      </c>
      <c r="Y35" s="19">
        <v>4</v>
      </c>
      <c r="Z35" s="19">
        <v>10</v>
      </c>
      <c r="AA35" s="19">
        <v>1</v>
      </c>
      <c r="AB35" s="19">
        <v>1</v>
      </c>
      <c r="AC35" s="19">
        <v>3</v>
      </c>
      <c r="AD35" s="10">
        <f t="shared" si="0"/>
        <v>101</v>
      </c>
    </row>
    <row r="36" spans="1:30" ht="21" customHeight="1" x14ac:dyDescent="0.35">
      <c r="A36" s="6">
        <v>35</v>
      </c>
      <c r="B36" s="6" t="s">
        <v>508</v>
      </c>
      <c r="C36" s="6" t="s">
        <v>509</v>
      </c>
      <c r="D36" s="7" t="s">
        <v>510</v>
      </c>
      <c r="E36" s="18">
        <v>10</v>
      </c>
      <c r="F36" s="18">
        <v>0</v>
      </c>
      <c r="G36" s="18">
        <v>5</v>
      </c>
      <c r="H36" s="18">
        <v>9</v>
      </c>
      <c r="I36" s="18">
        <v>3</v>
      </c>
      <c r="J36" s="18">
        <v>7</v>
      </c>
      <c r="K36" s="18">
        <v>3</v>
      </c>
      <c r="L36" s="18">
        <v>3</v>
      </c>
      <c r="M36" s="18">
        <v>3</v>
      </c>
      <c r="N36" s="18">
        <v>1</v>
      </c>
      <c r="O36" s="18">
        <v>4</v>
      </c>
      <c r="P36" s="18">
        <v>7</v>
      </c>
      <c r="Q36" s="18">
        <v>2</v>
      </c>
      <c r="R36" s="18">
        <v>4</v>
      </c>
      <c r="S36" s="18">
        <v>10</v>
      </c>
      <c r="T36" s="18">
        <v>4</v>
      </c>
      <c r="U36" s="18">
        <v>10</v>
      </c>
      <c r="V36" s="18">
        <v>2</v>
      </c>
      <c r="W36" s="18">
        <v>6</v>
      </c>
      <c r="X36" s="18">
        <v>7</v>
      </c>
      <c r="Y36" s="18">
        <v>6</v>
      </c>
      <c r="Z36" s="18">
        <v>3</v>
      </c>
      <c r="AA36" s="18">
        <v>5</v>
      </c>
      <c r="AB36" s="18">
        <v>3</v>
      </c>
      <c r="AC36" s="18">
        <v>9</v>
      </c>
      <c r="AD36" s="10">
        <f t="shared" si="0"/>
        <v>126</v>
      </c>
    </row>
    <row r="37" spans="1:30" ht="21" customHeight="1" x14ac:dyDescent="0.35">
      <c r="A37" s="1"/>
      <c r="B37" s="11" t="s">
        <v>511</v>
      </c>
      <c r="C37" s="11" t="s">
        <v>512</v>
      </c>
      <c r="D37" s="12" t="s">
        <v>513</v>
      </c>
      <c r="E37" s="19">
        <v>4</v>
      </c>
      <c r="F37" s="19">
        <v>7</v>
      </c>
      <c r="G37" s="19">
        <v>3</v>
      </c>
      <c r="H37" s="19">
        <v>1</v>
      </c>
      <c r="I37" s="19">
        <v>7</v>
      </c>
      <c r="J37" s="19">
        <v>4</v>
      </c>
      <c r="K37" s="19">
        <v>2</v>
      </c>
      <c r="L37" s="19">
        <v>2</v>
      </c>
      <c r="M37" s="19">
        <v>5</v>
      </c>
      <c r="N37" s="19">
        <v>9</v>
      </c>
      <c r="O37" s="19">
        <v>7</v>
      </c>
      <c r="P37" s="19">
        <v>0</v>
      </c>
      <c r="Q37" s="19">
        <v>6</v>
      </c>
      <c r="R37" s="19">
        <v>4</v>
      </c>
      <c r="S37" s="19">
        <v>2</v>
      </c>
      <c r="T37" s="19">
        <v>2</v>
      </c>
      <c r="U37" s="19">
        <v>10</v>
      </c>
      <c r="V37" s="19">
        <v>4</v>
      </c>
      <c r="W37" s="19">
        <v>2</v>
      </c>
      <c r="X37" s="19">
        <v>7</v>
      </c>
      <c r="Y37" s="19">
        <v>5</v>
      </c>
      <c r="Z37" s="19">
        <v>6</v>
      </c>
      <c r="AA37" s="19">
        <v>3</v>
      </c>
      <c r="AB37" s="19">
        <v>10</v>
      </c>
      <c r="AC37" s="19">
        <v>10</v>
      </c>
      <c r="AD37" s="10">
        <f t="shared" si="0"/>
        <v>122</v>
      </c>
    </row>
    <row r="38" spans="1:30" ht="21" customHeight="1" x14ac:dyDescent="0.35">
      <c r="A38" s="1"/>
      <c r="B38" s="1"/>
      <c r="C38" s="1"/>
      <c r="D38" s="1"/>
      <c r="E38" s="18">
        <v>6</v>
      </c>
      <c r="F38" s="18">
        <v>1</v>
      </c>
      <c r="G38" s="18">
        <v>7</v>
      </c>
      <c r="H38" s="18">
        <v>7</v>
      </c>
      <c r="I38" s="18">
        <v>5</v>
      </c>
      <c r="J38" s="18">
        <v>4</v>
      </c>
      <c r="K38" s="18">
        <v>2</v>
      </c>
      <c r="L38" s="18">
        <v>4</v>
      </c>
      <c r="M38" s="18">
        <v>8</v>
      </c>
      <c r="N38" s="18">
        <v>3</v>
      </c>
      <c r="O38" s="18">
        <v>7</v>
      </c>
      <c r="P38" s="18">
        <v>7</v>
      </c>
      <c r="Q38" s="18">
        <v>8</v>
      </c>
      <c r="R38" s="18">
        <v>2</v>
      </c>
      <c r="S38" s="18">
        <v>3</v>
      </c>
      <c r="T38" s="18">
        <v>4</v>
      </c>
      <c r="U38" s="18">
        <v>1</v>
      </c>
      <c r="V38" s="18">
        <v>7</v>
      </c>
      <c r="W38" s="18">
        <v>6</v>
      </c>
      <c r="X38" s="18">
        <v>9</v>
      </c>
      <c r="Y38" s="18">
        <v>6</v>
      </c>
      <c r="Z38" s="18">
        <v>9</v>
      </c>
      <c r="AA38" s="18">
        <v>5</v>
      </c>
      <c r="AB38" s="18">
        <v>5</v>
      </c>
      <c r="AC38" s="18">
        <v>5</v>
      </c>
      <c r="AD38" s="10">
        <v>6</v>
      </c>
    </row>
  </sheetData>
  <autoFilter ref="A1:AD38" xr:uid="{00000000-0009-0000-0000-000007000000}"/>
  <conditionalFormatting sqref="B1:D1">
    <cfRule type="cellIs" dxfId="50" priority="2" operator="equal">
      <formula>"Present"</formula>
    </cfRule>
    <cfRule type="cellIs" dxfId="49" priority="3" operator="equal">
      <formula>"Absent"</formula>
    </cfRule>
  </conditionalFormatting>
  <conditionalFormatting sqref="E2:AD38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  <pageSetUpPr fitToPage="1"/>
  </sheetPr>
  <dimension ref="A1:E36"/>
  <sheetViews>
    <sheetView showGridLines="0"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155</v>
      </c>
    </row>
    <row r="2" spans="1:5" ht="21" customHeight="1" x14ac:dyDescent="0.35">
      <c r="A2" s="6">
        <v>1</v>
      </c>
      <c r="B2" s="6" t="s">
        <v>156</v>
      </c>
      <c r="C2" s="6" t="s">
        <v>157</v>
      </c>
      <c r="D2" s="7" t="s">
        <v>158</v>
      </c>
      <c r="E2" s="9">
        <f>IF(OR(COUNTIF('Attendance 10 FEMALES'!$D$2:$D$39,D2)=0,COUNTIF('Participation 10 FEMALES'!$D$2:$D$37,D2)=0),"CHECK ID",IFERROR(VLOOKUP(D2,'Attendance 10 FEMALES'!$D$2:$AE$39,28,FALSE())+VLOOKUP(D2,'Participation 10 FEMALES'!$D$2:$AD$37,27,FALSE()),"CHECK ID"))</f>
        <v>216</v>
      </c>
    </row>
    <row r="3" spans="1:5" ht="21" customHeight="1" x14ac:dyDescent="0.35">
      <c r="A3" s="11">
        <v>2</v>
      </c>
      <c r="B3" s="11" t="s">
        <v>161</v>
      </c>
      <c r="C3" s="11" t="s">
        <v>162</v>
      </c>
      <c r="D3" s="12" t="s">
        <v>163</v>
      </c>
      <c r="E3" s="9">
        <f>IF(OR(COUNTIF('Attendance 10 FEMALES'!$D$2:$D$39,D3)=0,COUNTIF('Participation 10 FEMALES'!$D$2:$D$37,D3)=0),"CHECK ID",IFERROR(VLOOKUP(D3,'Attendance 10 FEMALES'!$D$2:$AE$39,28,FALSE())+VLOOKUP(D3,'Participation 10 FEMALES'!$D$2:$AD$37,27,FALSE()),"CHECK ID"))</f>
        <v>203</v>
      </c>
    </row>
    <row r="4" spans="1:5" ht="21" customHeight="1" x14ac:dyDescent="0.35">
      <c r="A4" s="6">
        <v>3</v>
      </c>
      <c r="B4" s="6" t="s">
        <v>164</v>
      </c>
      <c r="C4" s="6" t="s">
        <v>165</v>
      </c>
      <c r="D4" s="7" t="s">
        <v>166</v>
      </c>
      <c r="E4" s="9">
        <f>IF(OR(COUNTIF('Attendance 10 FEMALES'!$D$2:$D$39,D4)=0,COUNTIF('Participation 10 FEMALES'!$D$2:$D$37,D4)=0),"CHECK ID",IFERROR(VLOOKUP(D4,'Attendance 10 FEMALES'!$D$2:$AE$39,28,FALSE())+VLOOKUP(D4,'Participation 10 FEMALES'!$D$2:$AD$37,27,FALSE()),"CHECK ID"))</f>
        <v>220</v>
      </c>
    </row>
    <row r="5" spans="1:5" ht="21" customHeight="1" x14ac:dyDescent="0.35">
      <c r="A5" s="11">
        <v>4</v>
      </c>
      <c r="B5" s="11" t="s">
        <v>167</v>
      </c>
      <c r="C5" s="11" t="s">
        <v>168</v>
      </c>
      <c r="D5" s="12" t="s">
        <v>169</v>
      </c>
      <c r="E5" s="9">
        <f>IF(OR(COUNTIF('Attendance 10 FEMALES'!$D$2:$D$39,D5)=0,COUNTIF('Participation 10 FEMALES'!$D$2:$D$37,D5)=0),"CHECK ID",IFERROR(VLOOKUP(D5,'Attendance 10 FEMALES'!$D$2:$AE$39,28,FALSE())+VLOOKUP(D5,'Participation 10 FEMALES'!$D$2:$AD$37,27,FALSE()),"CHECK ID"))</f>
        <v>224</v>
      </c>
    </row>
    <row r="6" spans="1:5" ht="21" customHeight="1" x14ac:dyDescent="0.35">
      <c r="A6" s="6">
        <v>5</v>
      </c>
      <c r="B6" s="6" t="s">
        <v>170</v>
      </c>
      <c r="C6" s="6" t="s">
        <v>171</v>
      </c>
      <c r="D6" s="7" t="s">
        <v>172</v>
      </c>
      <c r="E6" s="9">
        <f>IF(OR(COUNTIF('Attendance 10 FEMALES'!$D$2:$D$39,D6)=0,COUNTIF('Participation 10 FEMALES'!$D$2:$D$37,D6)=0),"CHECK ID",IFERROR(VLOOKUP(D6,'Attendance 10 FEMALES'!$D$2:$AE$39,28,FALSE())+VLOOKUP(D6,'Participation 10 FEMALES'!$D$2:$AD$37,27,FALSE()),"CHECK ID"))</f>
        <v>186</v>
      </c>
    </row>
    <row r="7" spans="1:5" ht="21" customHeight="1" x14ac:dyDescent="0.35">
      <c r="A7" s="11">
        <v>6</v>
      </c>
      <c r="B7" s="11" t="s">
        <v>173</v>
      </c>
      <c r="C7" s="11" t="s">
        <v>174</v>
      </c>
      <c r="D7" s="12" t="s">
        <v>175</v>
      </c>
      <c r="E7" s="9">
        <f>IF(OR(COUNTIF('Attendance 10 FEMALES'!$D$2:$D$39,D7)=0,COUNTIF('Participation 10 FEMALES'!$D$2:$D$37,D7)=0),"CHECK ID",IFERROR(VLOOKUP(D7,'Attendance 10 FEMALES'!$D$2:$AE$39,28,FALSE())+VLOOKUP(D7,'Participation 10 FEMALES'!$D$2:$AD$37,27,FALSE()),"CHECK ID"))</f>
        <v>207</v>
      </c>
    </row>
    <row r="8" spans="1:5" ht="21" customHeight="1" x14ac:dyDescent="0.35">
      <c r="A8" s="6">
        <v>7</v>
      </c>
      <c r="B8" s="6" t="s">
        <v>176</v>
      </c>
      <c r="C8" s="6" t="s">
        <v>177</v>
      </c>
      <c r="D8" s="7" t="s">
        <v>178</v>
      </c>
      <c r="E8" s="9">
        <f>IF(OR(COUNTIF('Attendance 10 FEMALES'!$D$2:$D$39,D8)=0,COUNTIF('Participation 10 FEMALES'!$D$2:$D$37,D8)=0),"CHECK ID",IFERROR(VLOOKUP(D8,'Attendance 10 FEMALES'!$D$2:$AE$39,28,FALSE())+VLOOKUP(D8,'Participation 10 FEMALES'!$D$2:$AD$37,27,FALSE()),"CHECK ID"))</f>
        <v>188</v>
      </c>
    </row>
    <row r="9" spans="1:5" ht="21" customHeight="1" x14ac:dyDescent="0.35">
      <c r="A9" s="11">
        <v>8</v>
      </c>
      <c r="B9" s="11" t="s">
        <v>179</v>
      </c>
      <c r="C9" s="11" t="s">
        <v>180</v>
      </c>
      <c r="D9" s="12" t="s">
        <v>181</v>
      </c>
      <c r="E9" s="9">
        <f>IF(OR(COUNTIF('Attendance 10 FEMALES'!$D$2:$D$39,D9)=0,COUNTIF('Participation 10 FEMALES'!$D$2:$D$37,D9)=0),"CHECK ID",IFERROR(VLOOKUP(D9,'Attendance 10 FEMALES'!$D$2:$AE$39,28,FALSE())+VLOOKUP(D9,'Participation 10 FEMALES'!$D$2:$AD$37,27,FALSE()),"CHECK ID"))</f>
        <v>213</v>
      </c>
    </row>
    <row r="10" spans="1:5" ht="21" customHeight="1" x14ac:dyDescent="0.35">
      <c r="A10" s="6">
        <v>9</v>
      </c>
      <c r="B10" s="6" t="s">
        <v>183</v>
      </c>
      <c r="C10" s="6" t="s">
        <v>184</v>
      </c>
      <c r="D10" s="7" t="s">
        <v>185</v>
      </c>
      <c r="E10" s="9">
        <f>IF(OR(COUNTIF('Attendance 10 FEMALES'!$D$2:$D$39,D10)=0,COUNTIF('Participation 10 FEMALES'!$D$2:$D$37,D10)=0),"CHECK ID",IFERROR(VLOOKUP(D10,'Attendance 10 FEMALES'!$D$2:$AE$39,28,FALSE())+VLOOKUP(D10,'Participation 10 FEMALES'!$D$2:$AD$37,27,FALSE()),"CHECK ID"))</f>
        <v>176</v>
      </c>
    </row>
    <row r="11" spans="1:5" ht="21" customHeight="1" x14ac:dyDescent="0.35">
      <c r="A11" s="11">
        <v>10</v>
      </c>
      <c r="B11" s="11" t="s">
        <v>186</v>
      </c>
      <c r="C11" s="11" t="s">
        <v>187</v>
      </c>
      <c r="D11" s="12" t="s">
        <v>188</v>
      </c>
      <c r="E11" s="9">
        <f>IF(OR(COUNTIF('Attendance 10 FEMALES'!$D$2:$D$39,D11)=0,COUNTIF('Participation 10 FEMALES'!$D$2:$D$37,D11)=0),"CHECK ID",IFERROR(VLOOKUP(D11,'Attendance 10 FEMALES'!$D$2:$AE$39,28,FALSE())+VLOOKUP(D11,'Participation 10 FEMALES'!$D$2:$AD$37,27,FALSE()),"CHECK ID"))</f>
        <v>180</v>
      </c>
    </row>
    <row r="12" spans="1:5" ht="21" customHeight="1" x14ac:dyDescent="0.35">
      <c r="A12" s="6">
        <v>11</v>
      </c>
      <c r="B12" s="6" t="s">
        <v>189</v>
      </c>
      <c r="C12" s="6" t="s">
        <v>190</v>
      </c>
      <c r="D12" s="7" t="s">
        <v>191</v>
      </c>
      <c r="E12" s="9">
        <f>IF(OR(COUNTIF('Attendance 10 FEMALES'!$D$2:$D$39,D12)=0,COUNTIF('Participation 10 FEMALES'!$D$2:$D$37,D12)=0),"CHECK ID",IFERROR(VLOOKUP(D12,'Attendance 10 FEMALES'!$D$2:$AE$39,28,FALSE())+VLOOKUP(D12,'Participation 10 FEMALES'!$D$2:$AD$37,27,FALSE()),"CHECK ID"))</f>
        <v>222</v>
      </c>
    </row>
    <row r="13" spans="1:5" ht="21" customHeight="1" x14ac:dyDescent="0.35">
      <c r="A13" s="11">
        <v>12</v>
      </c>
      <c r="B13" s="11" t="s">
        <v>192</v>
      </c>
      <c r="C13" s="11" t="s">
        <v>193</v>
      </c>
      <c r="D13" s="12" t="s">
        <v>194</v>
      </c>
      <c r="E13" s="9">
        <f>IF(OR(COUNTIF('Attendance 10 FEMALES'!$D$2:$D$39,D13)=0,COUNTIF('Participation 10 FEMALES'!$D$2:$D$37,D13)=0),"CHECK ID",IFERROR(VLOOKUP(D13,'Attendance 10 FEMALES'!$D$2:$AE$39,28,FALSE())+VLOOKUP(D13,'Participation 10 FEMALES'!$D$2:$AD$37,27,FALSE()),"CHECK ID"))</f>
        <v>197</v>
      </c>
    </row>
    <row r="14" spans="1:5" ht="21" customHeight="1" x14ac:dyDescent="0.35">
      <c r="A14" s="6">
        <v>13</v>
      </c>
      <c r="B14" s="6" t="s">
        <v>195</v>
      </c>
      <c r="C14" s="6" t="s">
        <v>196</v>
      </c>
      <c r="D14" s="7" t="s">
        <v>197</v>
      </c>
      <c r="E14" s="9">
        <f>IF(OR(COUNTIF('Attendance 10 FEMALES'!$D$2:$D$39,D14)=0,COUNTIF('Participation 10 FEMALES'!$D$2:$D$37,D14)=0),"CHECK ID",IFERROR(VLOOKUP(D14,'Attendance 10 FEMALES'!$D$2:$AE$39,28,FALSE())+VLOOKUP(D14,'Participation 10 FEMALES'!$D$2:$AD$37,27,FALSE()),"CHECK ID"))</f>
        <v>161</v>
      </c>
    </row>
    <row r="15" spans="1:5" ht="21" customHeight="1" x14ac:dyDescent="0.35">
      <c r="A15" s="11">
        <v>14</v>
      </c>
      <c r="B15" s="11" t="s">
        <v>198</v>
      </c>
      <c r="C15" s="11" t="s">
        <v>199</v>
      </c>
      <c r="D15" s="12" t="s">
        <v>200</v>
      </c>
      <c r="E15" s="9">
        <f>IF(OR(COUNTIF('Attendance 10 FEMALES'!$D$2:$D$39,D15)=0,COUNTIF('Participation 10 FEMALES'!$D$2:$D$37,D15)=0),"CHECK ID",IFERROR(VLOOKUP(D15,'Attendance 10 FEMALES'!$D$2:$AE$39,28,FALSE())+VLOOKUP(D15,'Participation 10 FEMALES'!$D$2:$AD$37,27,FALSE()),"CHECK ID"))</f>
        <v>182</v>
      </c>
    </row>
    <row r="16" spans="1:5" ht="21" customHeight="1" x14ac:dyDescent="0.35">
      <c r="A16" s="6">
        <v>15</v>
      </c>
      <c r="B16" s="6" t="s">
        <v>201</v>
      </c>
      <c r="C16" s="6" t="s">
        <v>202</v>
      </c>
      <c r="D16" s="7" t="s">
        <v>203</v>
      </c>
      <c r="E16" s="9">
        <f>IF(OR(COUNTIF('Attendance 10 FEMALES'!$D$2:$D$39,D16)=0,COUNTIF('Participation 10 FEMALES'!$D$2:$D$37,D16)=0),"CHECK ID",IFERROR(VLOOKUP(D16,'Attendance 10 FEMALES'!$D$2:$AE$39,28,FALSE())+VLOOKUP(D16,'Participation 10 FEMALES'!$D$2:$AD$37,27,FALSE()),"CHECK ID"))</f>
        <v>184</v>
      </c>
    </row>
    <row r="17" spans="1:5" ht="21" customHeight="1" x14ac:dyDescent="0.35">
      <c r="A17" s="11">
        <v>16</v>
      </c>
      <c r="B17" s="11" t="s">
        <v>204</v>
      </c>
      <c r="C17" s="11" t="s">
        <v>205</v>
      </c>
      <c r="D17" s="12" t="s">
        <v>206</v>
      </c>
      <c r="E17" s="9">
        <f>IF(OR(COUNTIF('Attendance 10 FEMALES'!$D$2:$D$39,D17)=0,COUNTIF('Participation 10 FEMALES'!$D$2:$D$37,D17)=0),"CHECK ID",IFERROR(VLOOKUP(D17,'Attendance 10 FEMALES'!$D$2:$AE$39,28,FALSE())+VLOOKUP(D17,'Participation 10 FEMALES'!$D$2:$AD$37,27,FALSE()),"CHECK ID"))</f>
        <v>201</v>
      </c>
    </row>
    <row r="18" spans="1:5" ht="21" customHeight="1" x14ac:dyDescent="0.35">
      <c r="A18" s="6">
        <v>17</v>
      </c>
      <c r="B18" s="6" t="s">
        <v>207</v>
      </c>
      <c r="C18" s="6" t="s">
        <v>208</v>
      </c>
      <c r="D18" s="7" t="s">
        <v>209</v>
      </c>
      <c r="E18" s="9">
        <f>IF(OR(COUNTIF('Attendance 10 FEMALES'!$D$2:$D$39,D18)=0,COUNTIF('Participation 10 FEMALES'!$D$2:$D$37,D18)=0),"CHECK ID",IFERROR(VLOOKUP(D18,'Attendance 10 FEMALES'!$D$2:$AE$39,28,FALSE())+VLOOKUP(D18,'Participation 10 FEMALES'!$D$2:$AD$37,27,FALSE()),"CHECK ID"))</f>
        <v>184</v>
      </c>
    </row>
    <row r="19" spans="1:5" ht="21" customHeight="1" x14ac:dyDescent="0.35">
      <c r="A19" s="11">
        <v>18</v>
      </c>
      <c r="B19" s="11" t="s">
        <v>210</v>
      </c>
      <c r="C19" s="11" t="s">
        <v>211</v>
      </c>
      <c r="D19" s="12" t="s">
        <v>212</v>
      </c>
      <c r="E19" s="9">
        <f>IF(OR(COUNTIF('Attendance 10 FEMALES'!$D$2:$D$39,D19)=0,COUNTIF('Participation 10 FEMALES'!$D$2:$D$37,D19)=0),"CHECK ID",IFERROR(VLOOKUP(D19,'Attendance 10 FEMALES'!$D$2:$AE$39,28,FALSE())+VLOOKUP(D19,'Participation 10 FEMALES'!$D$2:$AD$37,27,FALSE()),"CHECK ID"))</f>
        <v>217</v>
      </c>
    </row>
    <row r="20" spans="1:5" ht="21" customHeight="1" x14ac:dyDescent="0.35">
      <c r="A20" s="6">
        <v>19</v>
      </c>
      <c r="B20" s="6" t="s">
        <v>213</v>
      </c>
      <c r="C20" s="6" t="s">
        <v>214</v>
      </c>
      <c r="D20" s="7" t="s">
        <v>215</v>
      </c>
      <c r="E20" s="9">
        <f>IF(OR(COUNTIF('Attendance 10 FEMALES'!$D$2:$D$39,D20)=0,COUNTIF('Participation 10 FEMALES'!$D$2:$D$37,D20)=0),"CHECK ID",IFERROR(VLOOKUP(D20,'Attendance 10 FEMALES'!$D$2:$AE$39,28,FALSE())+VLOOKUP(D20,'Participation 10 FEMALES'!$D$2:$AD$37,27,FALSE()),"CHECK ID"))</f>
        <v>133</v>
      </c>
    </row>
    <row r="21" spans="1:5" ht="21" customHeight="1" x14ac:dyDescent="0.35">
      <c r="A21" s="11">
        <v>20</v>
      </c>
      <c r="B21" s="11" t="s">
        <v>216</v>
      </c>
      <c r="C21" s="11" t="s">
        <v>217</v>
      </c>
      <c r="D21" s="12" t="s">
        <v>218</v>
      </c>
      <c r="E21" s="9">
        <f>IF(OR(COUNTIF('Attendance 10 FEMALES'!$D$2:$D$39,D21)=0,COUNTIF('Participation 10 FEMALES'!$D$2:$D$37,D21)=0),"CHECK ID",IFERROR(VLOOKUP(D21,'Attendance 10 FEMALES'!$D$2:$AE$39,28,FALSE())+VLOOKUP(D21,'Participation 10 FEMALES'!$D$2:$AD$37,27,FALSE()),"CHECK ID"))</f>
        <v>146</v>
      </c>
    </row>
    <row r="22" spans="1:5" ht="21" customHeight="1" x14ac:dyDescent="0.35">
      <c r="A22" s="6">
        <v>21</v>
      </c>
      <c r="B22" s="6" t="s">
        <v>219</v>
      </c>
      <c r="C22" s="6" t="s">
        <v>220</v>
      </c>
      <c r="D22" s="7" t="s">
        <v>221</v>
      </c>
      <c r="E22" s="9">
        <f>IF(OR(COUNTIF('Attendance 10 FEMALES'!$D$2:$D$39,D22)=0,COUNTIF('Participation 10 FEMALES'!$D$2:$D$37,D22)=0),"CHECK ID",IFERROR(VLOOKUP(D22,'Attendance 10 FEMALES'!$D$2:$AE$39,28,FALSE())+VLOOKUP(D22,'Participation 10 FEMALES'!$D$2:$AD$37,27,FALSE()),"CHECK ID"))</f>
        <v>184</v>
      </c>
    </row>
    <row r="23" spans="1:5" ht="21" customHeight="1" x14ac:dyDescent="0.35">
      <c r="A23" s="11">
        <v>22</v>
      </c>
      <c r="B23" s="11" t="s">
        <v>222</v>
      </c>
      <c r="C23" s="11" t="s">
        <v>223</v>
      </c>
      <c r="D23" s="12" t="s">
        <v>224</v>
      </c>
      <c r="E23" s="9">
        <f>IF(OR(COUNTIF('Attendance 10 FEMALES'!$D$2:$D$39,D23)=0,COUNTIF('Participation 10 FEMALES'!$D$2:$D$37,D23)=0),"CHECK ID",IFERROR(VLOOKUP(D23,'Attendance 10 FEMALES'!$D$2:$AE$39,28,FALSE())+VLOOKUP(D23,'Participation 10 FEMALES'!$D$2:$AD$37,27,FALSE()),"CHECK ID"))</f>
        <v>49</v>
      </c>
    </row>
    <row r="24" spans="1:5" ht="21" customHeight="1" x14ac:dyDescent="0.35">
      <c r="A24" s="6">
        <v>23</v>
      </c>
      <c r="B24" s="6" t="s">
        <v>225</v>
      </c>
      <c r="C24" s="6" t="s">
        <v>226</v>
      </c>
      <c r="D24" s="7" t="s">
        <v>227</v>
      </c>
      <c r="E24" s="9">
        <f>IF(OR(COUNTIF('Attendance 10 FEMALES'!$D$2:$D$39,D24)=0,COUNTIF('Participation 10 FEMALES'!$D$2:$D$37,D24)=0),"CHECK ID",IFERROR(VLOOKUP(D24,'Attendance 10 FEMALES'!$D$2:$AE$39,28,FALSE())+VLOOKUP(D24,'Participation 10 FEMALES'!$D$2:$AD$37,27,FALSE()),"CHECK ID"))</f>
        <v>161</v>
      </c>
    </row>
    <row r="25" spans="1:5" ht="21" customHeight="1" x14ac:dyDescent="0.35">
      <c r="A25" s="11">
        <v>24</v>
      </c>
      <c r="B25" s="11" t="s">
        <v>228</v>
      </c>
      <c r="C25" s="11" t="s">
        <v>229</v>
      </c>
      <c r="D25" s="12" t="s">
        <v>230</v>
      </c>
      <c r="E25" s="9">
        <f>IF(OR(COUNTIF('Attendance 10 FEMALES'!$D$2:$D$39,D25)=0,COUNTIF('Participation 10 FEMALES'!$D$2:$D$37,D25)=0),"CHECK ID",IFERROR(VLOOKUP(D25,'Attendance 10 FEMALES'!$D$2:$AE$39,28,FALSE())+VLOOKUP(D25,'Participation 10 FEMALES'!$D$2:$AD$37,27,FALSE()),"CHECK ID"))</f>
        <v>218</v>
      </c>
    </row>
    <row r="26" spans="1:5" ht="21" customHeight="1" x14ac:dyDescent="0.35">
      <c r="A26" s="6">
        <v>25</v>
      </c>
      <c r="B26" s="6" t="s">
        <v>231</v>
      </c>
      <c r="C26" s="6" t="s">
        <v>232</v>
      </c>
      <c r="D26" s="7" t="s">
        <v>233</v>
      </c>
      <c r="E26" s="9">
        <f>IF(OR(COUNTIF('Attendance 10 FEMALES'!$D$2:$D$39,D26)=0,COUNTIF('Participation 10 FEMALES'!$D$2:$D$37,D26)=0),"CHECK ID",IFERROR(VLOOKUP(D26,'Attendance 10 FEMALES'!$D$2:$AE$39,28,FALSE())+VLOOKUP(D26,'Participation 10 FEMALES'!$D$2:$AD$37,27,FALSE()),"CHECK ID"))</f>
        <v>213</v>
      </c>
    </row>
    <row r="27" spans="1:5" ht="21" customHeight="1" x14ac:dyDescent="0.35">
      <c r="A27" s="11">
        <v>26</v>
      </c>
      <c r="B27" s="11" t="s">
        <v>234</v>
      </c>
      <c r="C27" s="11" t="s">
        <v>235</v>
      </c>
      <c r="D27" s="12" t="s">
        <v>236</v>
      </c>
      <c r="E27" s="9">
        <f>IF(OR(COUNTIF('Attendance 10 FEMALES'!$D$2:$D$39,D27)=0,COUNTIF('Participation 10 FEMALES'!$D$2:$D$37,D27)=0),"CHECK ID",IFERROR(VLOOKUP(D27,'Attendance 10 FEMALES'!$D$2:$AE$39,28,FALSE())+VLOOKUP(D27,'Participation 10 FEMALES'!$D$2:$AD$37,27,FALSE()),"CHECK ID"))</f>
        <v>197</v>
      </c>
    </row>
    <row r="28" spans="1:5" ht="21" customHeight="1" x14ac:dyDescent="0.35">
      <c r="A28" s="6">
        <v>27</v>
      </c>
      <c r="B28" s="6" t="s">
        <v>237</v>
      </c>
      <c r="C28" s="6" t="s">
        <v>238</v>
      </c>
      <c r="D28" s="7" t="s">
        <v>239</v>
      </c>
      <c r="E28" s="9">
        <f>IF(OR(COUNTIF('Attendance 10 FEMALES'!$D$2:$D$39,D28)=0,COUNTIF('Participation 10 FEMALES'!$D$2:$D$37,D28)=0),"CHECK ID",IFERROR(VLOOKUP(D28,'Attendance 10 FEMALES'!$D$2:$AE$39,28,FALSE())+VLOOKUP(D28,'Participation 10 FEMALES'!$D$2:$AD$37,27,FALSE()),"CHECK ID"))</f>
        <v>120</v>
      </c>
    </row>
    <row r="29" spans="1:5" ht="21" customHeight="1" x14ac:dyDescent="0.35">
      <c r="A29" s="11">
        <v>28</v>
      </c>
      <c r="B29" s="11" t="s">
        <v>240</v>
      </c>
      <c r="C29" s="11" t="s">
        <v>241</v>
      </c>
      <c r="D29" s="12" t="s">
        <v>242</v>
      </c>
      <c r="E29" s="9">
        <f>IF(OR(COUNTIF('Attendance 10 FEMALES'!$D$2:$D$39,D29)=0,COUNTIF('Participation 10 FEMALES'!$D$2:$D$37,D29)=0),"CHECK ID",IFERROR(VLOOKUP(D29,'Attendance 10 FEMALES'!$D$2:$AE$39,28,FALSE())+VLOOKUP(D29,'Participation 10 FEMALES'!$D$2:$AD$37,27,FALSE()),"CHECK ID"))</f>
        <v>176</v>
      </c>
    </row>
    <row r="30" spans="1:5" ht="21" customHeight="1" x14ac:dyDescent="0.35">
      <c r="A30" s="6">
        <v>29</v>
      </c>
      <c r="B30" s="6" t="s">
        <v>243</v>
      </c>
      <c r="C30" s="6" t="s">
        <v>244</v>
      </c>
      <c r="D30" s="7" t="s">
        <v>245</v>
      </c>
      <c r="E30" s="9">
        <f>IF(OR(COUNTIF('Attendance 10 FEMALES'!$D$2:$D$39,D30)=0,COUNTIF('Participation 10 FEMALES'!$D$2:$D$37,D30)=0),"CHECK ID",IFERROR(VLOOKUP(D30,'Attendance 10 FEMALES'!$D$2:$AE$39,28,FALSE())+VLOOKUP(D30,'Participation 10 FEMALES'!$D$2:$AD$37,27,FALSE()),"CHECK ID"))</f>
        <v>142</v>
      </c>
    </row>
    <row r="31" spans="1:5" ht="21" customHeight="1" x14ac:dyDescent="0.35">
      <c r="A31" s="11">
        <v>30</v>
      </c>
      <c r="B31" s="11" t="s">
        <v>246</v>
      </c>
      <c r="C31" s="11" t="s">
        <v>247</v>
      </c>
      <c r="D31" s="12" t="s">
        <v>248</v>
      </c>
      <c r="E31" s="9">
        <f>IF(OR(COUNTIF('Attendance 10 FEMALES'!$D$2:$D$39,D31)=0,COUNTIF('Participation 10 FEMALES'!$D$2:$D$37,D31)=0),"CHECK ID",IFERROR(VLOOKUP(D31,'Attendance 10 FEMALES'!$D$2:$AE$39,28,FALSE())+VLOOKUP(D31,'Participation 10 FEMALES'!$D$2:$AD$37,27,FALSE()),"CHECK ID"))</f>
        <v>179</v>
      </c>
    </row>
    <row r="32" spans="1:5" ht="21" customHeight="1" x14ac:dyDescent="0.35">
      <c r="A32" s="6">
        <v>31</v>
      </c>
      <c r="B32" s="6" t="s">
        <v>249</v>
      </c>
      <c r="C32" s="6" t="s">
        <v>250</v>
      </c>
      <c r="D32" s="7" t="s">
        <v>251</v>
      </c>
      <c r="E32" s="9">
        <f>IF(OR(COUNTIF('Attendance 10 FEMALES'!$D$2:$D$39,D32)=0,COUNTIF('Participation 10 FEMALES'!$D$2:$D$37,D32)=0),"CHECK ID",IFERROR(VLOOKUP(D32,'Attendance 10 FEMALES'!$D$2:$AE$39,28,FALSE())+VLOOKUP(D32,'Participation 10 FEMALES'!$D$2:$AD$37,27,FALSE()),"CHECK ID"))</f>
        <v>163</v>
      </c>
    </row>
    <row r="33" spans="1:5" ht="21" customHeight="1" x14ac:dyDescent="0.35">
      <c r="A33" s="11">
        <v>32</v>
      </c>
      <c r="B33" s="11" t="s">
        <v>252</v>
      </c>
      <c r="C33" s="11" t="s">
        <v>253</v>
      </c>
      <c r="D33" s="12" t="s">
        <v>254</v>
      </c>
      <c r="E33" s="9">
        <f>IF(OR(COUNTIF('Attendance 10 FEMALES'!$D$2:$D$39,D33)=0,COUNTIF('Participation 10 FEMALES'!$D$2:$D$37,D33)=0),"CHECK ID",IFERROR(VLOOKUP(D33,'Attendance 10 FEMALES'!$D$2:$AE$39,28,FALSE())+VLOOKUP(D33,'Participation 10 FEMALES'!$D$2:$AD$37,27,FALSE()),"CHECK ID"))</f>
        <v>214</v>
      </c>
    </row>
    <row r="34" spans="1:5" ht="21" customHeight="1" x14ac:dyDescent="0.35">
      <c r="A34" s="6">
        <v>33</v>
      </c>
      <c r="B34" s="6" t="s">
        <v>255</v>
      </c>
      <c r="C34" s="6" t="s">
        <v>256</v>
      </c>
      <c r="D34" s="7" t="s">
        <v>257</v>
      </c>
      <c r="E34" s="9">
        <f>IF(OR(COUNTIF('Attendance 10 FEMALES'!$D$2:$D$39,D34)=0,COUNTIF('Participation 10 FEMALES'!$D$2:$D$37,D34)=0),"CHECK ID",IFERROR(VLOOKUP(D34,'Attendance 10 FEMALES'!$D$2:$AE$39,28,FALSE())+VLOOKUP(D34,'Participation 10 FEMALES'!$D$2:$AD$37,27,FALSE()),"CHECK ID"))</f>
        <v>142</v>
      </c>
    </row>
    <row r="35" spans="1:5" ht="21" customHeight="1" x14ac:dyDescent="0.35">
      <c r="A35" s="11">
        <v>34</v>
      </c>
      <c r="B35" s="11" t="s">
        <v>258</v>
      </c>
      <c r="C35" s="11" t="s">
        <v>259</v>
      </c>
      <c r="D35" s="12" t="s">
        <v>260</v>
      </c>
      <c r="E35" s="9">
        <f>IF(OR(COUNTIF('Attendance 10 FEMALES'!$D$2:$D$39,D35)=0,COUNTIF('Participation 10 FEMALES'!$D$2:$D$37,D35)=0),"CHECK ID",IFERROR(VLOOKUP(D35,'Attendance 10 FEMALES'!$D$2:$AE$39,28,FALSE())+VLOOKUP(D35,'Participation 10 FEMALES'!$D$2:$AD$37,27,FALSE()),"CHECK ID"))</f>
        <v>108</v>
      </c>
    </row>
    <row r="36" spans="1:5" ht="21" customHeight="1" x14ac:dyDescent="0.35">
      <c r="A36" s="6">
        <v>35</v>
      </c>
      <c r="B36" s="6" t="s">
        <v>261</v>
      </c>
      <c r="C36" s="6" t="s">
        <v>262</v>
      </c>
      <c r="D36" s="7" t="s">
        <v>263</v>
      </c>
      <c r="E36" s="9">
        <f>IF(OR(COUNTIF('Attendance 10 FEMALES'!$D$2:$D$39,D36)=0,COUNTIF('Participation 10 FEMALES'!$D$2:$D$37,D36)=0),"CHECK ID",IFERROR(VLOOKUP(D36,'Attendance 10 FEMALES'!$D$2:$AE$39,28,FALSE())+VLOOKUP(D36,'Participation 10 FEMALES'!$D$2:$AD$37,27,FALSE()),"CHECK ID"))</f>
        <v>217</v>
      </c>
    </row>
  </sheetData>
  <autoFilter ref="A1:E36" xr:uid="{00000000-0009-0000-0000-000002000000}"/>
  <conditionalFormatting sqref="B1:E1">
    <cfRule type="cellIs" dxfId="74" priority="2" operator="equal">
      <formula>"Present"</formula>
    </cfRule>
    <cfRule type="cellIs" dxfId="73" priority="3" operator="equal">
      <formula>"Absent"</formula>
    </cfRule>
  </conditionalFormatting>
  <dataValidations count="1">
    <dataValidation type="list" allowBlank="1" showInputMessage="1" showErrorMessage="1" sqref="B1:D1" xr:uid="{00000000-0002-0000-0200-000000000000}">
      <formula1>$B$1:$AG$1</formula1>
      <formula2>0</formula2>
    </dataValidation>
  </dataValidations>
  <pageMargins left="0.25" right="0.25" top="0.5" bottom="0.5" header="0.511811023622047" footer="0.511811023622047"/>
  <pageSetup fitToHeight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  <pageSetUpPr fitToPage="1"/>
  </sheetPr>
  <dimension ref="A1:E40"/>
  <sheetViews>
    <sheetView showGridLines="0" zoomScale="95" zoomScaleNormal="95" workbookViewId="0">
      <pane xSplit="4" ySplit="1" topLeftCell="E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155</v>
      </c>
    </row>
    <row r="2" spans="1:5" ht="21" customHeight="1" x14ac:dyDescent="0.35">
      <c r="A2" s="6">
        <v>1</v>
      </c>
      <c r="B2" s="6" t="s">
        <v>278</v>
      </c>
      <c r="C2" s="6" t="s">
        <v>279</v>
      </c>
      <c r="D2" s="7" t="s">
        <v>280</v>
      </c>
      <c r="E2" s="9">
        <f>IF(OR(COUNTIF('Attendance 11 FEMALES'!$D$2:$D$41,D2)=0,COUNTIF('Participation 11 FEMALES'!$D$2:$D$40,D2)=0),"CHECK ID",IFERROR(VLOOKUP(D2,'Attendance 11 FEMALES'!$D$2:$AE$41,28,FALSE())+VLOOKUP(D2,'Participation 11 FEMALES'!$D$2:$AD$40,27,FALSE()),"CHECK ID"))</f>
        <v>148</v>
      </c>
    </row>
    <row r="3" spans="1:5" ht="21" customHeight="1" x14ac:dyDescent="0.35">
      <c r="A3" s="11">
        <v>2</v>
      </c>
      <c r="B3" s="11" t="s">
        <v>281</v>
      </c>
      <c r="C3" s="11" t="s">
        <v>282</v>
      </c>
      <c r="D3" s="12" t="s">
        <v>283</v>
      </c>
      <c r="E3" s="9">
        <f>IF(OR(COUNTIF('Attendance 11 FEMALES'!$D$2:$D$41,D3)=0,COUNTIF('Participation 11 FEMALES'!$D$2:$D$40,D3)=0),"CHECK ID",IFERROR(VLOOKUP(D3,'Attendance 11 FEMALES'!$D$2:$AE$41,28,FALSE())+VLOOKUP(D3,'Participation 11 FEMALES'!$D$2:$AD$40,27,FALSE()),"CHECK ID"))</f>
        <v>220</v>
      </c>
    </row>
    <row r="4" spans="1:5" ht="21" customHeight="1" x14ac:dyDescent="0.35">
      <c r="A4" s="6">
        <v>3</v>
      </c>
      <c r="B4" s="6" t="s">
        <v>284</v>
      </c>
      <c r="C4" s="6" t="s">
        <v>285</v>
      </c>
      <c r="D4" s="7" t="s">
        <v>286</v>
      </c>
      <c r="E4" s="9">
        <f>IF(OR(COUNTIF('Attendance 11 FEMALES'!$D$2:$D$41,D4)=0,COUNTIF('Participation 11 FEMALES'!$D$2:$D$40,D4)=0),"CHECK ID",IFERROR(VLOOKUP(D4,'Attendance 11 FEMALES'!$D$2:$AE$41,28,FALSE())+VLOOKUP(D4,'Participation 11 FEMALES'!$D$2:$AD$40,27,FALSE()),"CHECK ID"))</f>
        <v>144</v>
      </c>
    </row>
    <row r="5" spans="1:5" ht="21" customHeight="1" x14ac:dyDescent="0.35">
      <c r="A5" s="11">
        <v>4</v>
      </c>
      <c r="B5" s="11" t="s">
        <v>287</v>
      </c>
      <c r="C5" s="11" t="s">
        <v>288</v>
      </c>
      <c r="D5" s="12" t="s">
        <v>289</v>
      </c>
      <c r="E5" s="9">
        <f>IF(OR(COUNTIF('Attendance 11 FEMALES'!$D$2:$D$41,D5)=0,COUNTIF('Participation 11 FEMALES'!$D$2:$D$40,D5)=0),"CHECK ID",IFERROR(VLOOKUP(D5,'Attendance 11 FEMALES'!$D$2:$AE$41,28,FALSE())+VLOOKUP(D5,'Participation 11 FEMALES'!$D$2:$AD$40,27,FALSE()),"CHECK ID"))</f>
        <v>175</v>
      </c>
    </row>
    <row r="6" spans="1:5" ht="21" customHeight="1" x14ac:dyDescent="0.35">
      <c r="A6" s="6">
        <v>5</v>
      </c>
      <c r="B6" s="6" t="s">
        <v>290</v>
      </c>
      <c r="C6" s="6" t="s">
        <v>291</v>
      </c>
      <c r="D6" s="7" t="s">
        <v>292</v>
      </c>
      <c r="E6" s="9">
        <f>IF(OR(COUNTIF('Attendance 11 FEMALES'!$D$2:$D$41,D6)=0,COUNTIF('Participation 11 FEMALES'!$D$2:$D$40,D6)=0),"CHECK ID",IFERROR(VLOOKUP(D6,'Attendance 11 FEMALES'!$D$2:$AE$41,28,FALSE())+VLOOKUP(D6,'Participation 11 FEMALES'!$D$2:$AD$40,27,FALSE()),"CHECK ID"))</f>
        <v>143</v>
      </c>
    </row>
    <row r="7" spans="1:5" ht="21" customHeight="1" x14ac:dyDescent="0.35">
      <c r="A7" s="11">
        <v>6</v>
      </c>
      <c r="B7" s="11" t="s">
        <v>293</v>
      </c>
      <c r="C7" s="11" t="s">
        <v>294</v>
      </c>
      <c r="D7" s="12" t="s">
        <v>295</v>
      </c>
      <c r="E7" s="9">
        <f>IF(OR(COUNTIF('Attendance 11 FEMALES'!$D$2:$D$41,D7)=0,COUNTIF('Participation 11 FEMALES'!$D$2:$D$40,D7)=0),"CHECK ID",IFERROR(VLOOKUP(D7,'Attendance 11 FEMALES'!$D$2:$AE$41,28,FALSE())+VLOOKUP(D7,'Participation 11 FEMALES'!$D$2:$AD$40,27,FALSE()),"CHECK ID"))</f>
        <v>179</v>
      </c>
    </row>
    <row r="8" spans="1:5" ht="21" customHeight="1" x14ac:dyDescent="0.35">
      <c r="A8" s="6">
        <v>7</v>
      </c>
      <c r="B8" s="6" t="s">
        <v>296</v>
      </c>
      <c r="C8" s="6" t="s">
        <v>297</v>
      </c>
      <c r="D8" s="7" t="s">
        <v>298</v>
      </c>
      <c r="E8" s="9">
        <f>IF(OR(COUNTIF('Attendance 11 FEMALES'!$D$2:$D$41,D8)=0,COUNTIF('Participation 11 FEMALES'!$D$2:$D$40,D8)=0),"CHECK ID",IFERROR(VLOOKUP(D8,'Attendance 11 FEMALES'!$D$2:$AE$41,28,FALSE())+VLOOKUP(D8,'Participation 11 FEMALES'!$D$2:$AD$40,27,FALSE()),"CHECK ID"))</f>
        <v>204</v>
      </c>
    </row>
    <row r="9" spans="1:5" ht="21" customHeight="1" x14ac:dyDescent="0.35">
      <c r="A9" s="11">
        <v>8</v>
      </c>
      <c r="B9" s="11" t="s">
        <v>299</v>
      </c>
      <c r="C9" s="11" t="s">
        <v>300</v>
      </c>
      <c r="D9" s="12" t="s">
        <v>301</v>
      </c>
      <c r="E9" s="9">
        <f>IF(OR(COUNTIF('Attendance 11 FEMALES'!$D$2:$D$41,D9)=0,COUNTIF('Participation 11 FEMALES'!$D$2:$D$40,D9)=0),"CHECK ID",IFERROR(VLOOKUP(D9,'Attendance 11 FEMALES'!$D$2:$AE$41,28,FALSE())+VLOOKUP(D9,'Participation 11 FEMALES'!$D$2:$AD$40,27,FALSE()),"CHECK ID"))</f>
        <v>125</v>
      </c>
    </row>
    <row r="10" spans="1:5" ht="21" customHeight="1" x14ac:dyDescent="0.35">
      <c r="A10" s="6">
        <v>9</v>
      </c>
      <c r="B10" s="6" t="s">
        <v>302</v>
      </c>
      <c r="C10" s="6" t="s">
        <v>303</v>
      </c>
      <c r="D10" s="7" t="s">
        <v>304</v>
      </c>
      <c r="E10" s="9">
        <f>IF(OR(COUNTIF('Attendance 11 FEMALES'!$D$2:$D$41,D10)=0,COUNTIF('Participation 11 FEMALES'!$D$2:$D$40,D10)=0),"CHECK ID",IFERROR(VLOOKUP(D10,'Attendance 11 FEMALES'!$D$2:$AE$41,28,FALSE())+VLOOKUP(D10,'Participation 11 FEMALES'!$D$2:$AD$40,27,FALSE()),"CHECK ID"))</f>
        <v>176</v>
      </c>
    </row>
    <row r="11" spans="1:5" ht="21" customHeight="1" x14ac:dyDescent="0.35">
      <c r="A11" s="11">
        <v>10</v>
      </c>
      <c r="B11" s="11" t="s">
        <v>305</v>
      </c>
      <c r="C11" s="11" t="s">
        <v>306</v>
      </c>
      <c r="D11" s="12" t="s">
        <v>307</v>
      </c>
      <c r="E11" s="9">
        <f>IF(OR(COUNTIF('Attendance 11 FEMALES'!$D$2:$D$41,D11)=0,COUNTIF('Participation 11 FEMALES'!$D$2:$D$40,D11)=0),"CHECK ID",IFERROR(VLOOKUP(D11,'Attendance 11 FEMALES'!$D$2:$AE$41,28,FALSE())+VLOOKUP(D11,'Participation 11 FEMALES'!$D$2:$AD$40,27,FALSE()),"CHECK ID"))</f>
        <v>150</v>
      </c>
    </row>
    <row r="12" spans="1:5" ht="21" customHeight="1" x14ac:dyDescent="0.35">
      <c r="A12" s="6">
        <v>11</v>
      </c>
      <c r="B12" s="6" t="s">
        <v>308</v>
      </c>
      <c r="C12" s="6" t="s">
        <v>309</v>
      </c>
      <c r="D12" s="7" t="s">
        <v>310</v>
      </c>
      <c r="E12" s="9">
        <f>IF(OR(COUNTIF('Attendance 11 FEMALES'!$D$2:$D$41,D12)=0,COUNTIF('Participation 11 FEMALES'!$D$2:$D$40,D12)=0),"CHECK ID",IFERROR(VLOOKUP(D12,'Attendance 11 FEMALES'!$D$2:$AE$41,28,FALSE())+VLOOKUP(D12,'Participation 11 FEMALES'!$D$2:$AD$40,27,FALSE()),"CHECK ID"))</f>
        <v>66</v>
      </c>
    </row>
    <row r="13" spans="1:5" ht="21" customHeight="1" x14ac:dyDescent="0.35">
      <c r="A13" s="11">
        <v>12</v>
      </c>
      <c r="B13" s="11" t="s">
        <v>311</v>
      </c>
      <c r="C13" s="11" t="s">
        <v>312</v>
      </c>
      <c r="D13" s="12" t="s">
        <v>313</v>
      </c>
      <c r="E13" s="9">
        <f>IF(OR(COUNTIF('Attendance 11 FEMALES'!$D$2:$D$41,D13)=0,COUNTIF('Participation 11 FEMALES'!$D$2:$D$40,D13)=0),"CHECK ID",IFERROR(VLOOKUP(D13,'Attendance 11 FEMALES'!$D$2:$AE$41,28,FALSE())+VLOOKUP(D13,'Participation 11 FEMALES'!$D$2:$AD$40,27,FALSE()),"CHECK ID"))</f>
        <v>152</v>
      </c>
    </row>
    <row r="14" spans="1:5" ht="21" customHeight="1" x14ac:dyDescent="0.35">
      <c r="A14" s="6">
        <v>13</v>
      </c>
      <c r="B14" s="6" t="s">
        <v>314</v>
      </c>
      <c r="C14" s="6" t="s">
        <v>315</v>
      </c>
      <c r="D14" s="7" t="s">
        <v>316</v>
      </c>
      <c r="E14" s="9">
        <f>IF(OR(COUNTIF('Attendance 11 FEMALES'!$D$2:$D$41,D14)=0,COUNTIF('Participation 11 FEMALES'!$D$2:$D$40,D14)=0),"CHECK ID",IFERROR(VLOOKUP(D14,'Attendance 11 FEMALES'!$D$2:$AE$41,28,FALSE())+VLOOKUP(D14,'Participation 11 FEMALES'!$D$2:$AD$40,27,FALSE()),"CHECK ID"))</f>
        <v>100</v>
      </c>
    </row>
    <row r="15" spans="1:5" ht="21" customHeight="1" x14ac:dyDescent="0.35">
      <c r="A15" s="11">
        <v>14</v>
      </c>
      <c r="B15" s="11" t="s">
        <v>317</v>
      </c>
      <c r="C15" s="11" t="s">
        <v>318</v>
      </c>
      <c r="D15" s="12" t="s">
        <v>319</v>
      </c>
      <c r="E15" s="9">
        <f>IF(OR(COUNTIF('Attendance 11 FEMALES'!$D$2:$D$41,D15)=0,COUNTIF('Participation 11 FEMALES'!$D$2:$D$40,D15)=0),"CHECK ID",IFERROR(VLOOKUP(D15,'Attendance 11 FEMALES'!$D$2:$AE$41,28,FALSE())+VLOOKUP(D15,'Participation 11 FEMALES'!$D$2:$AD$40,27,FALSE()),"CHECK ID"))</f>
        <v>93</v>
      </c>
    </row>
    <row r="16" spans="1:5" ht="21" customHeight="1" x14ac:dyDescent="0.35">
      <c r="A16" s="6">
        <v>15</v>
      </c>
      <c r="B16" s="6" t="s">
        <v>320</v>
      </c>
      <c r="C16" s="6" t="s">
        <v>321</v>
      </c>
      <c r="D16" s="7" t="s">
        <v>322</v>
      </c>
      <c r="E16" s="9">
        <f>IF(OR(COUNTIF('Attendance 11 FEMALES'!$D$2:$D$41,D16)=0,COUNTIF('Participation 11 FEMALES'!$D$2:$D$40,D16)=0),"CHECK ID",IFERROR(VLOOKUP(D16,'Attendance 11 FEMALES'!$D$2:$AE$41,28,FALSE())+VLOOKUP(D16,'Participation 11 FEMALES'!$D$2:$AD$40,27,FALSE()),"CHECK ID"))</f>
        <v>160</v>
      </c>
    </row>
    <row r="17" spans="1:5" ht="21" customHeight="1" x14ac:dyDescent="0.35">
      <c r="A17" s="11">
        <v>16</v>
      </c>
      <c r="B17" s="11" t="s">
        <v>323</v>
      </c>
      <c r="C17" s="11" t="s">
        <v>324</v>
      </c>
      <c r="D17" s="12" t="s">
        <v>325</v>
      </c>
      <c r="E17" s="9">
        <f>IF(OR(COUNTIF('Attendance 11 FEMALES'!$D$2:$D$41,D17)=0,COUNTIF('Participation 11 FEMALES'!$D$2:$D$40,D17)=0),"CHECK ID",IFERROR(VLOOKUP(D17,'Attendance 11 FEMALES'!$D$2:$AE$41,28,FALSE())+VLOOKUP(D17,'Participation 11 FEMALES'!$D$2:$AD$40,27,FALSE()),"CHECK ID"))</f>
        <v>48</v>
      </c>
    </row>
    <row r="18" spans="1:5" ht="21" customHeight="1" x14ac:dyDescent="0.35">
      <c r="A18" s="6">
        <v>17</v>
      </c>
      <c r="B18" s="6" t="s">
        <v>326</v>
      </c>
      <c r="C18" s="6" t="s">
        <v>327</v>
      </c>
      <c r="D18" s="7" t="s">
        <v>328</v>
      </c>
      <c r="E18" s="9">
        <f>IF(OR(COUNTIF('Attendance 11 FEMALES'!$D$2:$D$41,D18)=0,COUNTIF('Participation 11 FEMALES'!$D$2:$D$40,D18)=0),"CHECK ID",IFERROR(VLOOKUP(D18,'Attendance 11 FEMALES'!$D$2:$AE$41,28,FALSE())+VLOOKUP(D18,'Participation 11 FEMALES'!$D$2:$AD$40,27,FALSE()),"CHECK ID"))</f>
        <v>176</v>
      </c>
    </row>
    <row r="19" spans="1:5" ht="21" customHeight="1" x14ac:dyDescent="0.35">
      <c r="A19" s="11">
        <v>18</v>
      </c>
      <c r="B19" s="11" t="s">
        <v>329</v>
      </c>
      <c r="C19" s="11" t="s">
        <v>330</v>
      </c>
      <c r="D19" s="12" t="s">
        <v>331</v>
      </c>
      <c r="E19" s="9">
        <f>IF(OR(COUNTIF('Attendance 11 FEMALES'!$D$2:$D$41,D19)=0,COUNTIF('Participation 11 FEMALES'!$D$2:$D$40,D19)=0),"CHECK ID",IFERROR(VLOOKUP(D19,'Attendance 11 FEMALES'!$D$2:$AE$41,28,FALSE())+VLOOKUP(D19,'Participation 11 FEMALES'!$D$2:$AD$40,27,FALSE()),"CHECK ID"))</f>
        <v>100</v>
      </c>
    </row>
    <row r="20" spans="1:5" ht="21" customHeight="1" x14ac:dyDescent="0.35">
      <c r="A20" s="6">
        <v>19</v>
      </c>
      <c r="B20" s="6" t="s">
        <v>332</v>
      </c>
      <c r="C20" s="6" t="s">
        <v>333</v>
      </c>
      <c r="D20" s="7" t="s">
        <v>334</v>
      </c>
      <c r="E20" s="9">
        <f>IF(OR(COUNTIF('Attendance 11 FEMALES'!$D$2:$D$41,D20)=0,COUNTIF('Participation 11 FEMALES'!$D$2:$D$40,D20)=0),"CHECK ID",IFERROR(VLOOKUP(D20,'Attendance 11 FEMALES'!$D$2:$AE$41,28,FALSE())+VLOOKUP(D20,'Participation 11 FEMALES'!$D$2:$AD$40,27,FALSE()),"CHECK ID"))</f>
        <v>185</v>
      </c>
    </row>
    <row r="21" spans="1:5" ht="21" customHeight="1" x14ac:dyDescent="0.35">
      <c r="A21" s="11">
        <v>20</v>
      </c>
      <c r="B21" s="11" t="s">
        <v>335</v>
      </c>
      <c r="C21" s="11" t="s">
        <v>336</v>
      </c>
      <c r="D21" s="12" t="s">
        <v>337</v>
      </c>
      <c r="E21" s="9">
        <f>IF(OR(COUNTIF('Attendance 11 FEMALES'!$D$2:$D$41,D21)=0,COUNTIF('Participation 11 FEMALES'!$D$2:$D$40,D21)=0),"CHECK ID",IFERROR(VLOOKUP(D21,'Attendance 11 FEMALES'!$D$2:$AE$41,28,FALSE())+VLOOKUP(D21,'Participation 11 FEMALES'!$D$2:$AD$40,27,FALSE()),"CHECK ID"))</f>
        <v>251</v>
      </c>
    </row>
    <row r="22" spans="1:5" ht="21" customHeight="1" x14ac:dyDescent="0.35">
      <c r="A22" s="6">
        <v>21</v>
      </c>
      <c r="B22" s="6" t="s">
        <v>338</v>
      </c>
      <c r="C22" s="6" t="s">
        <v>339</v>
      </c>
      <c r="D22" s="7" t="s">
        <v>340</v>
      </c>
      <c r="E22" s="9">
        <f>IF(OR(COUNTIF('Attendance 11 FEMALES'!$D$2:$D$41,D22)=0,COUNTIF('Participation 11 FEMALES'!$D$2:$D$40,D22)=0),"CHECK ID",IFERROR(VLOOKUP(D22,'Attendance 11 FEMALES'!$D$2:$AE$41,28,FALSE())+VLOOKUP(D22,'Participation 11 FEMALES'!$D$2:$AD$40,27,FALSE()),"CHECK ID"))</f>
        <v>111</v>
      </c>
    </row>
    <row r="23" spans="1:5" ht="21" customHeight="1" x14ac:dyDescent="0.35">
      <c r="A23" s="11">
        <v>22</v>
      </c>
      <c r="B23" s="11" t="s">
        <v>341</v>
      </c>
      <c r="C23" s="11" t="s">
        <v>342</v>
      </c>
      <c r="D23" s="12" t="s">
        <v>343</v>
      </c>
      <c r="E23" s="9">
        <f>IF(OR(COUNTIF('Attendance 11 FEMALES'!$D$2:$D$41,D23)=0,COUNTIF('Participation 11 FEMALES'!$D$2:$D$40,D23)=0),"CHECK ID",IFERROR(VLOOKUP(D23,'Attendance 11 FEMALES'!$D$2:$AE$41,28,FALSE())+VLOOKUP(D23,'Participation 11 FEMALES'!$D$2:$AD$40,27,FALSE()),"CHECK ID"))</f>
        <v>117</v>
      </c>
    </row>
    <row r="24" spans="1:5" ht="21" customHeight="1" x14ac:dyDescent="0.35">
      <c r="A24" s="6">
        <v>23</v>
      </c>
      <c r="B24" s="6" t="s">
        <v>344</v>
      </c>
      <c r="C24" s="6" t="s">
        <v>345</v>
      </c>
      <c r="D24" s="7" t="s">
        <v>346</v>
      </c>
      <c r="E24" s="9">
        <f>IF(OR(COUNTIF('Attendance 11 FEMALES'!$D$2:$D$41,D24)=0,COUNTIF('Participation 11 FEMALES'!$D$2:$D$40,D24)=0),"CHECK ID",IFERROR(VLOOKUP(D24,'Attendance 11 FEMALES'!$D$2:$AE$41,28,FALSE())+VLOOKUP(D24,'Participation 11 FEMALES'!$D$2:$AD$40,27,FALSE()),"CHECK ID"))</f>
        <v>109</v>
      </c>
    </row>
    <row r="25" spans="1:5" ht="21" customHeight="1" x14ac:dyDescent="0.35">
      <c r="A25" s="11">
        <v>24</v>
      </c>
      <c r="B25" s="11" t="s">
        <v>347</v>
      </c>
      <c r="C25" s="11" t="s">
        <v>348</v>
      </c>
      <c r="D25" s="12" t="s">
        <v>349</v>
      </c>
      <c r="E25" s="9">
        <f>IF(OR(COUNTIF('Attendance 11 FEMALES'!$D$2:$D$41,D25)=0,COUNTIF('Participation 11 FEMALES'!$D$2:$D$40,D25)=0),"CHECK ID",IFERROR(VLOOKUP(D25,'Attendance 11 FEMALES'!$D$2:$AE$41,28,FALSE())+VLOOKUP(D25,'Participation 11 FEMALES'!$D$2:$AD$40,27,FALSE()),"CHECK ID"))</f>
        <v>194</v>
      </c>
    </row>
    <row r="26" spans="1:5" ht="21" customHeight="1" x14ac:dyDescent="0.35">
      <c r="A26" s="6">
        <v>25</v>
      </c>
      <c r="B26" s="6" t="s">
        <v>350</v>
      </c>
      <c r="C26" s="6" t="s">
        <v>351</v>
      </c>
      <c r="D26" s="7" t="s">
        <v>352</v>
      </c>
      <c r="E26" s="9">
        <f>IF(OR(COUNTIF('Attendance 11 FEMALES'!$D$2:$D$41,D26)=0,COUNTIF('Participation 11 FEMALES'!$D$2:$D$40,D26)=0),"CHECK ID",IFERROR(VLOOKUP(D26,'Attendance 11 FEMALES'!$D$2:$AE$41,28,FALSE())+VLOOKUP(D26,'Participation 11 FEMALES'!$D$2:$AD$40,27,FALSE()),"CHECK ID"))</f>
        <v>129</v>
      </c>
    </row>
    <row r="27" spans="1:5" ht="21" customHeight="1" x14ac:dyDescent="0.35">
      <c r="A27" s="11">
        <v>26</v>
      </c>
      <c r="B27" s="11" t="s">
        <v>353</v>
      </c>
      <c r="C27" s="11" t="s">
        <v>354</v>
      </c>
      <c r="D27" s="12" t="s">
        <v>355</v>
      </c>
      <c r="E27" s="9">
        <f>IF(OR(COUNTIF('Attendance 11 FEMALES'!$D$2:$D$41,D27)=0,COUNTIF('Participation 11 FEMALES'!$D$2:$D$40,D27)=0),"CHECK ID",IFERROR(VLOOKUP(D27,'Attendance 11 FEMALES'!$D$2:$AE$41,28,FALSE())+VLOOKUP(D27,'Participation 11 FEMALES'!$D$2:$AD$40,27,FALSE()),"CHECK ID"))</f>
        <v>175</v>
      </c>
    </row>
    <row r="28" spans="1:5" ht="21" customHeight="1" x14ac:dyDescent="0.35">
      <c r="A28" s="6">
        <v>27</v>
      </c>
      <c r="B28" s="6" t="s">
        <v>356</v>
      </c>
      <c r="C28" s="6" t="s">
        <v>357</v>
      </c>
      <c r="D28" s="7" t="s">
        <v>358</v>
      </c>
      <c r="E28" s="9">
        <f>IF(OR(COUNTIF('Attendance 11 FEMALES'!$D$2:$D$41,D28)=0,COUNTIF('Participation 11 FEMALES'!$D$2:$D$40,D28)=0),"CHECK ID",IFERROR(VLOOKUP(D28,'Attendance 11 FEMALES'!$D$2:$AE$41,28,FALSE())+VLOOKUP(D28,'Participation 11 FEMALES'!$D$2:$AD$40,27,FALSE()),"CHECK ID"))</f>
        <v>121</v>
      </c>
    </row>
    <row r="29" spans="1:5" ht="21" customHeight="1" x14ac:dyDescent="0.35">
      <c r="A29" s="11">
        <v>28</v>
      </c>
      <c r="B29" s="11" t="s">
        <v>359</v>
      </c>
      <c r="C29" s="11" t="s">
        <v>360</v>
      </c>
      <c r="D29" s="12" t="s">
        <v>361</v>
      </c>
      <c r="E29" s="9">
        <f>IF(OR(COUNTIF('Attendance 11 FEMALES'!$D$2:$D$41,D29)=0,COUNTIF('Participation 11 FEMALES'!$D$2:$D$40,D29)=0),"CHECK ID",IFERROR(VLOOKUP(D29,'Attendance 11 FEMALES'!$D$2:$AE$41,28,FALSE())+VLOOKUP(D29,'Participation 11 FEMALES'!$D$2:$AD$40,27,FALSE()),"CHECK ID"))</f>
        <v>153</v>
      </c>
    </row>
    <row r="30" spans="1:5" ht="21" customHeight="1" x14ac:dyDescent="0.35">
      <c r="A30" s="6">
        <v>29</v>
      </c>
      <c r="B30" s="6" t="s">
        <v>362</v>
      </c>
      <c r="C30" s="6" t="s">
        <v>363</v>
      </c>
      <c r="D30" s="7" t="s">
        <v>364</v>
      </c>
      <c r="E30" s="9">
        <f>IF(OR(COUNTIF('Attendance 11 FEMALES'!$D$2:$D$41,D30)=0,COUNTIF('Participation 11 FEMALES'!$D$2:$D$40,D30)=0),"CHECK ID",IFERROR(VLOOKUP(D30,'Attendance 11 FEMALES'!$D$2:$AE$41,28,FALSE())+VLOOKUP(D30,'Participation 11 FEMALES'!$D$2:$AD$40,27,FALSE()),"CHECK ID"))</f>
        <v>187</v>
      </c>
    </row>
    <row r="31" spans="1:5" ht="21" customHeight="1" x14ac:dyDescent="0.35">
      <c r="A31" s="11">
        <v>30</v>
      </c>
      <c r="B31" s="11" t="s">
        <v>365</v>
      </c>
      <c r="C31" s="11" t="s">
        <v>366</v>
      </c>
      <c r="D31" s="12" t="s">
        <v>367</v>
      </c>
      <c r="E31" s="9">
        <f>IF(OR(COUNTIF('Attendance 11 FEMALES'!$D$2:$D$41,D31)=0,COUNTIF('Participation 11 FEMALES'!$D$2:$D$40,D31)=0),"CHECK ID",IFERROR(VLOOKUP(D31,'Attendance 11 FEMALES'!$D$2:$AE$41,28,FALSE())+VLOOKUP(D31,'Participation 11 FEMALES'!$D$2:$AD$40,27,FALSE()),"CHECK ID"))</f>
        <v>152</v>
      </c>
    </row>
    <row r="32" spans="1:5" ht="21" customHeight="1" x14ac:dyDescent="0.35">
      <c r="A32" s="6">
        <v>31</v>
      </c>
      <c r="B32" s="6" t="s">
        <v>368</v>
      </c>
      <c r="C32" s="6" t="s">
        <v>369</v>
      </c>
      <c r="D32" s="7" t="s">
        <v>370</v>
      </c>
      <c r="E32" s="9">
        <f>IF(OR(COUNTIF('Attendance 11 FEMALES'!$D$2:$D$41,D32)=0,COUNTIF('Participation 11 FEMALES'!$D$2:$D$40,D32)=0),"CHECK ID",IFERROR(VLOOKUP(D32,'Attendance 11 FEMALES'!$D$2:$AE$41,28,FALSE())+VLOOKUP(D32,'Participation 11 FEMALES'!$D$2:$AD$40,27,FALSE()),"CHECK ID"))</f>
        <v>172</v>
      </c>
    </row>
    <row r="33" spans="1:5" ht="21" customHeight="1" x14ac:dyDescent="0.35">
      <c r="A33" s="11">
        <v>32</v>
      </c>
      <c r="B33" s="11" t="s">
        <v>371</v>
      </c>
      <c r="C33" s="11" t="s">
        <v>372</v>
      </c>
      <c r="D33" s="12" t="s">
        <v>373</v>
      </c>
      <c r="E33" s="9">
        <f>IF(OR(COUNTIF('Attendance 11 FEMALES'!$D$2:$D$41,D33)=0,COUNTIF('Participation 11 FEMALES'!$D$2:$D$40,D33)=0),"CHECK ID",IFERROR(VLOOKUP(D33,'Attendance 11 FEMALES'!$D$2:$AE$41,28,FALSE())+VLOOKUP(D33,'Participation 11 FEMALES'!$D$2:$AD$40,27,FALSE()),"CHECK ID"))</f>
        <v>152</v>
      </c>
    </row>
    <row r="34" spans="1:5" ht="21" customHeight="1" x14ac:dyDescent="0.35">
      <c r="A34" s="6">
        <v>33</v>
      </c>
      <c r="B34" s="6" t="s">
        <v>374</v>
      </c>
      <c r="C34" s="6" t="s">
        <v>375</v>
      </c>
      <c r="D34" s="7" t="s">
        <v>376</v>
      </c>
      <c r="E34" s="9">
        <f>IF(OR(COUNTIF('Attendance 11 FEMALES'!$D$2:$D$41,D34)=0,COUNTIF('Participation 11 FEMALES'!$D$2:$D$40,D34)=0),"CHECK ID",IFERROR(VLOOKUP(D34,'Attendance 11 FEMALES'!$D$2:$AE$41,28,FALSE())+VLOOKUP(D34,'Participation 11 FEMALES'!$D$2:$AD$40,27,FALSE()),"CHECK ID"))</f>
        <v>240</v>
      </c>
    </row>
    <row r="35" spans="1:5" ht="21" customHeight="1" x14ac:dyDescent="0.35">
      <c r="A35" s="11">
        <v>34</v>
      </c>
      <c r="B35" s="11" t="s">
        <v>377</v>
      </c>
      <c r="C35" s="11" t="s">
        <v>378</v>
      </c>
      <c r="D35" s="12" t="s">
        <v>379</v>
      </c>
      <c r="E35" s="9">
        <f>IF(OR(COUNTIF('Attendance 11 FEMALES'!$D$2:$D$41,D35)=0,COUNTIF('Participation 11 FEMALES'!$D$2:$D$40,D35)=0),"CHECK ID",IFERROR(VLOOKUP(D35,'Attendance 11 FEMALES'!$D$2:$AE$41,28,FALSE())+VLOOKUP(D35,'Participation 11 FEMALES'!$D$2:$AD$40,27,FALSE()),"CHECK ID"))</f>
        <v>207</v>
      </c>
    </row>
    <row r="36" spans="1:5" ht="21" customHeight="1" x14ac:dyDescent="0.35">
      <c r="A36" s="6">
        <v>35</v>
      </c>
      <c r="B36" s="6" t="s">
        <v>380</v>
      </c>
      <c r="C36" s="6" t="s">
        <v>381</v>
      </c>
      <c r="D36" s="7" t="s">
        <v>382</v>
      </c>
      <c r="E36" s="9">
        <f>IF(OR(COUNTIF('Attendance 11 FEMALES'!$D$2:$D$41,D36)=0,COUNTIF('Participation 11 FEMALES'!$D$2:$D$40,D36)=0),"CHECK ID",IFERROR(VLOOKUP(D36,'Attendance 11 FEMALES'!$D$2:$AE$41,28,FALSE())+VLOOKUP(D36,'Participation 11 FEMALES'!$D$2:$AD$40,27,FALSE()),"CHECK ID"))</f>
        <v>80</v>
      </c>
    </row>
    <row r="37" spans="1:5" ht="21" customHeight="1" x14ac:dyDescent="0.35">
      <c r="A37" s="11">
        <v>36</v>
      </c>
      <c r="B37" s="11" t="s">
        <v>383</v>
      </c>
      <c r="C37" s="11" t="s">
        <v>384</v>
      </c>
      <c r="D37" s="12" t="s">
        <v>385</v>
      </c>
      <c r="E37" s="9">
        <f>IF(OR(COUNTIF('Attendance 11 FEMALES'!$D$2:$D$41,D37)=0,COUNTIF('Participation 11 FEMALES'!$D$2:$D$40,D37)=0),"CHECK ID",IFERROR(VLOOKUP(D37,'Attendance 11 FEMALES'!$D$2:$AE$41,28,FALSE())+VLOOKUP(D37,'Participation 11 FEMALES'!$D$2:$AD$40,27,FALSE()),"CHECK ID"))</f>
        <v>220</v>
      </c>
    </row>
    <row r="38" spans="1:5" ht="21" customHeight="1" x14ac:dyDescent="0.35">
      <c r="A38" s="6">
        <v>37</v>
      </c>
      <c r="B38" s="6" t="s">
        <v>386</v>
      </c>
      <c r="C38" s="6" t="s">
        <v>387</v>
      </c>
      <c r="D38" s="7" t="s">
        <v>388</v>
      </c>
      <c r="E38" s="9">
        <f>IF(OR(COUNTIF('Attendance 11 FEMALES'!$D$2:$D$41,D38)=0,COUNTIF('Participation 11 FEMALES'!$D$2:$D$40,D38)=0),"CHECK ID",IFERROR(VLOOKUP(D38,'Attendance 11 FEMALES'!$D$2:$AE$41,28,FALSE())+VLOOKUP(D38,'Participation 11 FEMALES'!$D$2:$AD$40,27,FALSE()),"CHECK ID"))</f>
        <v>207</v>
      </c>
    </row>
    <row r="39" spans="1:5" ht="21" customHeight="1" x14ac:dyDescent="0.35">
      <c r="A39" s="11">
        <v>38</v>
      </c>
      <c r="B39" s="11" t="s">
        <v>389</v>
      </c>
      <c r="C39" s="11" t="s">
        <v>390</v>
      </c>
      <c r="D39" s="12" t="s">
        <v>391</v>
      </c>
      <c r="E39" s="9">
        <f>IF(OR(COUNTIF('Attendance 11 FEMALES'!$D$2:$D$41,D39)=0,COUNTIF('Participation 11 FEMALES'!$D$2:$D$40,D39)=0),"CHECK ID",IFERROR(VLOOKUP(D39,'Attendance 11 FEMALES'!$D$2:$AE$41,28,FALSE())+VLOOKUP(D39,'Participation 11 FEMALES'!$D$2:$AD$40,27,FALSE()),"CHECK ID"))</f>
        <v>113</v>
      </c>
    </row>
    <row r="40" spans="1:5" ht="21" customHeight="1" x14ac:dyDescent="0.35">
      <c r="A40" s="6">
        <v>39</v>
      </c>
      <c r="B40" s="6" t="s">
        <v>392</v>
      </c>
      <c r="C40" s="6" t="s">
        <v>393</v>
      </c>
      <c r="D40" s="7" t="s">
        <v>394</v>
      </c>
      <c r="E40" s="9">
        <f>IF(OR(COUNTIF('Attendance 11 FEMALES'!$D$2:$D$41,D40)=0,COUNTIF('Participation 11 FEMALES'!$D$2:$D$40,D40)=0),"CHECK ID",IFERROR(VLOOKUP(D40,'Attendance 11 FEMALES'!$D$2:$AE$41,28,FALSE())+VLOOKUP(D40,'Participation 11 FEMALES'!$D$2:$AD$40,27,FALSE()),"CHECK ID"))</f>
        <v>180</v>
      </c>
    </row>
  </sheetData>
  <autoFilter ref="A1:E40" xr:uid="{00000000-0009-0000-0000-000005000000}"/>
  <conditionalFormatting sqref="B1:D1">
    <cfRule type="cellIs" dxfId="61" priority="2" operator="equal">
      <formula>"Present"</formula>
    </cfRule>
    <cfRule type="cellIs" dxfId="60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  <pageSetUpPr fitToPage="1"/>
  </sheetPr>
  <dimension ref="A1:E34"/>
  <sheetViews>
    <sheetView showGridLines="0"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155</v>
      </c>
    </row>
    <row r="2" spans="1:5" ht="21" customHeight="1" x14ac:dyDescent="0.35">
      <c r="A2" s="6">
        <v>1</v>
      </c>
      <c r="B2" s="6" t="s">
        <v>399</v>
      </c>
      <c r="C2" s="6" t="s">
        <v>400</v>
      </c>
      <c r="D2" s="7" t="s">
        <v>401</v>
      </c>
      <c r="E2" s="9">
        <f>IF(OR(COUNTIF('Attendance 12 FEMALES'!$D$2:$D$36,D2)=0,COUNTIF('Participation 12 FEMALES'!$D$2:$D$37,D2)=0),"CHECK ID",IFERROR(VLOOKUP(D2,'Attendance 12 FEMALES'!$D$2:$AE$36,28,FALSE())+VLOOKUP(D2,'Participation 12 FEMALES'!$D$2:$AD$37,27,FALSE()),"CHECK ID"))</f>
        <v>167</v>
      </c>
    </row>
    <row r="3" spans="1:5" ht="21" customHeight="1" x14ac:dyDescent="0.35">
      <c r="A3" s="11">
        <v>2</v>
      </c>
      <c r="B3" s="11" t="s">
        <v>402</v>
      </c>
      <c r="C3" s="11" t="s">
        <v>403</v>
      </c>
      <c r="D3" s="12" t="s">
        <v>404</v>
      </c>
      <c r="E3" s="9">
        <f>IF(OR(COUNTIF('Attendance 12 FEMALES'!$D$2:$D$36,D3)=0,COUNTIF('Participation 12 FEMALES'!$D$2:$D$37,D3)=0),"CHECK ID",IFERROR(VLOOKUP(D3,'Attendance 12 FEMALES'!$D$2:$AE$36,28,FALSE())+VLOOKUP(D3,'Participation 12 FEMALES'!$D$2:$AD$37,27,FALSE()),"CHECK ID"))</f>
        <v>196</v>
      </c>
    </row>
    <row r="4" spans="1:5" ht="21" customHeight="1" x14ac:dyDescent="0.35">
      <c r="A4" s="6">
        <v>3</v>
      </c>
      <c r="B4" s="6" t="s">
        <v>405</v>
      </c>
      <c r="C4" s="6" t="s">
        <v>406</v>
      </c>
      <c r="D4" s="7" t="s">
        <v>407</v>
      </c>
      <c r="E4" s="9">
        <f>IF(OR(COUNTIF('Attendance 12 FEMALES'!$D$2:$D$36,D4)=0,COUNTIF('Participation 12 FEMALES'!$D$2:$D$37,D4)=0),"CHECK ID",IFERROR(VLOOKUP(D4,'Attendance 12 FEMALES'!$D$2:$AE$36,28,FALSE())+VLOOKUP(D4,'Participation 12 FEMALES'!$D$2:$AD$37,27,FALSE()),"CHECK ID"))</f>
        <v>213</v>
      </c>
    </row>
    <row r="5" spans="1:5" ht="21" customHeight="1" x14ac:dyDescent="0.35">
      <c r="A5" s="11">
        <v>4</v>
      </c>
      <c r="B5" s="11" t="s">
        <v>408</v>
      </c>
      <c r="C5" s="11" t="s">
        <v>409</v>
      </c>
      <c r="D5" s="12" t="s">
        <v>410</v>
      </c>
      <c r="E5" s="9">
        <f>IF(OR(COUNTIF('Attendance 12 FEMALES'!$D$2:$D$36,D5)=0,COUNTIF('Participation 12 FEMALES'!$D$2:$D$37,D5)=0),"CHECK ID",IFERROR(VLOOKUP(D5,'Attendance 12 FEMALES'!$D$2:$AE$36,28,FALSE())+VLOOKUP(D5,'Participation 12 FEMALES'!$D$2:$AD$37,27,FALSE()),"CHECK ID"))</f>
        <v>217</v>
      </c>
    </row>
    <row r="6" spans="1:5" ht="21" customHeight="1" x14ac:dyDescent="0.35">
      <c r="A6" s="6">
        <v>5</v>
      </c>
      <c r="B6" s="6" t="s">
        <v>411</v>
      </c>
      <c r="C6" s="6" t="s">
        <v>412</v>
      </c>
      <c r="D6" s="7" t="s">
        <v>413</v>
      </c>
      <c r="E6" s="9">
        <f>IF(OR(COUNTIF('Attendance 12 FEMALES'!$D$2:$D$36,D6)=0,COUNTIF('Participation 12 FEMALES'!$D$2:$D$37,D6)=0),"CHECK ID",IFERROR(VLOOKUP(D6,'Attendance 12 FEMALES'!$D$2:$AE$36,28,FALSE())+VLOOKUP(D6,'Participation 12 FEMALES'!$D$2:$AD$37,27,FALSE()),"CHECK ID"))</f>
        <v>166</v>
      </c>
    </row>
    <row r="7" spans="1:5" ht="21" customHeight="1" x14ac:dyDescent="0.35">
      <c r="A7" s="11">
        <v>6</v>
      </c>
      <c r="B7" s="11" t="s">
        <v>414</v>
      </c>
      <c r="C7" s="11" t="s">
        <v>415</v>
      </c>
      <c r="D7" s="12" t="s">
        <v>416</v>
      </c>
      <c r="E7" s="9">
        <f>IF(OR(COUNTIF('Attendance 12 FEMALES'!$D$2:$D$36,D7)=0,COUNTIF('Participation 12 FEMALES'!$D$2:$D$37,D7)=0),"CHECK ID",IFERROR(VLOOKUP(D7,'Attendance 12 FEMALES'!$D$2:$AE$36,28,FALSE())+VLOOKUP(D7,'Participation 12 FEMALES'!$D$2:$AD$37,27,FALSE()),"CHECK ID"))</f>
        <v>95</v>
      </c>
    </row>
    <row r="8" spans="1:5" ht="21" customHeight="1" x14ac:dyDescent="0.35">
      <c r="A8" s="6">
        <v>7</v>
      </c>
      <c r="B8" s="6" t="s">
        <v>417</v>
      </c>
      <c r="C8" s="6" t="s">
        <v>418</v>
      </c>
      <c r="D8" s="7" t="s">
        <v>419</v>
      </c>
      <c r="E8" s="9">
        <f>IF(OR(COUNTIF('Attendance 12 FEMALES'!$D$2:$D$36,D8)=0,COUNTIF('Participation 12 FEMALES'!$D$2:$D$37,D8)=0),"CHECK ID",IFERROR(VLOOKUP(D8,'Attendance 12 FEMALES'!$D$2:$AE$36,28,FALSE())+VLOOKUP(D8,'Participation 12 FEMALES'!$D$2:$AD$37,27,FALSE()),"CHECK ID"))</f>
        <v>128</v>
      </c>
    </row>
    <row r="9" spans="1:5" ht="21" customHeight="1" x14ac:dyDescent="0.35">
      <c r="A9" s="11">
        <v>8</v>
      </c>
      <c r="B9" s="11" t="s">
        <v>420</v>
      </c>
      <c r="C9" s="11" t="s">
        <v>421</v>
      </c>
      <c r="D9" s="12" t="s">
        <v>422</v>
      </c>
      <c r="E9" s="9">
        <f>IF(OR(COUNTIF('Attendance 12 FEMALES'!$D$2:$D$36,D9)=0,COUNTIF('Participation 12 FEMALES'!$D$2:$D$37,D9)=0),"CHECK ID",IFERROR(VLOOKUP(D9,'Attendance 12 FEMALES'!$D$2:$AE$36,28,FALSE())+VLOOKUP(D9,'Participation 12 FEMALES'!$D$2:$AD$37,27,FALSE()),"CHECK ID"))</f>
        <v>217</v>
      </c>
    </row>
    <row r="10" spans="1:5" ht="21" customHeight="1" x14ac:dyDescent="0.35">
      <c r="A10" s="6">
        <v>9</v>
      </c>
      <c r="B10" s="6" t="s">
        <v>423</v>
      </c>
      <c r="C10" s="6" t="s">
        <v>424</v>
      </c>
      <c r="D10" s="7" t="s">
        <v>425</v>
      </c>
      <c r="E10" s="9">
        <f>IF(OR(COUNTIF('Attendance 12 FEMALES'!$D$2:$D$36,D10)=0,COUNTIF('Participation 12 FEMALES'!$D$2:$D$37,D10)=0),"CHECK ID",IFERROR(VLOOKUP(D10,'Attendance 12 FEMALES'!$D$2:$AE$36,28,FALSE())+VLOOKUP(D10,'Participation 12 FEMALES'!$D$2:$AD$37,27,FALSE()),"CHECK ID"))</f>
        <v>135</v>
      </c>
    </row>
    <row r="11" spans="1:5" ht="21" customHeight="1" x14ac:dyDescent="0.35">
      <c r="A11" s="11">
        <v>10</v>
      </c>
      <c r="B11" s="11" t="s">
        <v>426</v>
      </c>
      <c r="C11" s="11" t="s">
        <v>427</v>
      </c>
      <c r="D11" s="12" t="s">
        <v>428</v>
      </c>
      <c r="E11" s="9">
        <f>IF(OR(COUNTIF('Attendance 12 FEMALES'!$D$2:$D$36,D11)=0,COUNTIF('Participation 12 FEMALES'!$D$2:$D$37,D11)=0),"CHECK ID",IFERROR(VLOOKUP(D11,'Attendance 12 FEMALES'!$D$2:$AE$36,28,FALSE())+VLOOKUP(D11,'Participation 12 FEMALES'!$D$2:$AD$37,27,FALSE()),"CHECK ID"))</f>
        <v>164</v>
      </c>
    </row>
    <row r="12" spans="1:5" ht="21" customHeight="1" x14ac:dyDescent="0.35">
      <c r="A12" s="6">
        <v>11</v>
      </c>
      <c r="B12" s="6" t="s">
        <v>429</v>
      </c>
      <c r="C12" s="6" t="s">
        <v>430</v>
      </c>
      <c r="D12" s="7" t="s">
        <v>431</v>
      </c>
      <c r="E12" s="9">
        <f>IF(OR(COUNTIF('Attendance 12 FEMALES'!$D$2:$D$36,D12)=0,COUNTIF('Participation 12 FEMALES'!$D$2:$D$37,D12)=0),"CHECK ID",IFERROR(VLOOKUP(D12,'Attendance 12 FEMALES'!$D$2:$AE$36,28,FALSE())+VLOOKUP(D12,'Participation 12 FEMALES'!$D$2:$AD$37,27,FALSE()),"CHECK ID"))</f>
        <v>182</v>
      </c>
    </row>
    <row r="13" spans="1:5" ht="21" customHeight="1" x14ac:dyDescent="0.35">
      <c r="A13" s="11">
        <v>12</v>
      </c>
      <c r="B13" s="11" t="s">
        <v>432</v>
      </c>
      <c r="C13" s="11" t="s">
        <v>433</v>
      </c>
      <c r="D13" s="12" t="s">
        <v>434</v>
      </c>
      <c r="E13" s="9">
        <f>IF(OR(COUNTIF('Attendance 12 FEMALES'!$D$2:$D$36,D13)=0,COUNTIF('Participation 12 FEMALES'!$D$2:$D$37,D13)=0),"CHECK ID",IFERROR(VLOOKUP(D13,'Attendance 12 FEMALES'!$D$2:$AE$36,28,FALSE())+VLOOKUP(D13,'Participation 12 FEMALES'!$D$2:$AD$37,27,FALSE()),"CHECK ID"))</f>
        <v>194</v>
      </c>
    </row>
    <row r="14" spans="1:5" ht="21" customHeight="1" x14ac:dyDescent="0.35">
      <c r="A14" s="6">
        <v>13</v>
      </c>
      <c r="B14" s="6" t="s">
        <v>435</v>
      </c>
      <c r="C14" s="6" t="s">
        <v>436</v>
      </c>
      <c r="D14" s="7" t="s">
        <v>437</v>
      </c>
      <c r="E14" s="9">
        <f>IF(OR(COUNTIF('Attendance 12 FEMALES'!$D$2:$D$36,D14)=0,COUNTIF('Participation 12 FEMALES'!$D$2:$D$37,D14)=0),"CHECK ID",IFERROR(VLOOKUP(D14,'Attendance 12 FEMALES'!$D$2:$AE$36,28,FALSE())+VLOOKUP(D14,'Participation 12 FEMALES'!$D$2:$AD$37,27,FALSE()),"CHECK ID"))</f>
        <v>84</v>
      </c>
    </row>
    <row r="15" spans="1:5" ht="21" customHeight="1" x14ac:dyDescent="0.35">
      <c r="A15" s="11">
        <v>14</v>
      </c>
      <c r="B15" s="11" t="s">
        <v>438</v>
      </c>
      <c r="C15" s="11" t="s">
        <v>439</v>
      </c>
      <c r="D15" s="12" t="s">
        <v>440</v>
      </c>
      <c r="E15" s="9">
        <f>IF(OR(COUNTIF('Attendance 12 FEMALES'!$D$2:$D$36,D15)=0,COUNTIF('Participation 12 FEMALES'!$D$2:$D$37,D15)=0),"CHECK ID",IFERROR(VLOOKUP(D15,'Attendance 12 FEMALES'!$D$2:$AE$36,28,FALSE())+VLOOKUP(D15,'Participation 12 FEMALES'!$D$2:$AD$37,27,FALSE()),"CHECK ID"))</f>
        <v>118</v>
      </c>
    </row>
    <row r="16" spans="1:5" ht="21" customHeight="1" x14ac:dyDescent="0.35">
      <c r="A16" s="6">
        <v>15</v>
      </c>
      <c r="B16" s="6" t="s">
        <v>441</v>
      </c>
      <c r="C16" s="6" t="s">
        <v>442</v>
      </c>
      <c r="D16" s="7" t="s">
        <v>443</v>
      </c>
      <c r="E16" s="9">
        <f>IF(OR(COUNTIF('Attendance 12 FEMALES'!$D$2:$D$36,D16)=0,COUNTIF('Participation 12 FEMALES'!$D$2:$D$37,D16)=0),"CHECK ID",IFERROR(VLOOKUP(D16,'Attendance 12 FEMALES'!$D$2:$AE$36,28,FALSE())+VLOOKUP(D16,'Participation 12 FEMALES'!$D$2:$AD$37,27,FALSE()),"CHECK ID"))</f>
        <v>167</v>
      </c>
    </row>
    <row r="17" spans="1:5" ht="21" customHeight="1" x14ac:dyDescent="0.35">
      <c r="A17" s="11">
        <v>16</v>
      </c>
      <c r="B17" s="11" t="s">
        <v>444</v>
      </c>
      <c r="C17" s="11" t="s">
        <v>445</v>
      </c>
      <c r="D17" s="12" t="s">
        <v>446</v>
      </c>
      <c r="E17" s="9">
        <f>IF(OR(COUNTIF('Attendance 12 FEMALES'!$D$2:$D$36,D17)=0,COUNTIF('Participation 12 FEMALES'!$D$2:$D$37,D17)=0),"CHECK ID",IFERROR(VLOOKUP(D17,'Attendance 12 FEMALES'!$D$2:$AE$36,28,FALSE())+VLOOKUP(D17,'Participation 12 FEMALES'!$D$2:$AD$37,27,FALSE()),"CHECK ID"))</f>
        <v>215</v>
      </c>
    </row>
    <row r="18" spans="1:5" ht="21" customHeight="1" x14ac:dyDescent="0.35">
      <c r="A18" s="6">
        <v>17</v>
      </c>
      <c r="B18" s="6" t="s">
        <v>447</v>
      </c>
      <c r="C18" s="6" t="s">
        <v>448</v>
      </c>
      <c r="D18" s="7" t="s">
        <v>449</v>
      </c>
      <c r="E18" s="9">
        <f>IF(OR(COUNTIF('Attendance 12 FEMALES'!$D$2:$D$36,D18)=0,COUNTIF('Participation 12 FEMALES'!$D$2:$D$37,D18)=0),"CHECK ID",IFERROR(VLOOKUP(D18,'Attendance 12 FEMALES'!$D$2:$AE$36,28,FALSE())+VLOOKUP(D18,'Participation 12 FEMALES'!$D$2:$AD$37,27,FALSE()),"CHECK ID"))</f>
        <v>165</v>
      </c>
    </row>
    <row r="19" spans="1:5" ht="21" customHeight="1" x14ac:dyDescent="0.35">
      <c r="A19" s="11">
        <v>18</v>
      </c>
      <c r="B19" s="11" t="s">
        <v>450</v>
      </c>
      <c r="C19" s="11" t="s">
        <v>451</v>
      </c>
      <c r="D19" s="12" t="s">
        <v>452</v>
      </c>
      <c r="E19" s="9">
        <f>IF(OR(COUNTIF('Attendance 12 FEMALES'!$D$2:$D$36,D19)=0,COUNTIF('Participation 12 FEMALES'!$D$2:$D$37,D19)=0),"CHECK ID",IFERROR(VLOOKUP(D19,'Attendance 12 FEMALES'!$D$2:$AE$36,28,FALSE())+VLOOKUP(D19,'Participation 12 FEMALES'!$D$2:$AD$37,27,FALSE()),"CHECK ID"))</f>
        <v>7</v>
      </c>
    </row>
    <row r="20" spans="1:5" ht="21" customHeight="1" x14ac:dyDescent="0.35">
      <c r="A20" s="6">
        <v>19</v>
      </c>
      <c r="B20" s="6" t="s">
        <v>453</v>
      </c>
      <c r="C20" s="6" t="s">
        <v>454</v>
      </c>
      <c r="D20" s="7" t="s">
        <v>455</v>
      </c>
      <c r="E20" s="9">
        <f>IF(OR(COUNTIF('Attendance 12 FEMALES'!$D$2:$D$36,D20)=0,COUNTIF('Participation 12 FEMALES'!$D$2:$D$37,D20)=0),"CHECK ID",IFERROR(VLOOKUP(D20,'Attendance 12 FEMALES'!$D$2:$AE$36,28,FALSE())+VLOOKUP(D20,'Participation 12 FEMALES'!$D$2:$AD$37,27,FALSE()),"CHECK ID"))</f>
        <v>115</v>
      </c>
    </row>
    <row r="21" spans="1:5" ht="21" customHeight="1" x14ac:dyDescent="0.35">
      <c r="A21" s="11">
        <v>20</v>
      </c>
      <c r="B21" s="11" t="s">
        <v>456</v>
      </c>
      <c r="C21" s="11" t="s">
        <v>457</v>
      </c>
      <c r="D21" s="12" t="s">
        <v>458</v>
      </c>
      <c r="E21" s="9">
        <f>IF(OR(COUNTIF('Attendance 12 FEMALES'!$D$2:$D$36,D21)=0,COUNTIF('Participation 12 FEMALES'!$D$2:$D$37,D21)=0),"CHECK ID",IFERROR(VLOOKUP(D21,'Attendance 12 FEMALES'!$D$2:$AE$36,28,FALSE())+VLOOKUP(D21,'Participation 12 FEMALES'!$D$2:$AD$37,27,FALSE()),"CHECK ID"))</f>
        <v>137</v>
      </c>
    </row>
    <row r="22" spans="1:5" ht="21" customHeight="1" x14ac:dyDescent="0.35">
      <c r="A22" s="6">
        <v>21</v>
      </c>
      <c r="B22" s="6" t="s">
        <v>459</v>
      </c>
      <c r="C22" s="6" t="s">
        <v>460</v>
      </c>
      <c r="D22" s="7" t="s">
        <v>461</v>
      </c>
      <c r="E22" s="9">
        <f>IF(OR(COUNTIF('Attendance 12 FEMALES'!$D$2:$D$36,D22)=0,COUNTIF('Participation 12 FEMALES'!$D$2:$D$37,D22)=0),"CHECK ID",IFERROR(VLOOKUP(D22,'Attendance 12 FEMALES'!$D$2:$AE$36,28,FALSE())+VLOOKUP(D22,'Participation 12 FEMALES'!$D$2:$AD$37,27,FALSE()),"CHECK ID"))</f>
        <v>181</v>
      </c>
    </row>
    <row r="23" spans="1:5" ht="21" customHeight="1" x14ac:dyDescent="0.35">
      <c r="A23" s="11">
        <v>22</v>
      </c>
      <c r="B23" s="11" t="s">
        <v>462</v>
      </c>
      <c r="C23" s="11" t="s">
        <v>463</v>
      </c>
      <c r="D23" s="12" t="s">
        <v>464</v>
      </c>
      <c r="E23" s="9">
        <f>IF(OR(COUNTIF('Attendance 12 FEMALES'!$D$2:$D$36,D23)=0,COUNTIF('Participation 12 FEMALES'!$D$2:$D$37,D23)=0),"CHECK ID",IFERROR(VLOOKUP(D23,'Attendance 12 FEMALES'!$D$2:$AE$36,28,FALSE())+VLOOKUP(D23,'Participation 12 FEMALES'!$D$2:$AD$37,27,FALSE()),"CHECK ID"))</f>
        <v>146</v>
      </c>
    </row>
    <row r="24" spans="1:5" ht="21" customHeight="1" x14ac:dyDescent="0.35">
      <c r="A24" s="6">
        <v>23</v>
      </c>
      <c r="B24" s="6" t="s">
        <v>465</v>
      </c>
      <c r="C24" s="6" t="s">
        <v>466</v>
      </c>
      <c r="D24" s="7" t="s">
        <v>467</v>
      </c>
      <c r="E24" s="9">
        <f>IF(OR(COUNTIF('Attendance 12 FEMALES'!$D$2:$D$36,D24)=0,COUNTIF('Participation 12 FEMALES'!$D$2:$D$37,D24)=0),"CHECK ID",IFERROR(VLOOKUP(D24,'Attendance 12 FEMALES'!$D$2:$AE$36,28,FALSE())+VLOOKUP(D24,'Participation 12 FEMALES'!$D$2:$AD$37,27,FALSE()),"CHECK ID"))</f>
        <v>201</v>
      </c>
    </row>
    <row r="25" spans="1:5" ht="21" customHeight="1" x14ac:dyDescent="0.35">
      <c r="A25" s="11">
        <v>24</v>
      </c>
      <c r="B25" s="11" t="s">
        <v>468</v>
      </c>
      <c r="C25" s="11" t="s">
        <v>469</v>
      </c>
      <c r="D25" s="12" t="s">
        <v>470</v>
      </c>
      <c r="E25" s="9">
        <f>IF(OR(COUNTIF('Attendance 12 FEMALES'!$D$2:$D$36,D25)=0,COUNTIF('Participation 12 FEMALES'!$D$2:$D$37,D25)=0),"CHECK ID",IFERROR(VLOOKUP(D25,'Attendance 12 FEMALES'!$D$2:$AE$36,28,FALSE())+VLOOKUP(D25,'Participation 12 FEMALES'!$D$2:$AD$37,27,FALSE()),"CHECK ID"))</f>
        <v>69</v>
      </c>
    </row>
    <row r="26" spans="1:5" ht="21" customHeight="1" x14ac:dyDescent="0.35">
      <c r="A26" s="6">
        <v>25</v>
      </c>
      <c r="B26" s="6" t="s">
        <v>471</v>
      </c>
      <c r="C26" s="6" t="s">
        <v>472</v>
      </c>
      <c r="D26" s="7" t="s">
        <v>473</v>
      </c>
      <c r="E26" s="9">
        <f>IF(OR(COUNTIF('Attendance 12 FEMALES'!$D$2:$D$36,D26)=0,COUNTIF('Participation 12 FEMALES'!$D$2:$D$37,D26)=0),"CHECK ID",IFERROR(VLOOKUP(D26,'Attendance 12 FEMALES'!$D$2:$AE$36,28,FALSE())+VLOOKUP(D26,'Participation 12 FEMALES'!$D$2:$AD$37,27,FALSE()),"CHECK ID"))</f>
        <v>64</v>
      </c>
    </row>
    <row r="27" spans="1:5" ht="21" customHeight="1" x14ac:dyDescent="0.35">
      <c r="A27" s="11">
        <v>26</v>
      </c>
      <c r="B27" s="11" t="s">
        <v>474</v>
      </c>
      <c r="C27" s="11" t="s">
        <v>475</v>
      </c>
      <c r="D27" s="12" t="s">
        <v>476</v>
      </c>
      <c r="E27" s="9">
        <f>IF(OR(COUNTIF('Attendance 12 FEMALES'!$D$2:$D$36,D27)=0,COUNTIF('Participation 12 FEMALES'!$D$2:$D$37,D27)=0),"CHECK ID",IFERROR(VLOOKUP(D27,'Attendance 12 FEMALES'!$D$2:$AE$36,28,FALSE())+VLOOKUP(D27,'Participation 12 FEMALES'!$D$2:$AD$37,27,FALSE()),"CHECK ID"))</f>
        <v>108</v>
      </c>
    </row>
    <row r="28" spans="1:5" ht="21" customHeight="1" x14ac:dyDescent="0.35">
      <c r="A28" s="6">
        <v>27</v>
      </c>
      <c r="B28" s="6" t="s">
        <v>477</v>
      </c>
      <c r="C28" s="6" t="s">
        <v>478</v>
      </c>
      <c r="D28" s="7" t="s">
        <v>479</v>
      </c>
      <c r="E28" s="9">
        <f>IF(OR(COUNTIF('Attendance 12 FEMALES'!$D$2:$D$36,D28)=0,COUNTIF('Participation 12 FEMALES'!$D$2:$D$37,D28)=0),"CHECK ID",IFERROR(VLOOKUP(D28,'Attendance 12 FEMALES'!$D$2:$AE$36,28,FALSE())+VLOOKUP(D28,'Participation 12 FEMALES'!$D$2:$AD$37,27,FALSE()),"CHECK ID"))</f>
        <v>116</v>
      </c>
    </row>
    <row r="29" spans="1:5" ht="21" customHeight="1" x14ac:dyDescent="0.35">
      <c r="A29" s="11">
        <v>28</v>
      </c>
      <c r="B29" s="11" t="s">
        <v>480</v>
      </c>
      <c r="C29" s="11" t="s">
        <v>481</v>
      </c>
      <c r="D29" s="12" t="s">
        <v>482</v>
      </c>
      <c r="E29" s="9">
        <f>IF(OR(COUNTIF('Attendance 12 FEMALES'!$D$2:$D$36,D29)=0,COUNTIF('Participation 12 FEMALES'!$D$2:$D$37,D29)=0),"CHECK ID",IFERROR(VLOOKUP(D29,'Attendance 12 FEMALES'!$D$2:$AE$36,28,FALSE())+VLOOKUP(D29,'Participation 12 FEMALES'!$D$2:$AD$37,27,FALSE()),"CHECK ID"))</f>
        <v>130</v>
      </c>
    </row>
    <row r="30" spans="1:5" ht="21" customHeight="1" x14ac:dyDescent="0.35">
      <c r="A30" s="6">
        <v>29</v>
      </c>
      <c r="B30" s="6" t="s">
        <v>483</v>
      </c>
      <c r="C30" s="6" t="s">
        <v>484</v>
      </c>
      <c r="D30" s="7" t="s">
        <v>485</v>
      </c>
      <c r="E30" s="9">
        <f>IF(OR(COUNTIF('Attendance 12 FEMALES'!$D$2:$D$36,D30)=0,COUNTIF('Participation 12 FEMALES'!$D$2:$D$37,D30)=0),"CHECK ID",IFERROR(VLOOKUP(D30,'Attendance 12 FEMALES'!$D$2:$AE$36,28,FALSE())+VLOOKUP(D30,'Participation 12 FEMALES'!$D$2:$AD$37,27,FALSE()),"CHECK ID"))</f>
        <v>134</v>
      </c>
    </row>
    <row r="31" spans="1:5" ht="21" customHeight="1" x14ac:dyDescent="0.35">
      <c r="A31" s="11">
        <v>30</v>
      </c>
      <c r="B31" s="11" t="s">
        <v>486</v>
      </c>
      <c r="C31" s="11" t="s">
        <v>487</v>
      </c>
      <c r="D31" s="12" t="s">
        <v>488</v>
      </c>
      <c r="E31" s="9">
        <f>IF(OR(COUNTIF('Attendance 12 FEMALES'!$D$2:$D$36,D31)=0,COUNTIF('Participation 12 FEMALES'!$D$2:$D$37,D31)=0),"CHECK ID",IFERROR(VLOOKUP(D31,'Attendance 12 FEMALES'!$D$2:$AE$36,28,FALSE())+VLOOKUP(D31,'Participation 12 FEMALES'!$D$2:$AD$37,27,FALSE()),"CHECK ID"))</f>
        <v>135</v>
      </c>
    </row>
    <row r="32" spans="1:5" ht="21" customHeight="1" x14ac:dyDescent="0.35">
      <c r="A32" s="6">
        <v>31</v>
      </c>
      <c r="B32" s="6" t="s">
        <v>489</v>
      </c>
      <c r="C32" s="6" t="s">
        <v>490</v>
      </c>
      <c r="D32" s="7" t="s">
        <v>491</v>
      </c>
      <c r="E32" s="9">
        <f>IF(OR(COUNTIF('Attendance 12 FEMALES'!$D$2:$D$36,D32)=0,COUNTIF('Participation 12 FEMALES'!$D$2:$D$37,D32)=0),"CHECK ID",IFERROR(VLOOKUP(D32,'Attendance 12 FEMALES'!$D$2:$AE$36,28,FALSE())+VLOOKUP(D32,'Participation 12 FEMALES'!$D$2:$AD$37,27,FALSE()),"CHECK ID"))</f>
        <v>205</v>
      </c>
    </row>
    <row r="33" spans="1:5" ht="21" customHeight="1" x14ac:dyDescent="0.35">
      <c r="A33" s="11">
        <v>32</v>
      </c>
      <c r="B33" s="11" t="s">
        <v>492</v>
      </c>
      <c r="C33" s="11" t="s">
        <v>493</v>
      </c>
      <c r="D33" s="12" t="s">
        <v>494</v>
      </c>
      <c r="E33" s="9">
        <f>IF(OR(COUNTIF('Attendance 12 FEMALES'!$D$2:$D$36,D33)=0,COUNTIF('Participation 12 FEMALES'!$D$2:$D$37,D33)=0),"CHECK ID",IFERROR(VLOOKUP(D33,'Attendance 12 FEMALES'!$D$2:$AE$36,28,FALSE())+VLOOKUP(D33,'Participation 12 FEMALES'!$D$2:$AD$37,27,FALSE()),"CHECK ID"))</f>
        <v>57</v>
      </c>
    </row>
    <row r="34" spans="1:5" ht="21" customHeight="1" x14ac:dyDescent="0.35">
      <c r="A34" s="6">
        <v>33</v>
      </c>
      <c r="B34" s="6" t="s">
        <v>495</v>
      </c>
      <c r="C34" s="6" t="s">
        <v>496</v>
      </c>
      <c r="D34" s="7" t="s">
        <v>497</v>
      </c>
      <c r="E34" s="9">
        <f>IF(OR(COUNTIF('Attendance 12 FEMALES'!$D$2:$D$36,D34)=0,COUNTIF('Participation 12 FEMALES'!$D$2:$D$37,D34)=0),"CHECK ID",IFERROR(VLOOKUP(D34,'Attendance 12 FEMALES'!$D$2:$AE$36,28,FALSE())+VLOOKUP(D34,'Participation 12 FEMALES'!$D$2:$AD$37,27,FALSE()),"CHECK ID"))</f>
        <v>142</v>
      </c>
    </row>
  </sheetData>
  <autoFilter ref="A1:E34" xr:uid="{00000000-0009-0000-0000-000008000000}"/>
  <conditionalFormatting sqref="B1:D1">
    <cfRule type="cellIs" dxfId="48" priority="2" operator="equal">
      <formula>"Present"</formula>
    </cfRule>
    <cfRule type="cellIs" dxfId="47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  <pageSetUpPr fitToPage="1"/>
  </sheetPr>
  <dimension ref="A1:AD39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21" customHeight="1" x14ac:dyDescent="0.35">
      <c r="A2" s="6">
        <v>1</v>
      </c>
      <c r="B2" s="6" t="s">
        <v>514</v>
      </c>
      <c r="C2" s="6" t="s">
        <v>515</v>
      </c>
      <c r="D2" s="7" t="s">
        <v>516</v>
      </c>
      <c r="E2" s="18">
        <v>3</v>
      </c>
      <c r="F2" s="18">
        <v>7</v>
      </c>
      <c r="G2" s="18">
        <v>0</v>
      </c>
      <c r="H2" s="18">
        <v>6</v>
      </c>
      <c r="I2" s="18">
        <v>3</v>
      </c>
      <c r="J2" s="18">
        <v>3</v>
      </c>
      <c r="K2" s="18">
        <v>9</v>
      </c>
      <c r="L2" s="18">
        <v>8</v>
      </c>
      <c r="M2" s="18">
        <v>7</v>
      </c>
      <c r="N2" s="18">
        <v>3</v>
      </c>
      <c r="O2" s="18">
        <v>2</v>
      </c>
      <c r="P2" s="18">
        <v>6</v>
      </c>
      <c r="Q2" s="18">
        <v>10</v>
      </c>
      <c r="R2" s="18">
        <v>0</v>
      </c>
      <c r="S2" s="18">
        <v>2</v>
      </c>
      <c r="T2" s="18">
        <v>2</v>
      </c>
      <c r="U2" s="18">
        <v>10</v>
      </c>
      <c r="V2" s="18">
        <v>7</v>
      </c>
      <c r="W2" s="18">
        <v>7</v>
      </c>
      <c r="X2" s="18">
        <v>7</v>
      </c>
      <c r="Y2" s="18">
        <v>3</v>
      </c>
      <c r="Z2" s="18">
        <v>5</v>
      </c>
      <c r="AA2" s="18">
        <v>5</v>
      </c>
      <c r="AB2" s="18">
        <v>8</v>
      </c>
      <c r="AC2" s="18">
        <v>9</v>
      </c>
      <c r="AD2" s="10">
        <f t="shared" ref="AD2:AD38" si="0">SUM(E2:AC2)</f>
        <v>132</v>
      </c>
    </row>
    <row r="3" spans="1:30" ht="21" customHeight="1" x14ac:dyDescent="0.35">
      <c r="A3" s="11">
        <v>2</v>
      </c>
      <c r="B3" s="11" t="s">
        <v>517</v>
      </c>
      <c r="C3" s="11" t="s">
        <v>518</v>
      </c>
      <c r="D3" s="12" t="s">
        <v>519</v>
      </c>
      <c r="E3" s="19">
        <v>5</v>
      </c>
      <c r="F3" s="19">
        <v>10</v>
      </c>
      <c r="G3" s="19">
        <v>9</v>
      </c>
      <c r="H3" s="19">
        <v>4</v>
      </c>
      <c r="I3" s="19">
        <v>6</v>
      </c>
      <c r="J3" s="19">
        <v>9</v>
      </c>
      <c r="K3" s="19">
        <v>1</v>
      </c>
      <c r="L3" s="19">
        <v>6</v>
      </c>
      <c r="M3" s="19">
        <v>7</v>
      </c>
      <c r="N3" s="19">
        <v>8</v>
      </c>
      <c r="O3" s="19">
        <v>2</v>
      </c>
      <c r="P3" s="19">
        <v>5</v>
      </c>
      <c r="Q3" s="19">
        <v>3</v>
      </c>
      <c r="R3" s="19">
        <v>10</v>
      </c>
      <c r="S3" s="19">
        <v>2</v>
      </c>
      <c r="T3" s="19">
        <v>2</v>
      </c>
      <c r="U3" s="19">
        <v>10</v>
      </c>
      <c r="V3" s="19">
        <v>8</v>
      </c>
      <c r="W3" s="19">
        <v>2</v>
      </c>
      <c r="X3" s="19">
        <v>3</v>
      </c>
      <c r="Y3" s="19">
        <v>2</v>
      </c>
      <c r="Z3" s="19">
        <v>2</v>
      </c>
      <c r="AA3" s="19">
        <v>4</v>
      </c>
      <c r="AB3" s="19">
        <v>4</v>
      </c>
      <c r="AC3" s="19">
        <v>9</v>
      </c>
      <c r="AD3" s="10">
        <f t="shared" si="0"/>
        <v>133</v>
      </c>
    </row>
    <row r="4" spans="1:30" ht="21" customHeight="1" x14ac:dyDescent="0.35">
      <c r="A4" s="6">
        <v>3</v>
      </c>
      <c r="B4" s="6" t="s">
        <v>520</v>
      </c>
      <c r="C4" s="6" t="s">
        <v>521</v>
      </c>
      <c r="D4" s="7" t="s">
        <v>522</v>
      </c>
      <c r="E4" s="18">
        <v>10</v>
      </c>
      <c r="F4" s="18">
        <v>7</v>
      </c>
      <c r="G4" s="18">
        <v>1</v>
      </c>
      <c r="H4" s="18">
        <v>6</v>
      </c>
      <c r="I4" s="18">
        <v>6</v>
      </c>
      <c r="J4" s="18">
        <v>5</v>
      </c>
      <c r="K4" s="18">
        <v>5</v>
      </c>
      <c r="L4" s="18">
        <v>5</v>
      </c>
      <c r="M4" s="18">
        <v>7</v>
      </c>
      <c r="N4" s="18">
        <v>8</v>
      </c>
      <c r="O4" s="18">
        <v>3</v>
      </c>
      <c r="P4" s="18">
        <v>8</v>
      </c>
      <c r="Q4" s="18">
        <v>5</v>
      </c>
      <c r="R4" s="18">
        <v>5</v>
      </c>
      <c r="S4" s="18">
        <v>6</v>
      </c>
      <c r="T4" s="18">
        <v>3</v>
      </c>
      <c r="U4" s="18">
        <v>5</v>
      </c>
      <c r="V4" s="18">
        <v>7</v>
      </c>
      <c r="W4" s="18">
        <v>7</v>
      </c>
      <c r="X4" s="18">
        <v>10</v>
      </c>
      <c r="Y4" s="18">
        <v>8</v>
      </c>
      <c r="Z4" s="18">
        <v>9</v>
      </c>
      <c r="AA4" s="18">
        <v>2</v>
      </c>
      <c r="AB4" s="18">
        <v>7</v>
      </c>
      <c r="AC4" s="18">
        <v>2</v>
      </c>
      <c r="AD4" s="10">
        <f t="shared" si="0"/>
        <v>147</v>
      </c>
    </row>
    <row r="5" spans="1:30" ht="21" customHeight="1" x14ac:dyDescent="0.35">
      <c r="A5" s="11">
        <v>4</v>
      </c>
      <c r="B5" s="11" t="s">
        <v>523</v>
      </c>
      <c r="C5" s="11" t="s">
        <v>524</v>
      </c>
      <c r="D5" s="12" t="s">
        <v>525</v>
      </c>
      <c r="E5" s="19">
        <v>8</v>
      </c>
      <c r="F5" s="19">
        <v>7</v>
      </c>
      <c r="G5" s="19">
        <v>4</v>
      </c>
      <c r="H5" s="19">
        <v>4</v>
      </c>
      <c r="I5" s="19">
        <v>7</v>
      </c>
      <c r="J5" s="19">
        <v>0</v>
      </c>
      <c r="K5" s="19">
        <v>4</v>
      </c>
      <c r="L5" s="19">
        <v>3</v>
      </c>
      <c r="M5" s="19">
        <v>10</v>
      </c>
      <c r="N5" s="19">
        <v>7</v>
      </c>
      <c r="O5" s="19">
        <v>5</v>
      </c>
      <c r="P5" s="19">
        <v>3</v>
      </c>
      <c r="Q5" s="19">
        <v>7</v>
      </c>
      <c r="R5" s="19">
        <v>6</v>
      </c>
      <c r="S5" s="19">
        <v>2</v>
      </c>
      <c r="T5" s="19">
        <v>2</v>
      </c>
      <c r="U5" s="19">
        <v>3</v>
      </c>
      <c r="V5" s="19">
        <v>5</v>
      </c>
      <c r="W5" s="19">
        <v>7</v>
      </c>
      <c r="X5" s="19">
        <v>8</v>
      </c>
      <c r="Y5" s="19">
        <v>2</v>
      </c>
      <c r="Z5" s="19">
        <v>9</v>
      </c>
      <c r="AA5" s="19">
        <v>5</v>
      </c>
      <c r="AB5" s="19">
        <v>6</v>
      </c>
      <c r="AC5" s="19">
        <v>2</v>
      </c>
      <c r="AD5" s="10">
        <f t="shared" si="0"/>
        <v>126</v>
      </c>
    </row>
    <row r="6" spans="1:30" ht="21" customHeight="1" x14ac:dyDescent="0.35">
      <c r="A6" s="6">
        <v>5</v>
      </c>
      <c r="B6" s="6" t="s">
        <v>526</v>
      </c>
      <c r="C6" s="6" t="s">
        <v>527</v>
      </c>
      <c r="D6" s="7" t="s">
        <v>528</v>
      </c>
      <c r="E6" s="18">
        <v>1</v>
      </c>
      <c r="F6" s="18">
        <v>4</v>
      </c>
      <c r="G6" s="18">
        <v>8</v>
      </c>
      <c r="H6" s="18">
        <v>10</v>
      </c>
      <c r="I6" s="18">
        <v>7</v>
      </c>
      <c r="J6" s="18">
        <v>3</v>
      </c>
      <c r="K6" s="18">
        <v>10</v>
      </c>
      <c r="L6" s="18">
        <v>1</v>
      </c>
      <c r="M6" s="18">
        <v>7</v>
      </c>
      <c r="N6" s="18">
        <v>6</v>
      </c>
      <c r="O6" s="18">
        <v>0</v>
      </c>
      <c r="P6" s="18">
        <v>4</v>
      </c>
      <c r="Q6" s="18">
        <v>7</v>
      </c>
      <c r="R6" s="18">
        <v>0</v>
      </c>
      <c r="S6" s="18">
        <v>3</v>
      </c>
      <c r="T6" s="18">
        <v>2</v>
      </c>
      <c r="U6" s="18">
        <v>3</v>
      </c>
      <c r="V6" s="18">
        <v>9</v>
      </c>
      <c r="W6" s="18">
        <v>1</v>
      </c>
      <c r="X6" s="18">
        <v>0</v>
      </c>
      <c r="Y6" s="18">
        <v>4</v>
      </c>
      <c r="Z6" s="18">
        <v>4</v>
      </c>
      <c r="AA6" s="18">
        <v>9</v>
      </c>
      <c r="AB6" s="18">
        <v>3</v>
      </c>
      <c r="AC6" s="18">
        <v>8</v>
      </c>
      <c r="AD6" s="10">
        <f t="shared" si="0"/>
        <v>114</v>
      </c>
    </row>
    <row r="7" spans="1:30" ht="21" customHeight="1" x14ac:dyDescent="0.35">
      <c r="A7" s="11">
        <v>6</v>
      </c>
      <c r="B7" s="11" t="s">
        <v>529</v>
      </c>
      <c r="C7" s="11" t="s">
        <v>530</v>
      </c>
      <c r="D7" s="12" t="s">
        <v>531</v>
      </c>
      <c r="E7" s="19">
        <v>7</v>
      </c>
      <c r="F7" s="19">
        <v>7</v>
      </c>
      <c r="G7" s="19">
        <v>4</v>
      </c>
      <c r="H7" s="19">
        <v>8</v>
      </c>
      <c r="I7" s="19">
        <v>9</v>
      </c>
      <c r="J7" s="19">
        <v>6</v>
      </c>
      <c r="K7" s="19">
        <v>4</v>
      </c>
      <c r="L7" s="19">
        <v>6</v>
      </c>
      <c r="M7" s="19">
        <v>7</v>
      </c>
      <c r="N7" s="19">
        <v>6</v>
      </c>
      <c r="O7" s="19">
        <v>10</v>
      </c>
      <c r="P7" s="19">
        <v>7</v>
      </c>
      <c r="Q7" s="19">
        <v>7</v>
      </c>
      <c r="R7" s="19">
        <v>9</v>
      </c>
      <c r="S7" s="19">
        <v>8</v>
      </c>
      <c r="T7" s="19">
        <v>2</v>
      </c>
      <c r="U7" s="19">
        <v>4</v>
      </c>
      <c r="V7" s="19">
        <v>2</v>
      </c>
      <c r="W7" s="19">
        <v>7</v>
      </c>
      <c r="X7" s="19">
        <v>7</v>
      </c>
      <c r="Y7" s="19">
        <v>7</v>
      </c>
      <c r="Z7" s="19">
        <v>5</v>
      </c>
      <c r="AA7" s="19">
        <v>10</v>
      </c>
      <c r="AB7" s="19">
        <v>6</v>
      </c>
      <c r="AC7" s="19">
        <v>9</v>
      </c>
      <c r="AD7" s="10">
        <f t="shared" si="0"/>
        <v>164</v>
      </c>
    </row>
    <row r="8" spans="1:30" ht="21" customHeight="1" x14ac:dyDescent="0.35">
      <c r="A8" s="6">
        <v>7</v>
      </c>
      <c r="B8" s="6" t="s">
        <v>532</v>
      </c>
      <c r="C8" s="6" t="s">
        <v>533</v>
      </c>
      <c r="D8" s="7" t="s">
        <v>534</v>
      </c>
      <c r="E8" s="18">
        <v>3</v>
      </c>
      <c r="F8" s="18">
        <v>1</v>
      </c>
      <c r="G8" s="18">
        <v>4</v>
      </c>
      <c r="H8" s="18">
        <v>6</v>
      </c>
      <c r="I8" s="18">
        <v>9</v>
      </c>
      <c r="J8" s="18">
        <v>8</v>
      </c>
      <c r="K8" s="18">
        <v>10</v>
      </c>
      <c r="L8" s="18">
        <v>3</v>
      </c>
      <c r="M8" s="18">
        <v>2</v>
      </c>
      <c r="N8" s="18">
        <v>9</v>
      </c>
      <c r="O8" s="18">
        <v>8</v>
      </c>
      <c r="P8" s="18">
        <v>0</v>
      </c>
      <c r="Q8" s="18">
        <v>7</v>
      </c>
      <c r="R8" s="18">
        <v>6</v>
      </c>
      <c r="S8" s="18">
        <v>10</v>
      </c>
      <c r="T8" s="18">
        <v>1</v>
      </c>
      <c r="U8" s="18">
        <v>5</v>
      </c>
      <c r="V8" s="18">
        <v>7</v>
      </c>
      <c r="W8" s="18">
        <v>0</v>
      </c>
      <c r="X8" s="18">
        <v>3</v>
      </c>
      <c r="Y8" s="18">
        <v>8</v>
      </c>
      <c r="Z8" s="18">
        <v>1</v>
      </c>
      <c r="AA8" s="18">
        <v>0</v>
      </c>
      <c r="AB8" s="18">
        <v>5</v>
      </c>
      <c r="AC8" s="18">
        <v>0</v>
      </c>
      <c r="AD8" s="10">
        <f t="shared" si="0"/>
        <v>116</v>
      </c>
    </row>
    <row r="9" spans="1:30" ht="21" customHeight="1" x14ac:dyDescent="0.35">
      <c r="A9" s="11">
        <v>8</v>
      </c>
      <c r="B9" s="11" t="s">
        <v>535</v>
      </c>
      <c r="C9" s="11" t="s">
        <v>536</v>
      </c>
      <c r="D9" s="12" t="s">
        <v>537</v>
      </c>
      <c r="E9" s="19">
        <v>4</v>
      </c>
      <c r="F9" s="19">
        <v>9</v>
      </c>
      <c r="G9" s="19">
        <v>1</v>
      </c>
      <c r="H9" s="19">
        <v>7</v>
      </c>
      <c r="I9" s="19">
        <v>2</v>
      </c>
      <c r="J9" s="19">
        <v>5</v>
      </c>
      <c r="K9" s="19">
        <v>8</v>
      </c>
      <c r="L9" s="19">
        <v>2</v>
      </c>
      <c r="M9" s="19">
        <v>6</v>
      </c>
      <c r="N9" s="19">
        <v>5</v>
      </c>
      <c r="O9" s="19">
        <v>6</v>
      </c>
      <c r="P9" s="19">
        <v>1</v>
      </c>
      <c r="Q9" s="19">
        <v>7</v>
      </c>
      <c r="R9" s="19">
        <v>9</v>
      </c>
      <c r="S9" s="19">
        <v>2</v>
      </c>
      <c r="T9" s="19">
        <v>2</v>
      </c>
      <c r="U9" s="19">
        <v>7</v>
      </c>
      <c r="V9" s="19">
        <v>0</v>
      </c>
      <c r="W9" s="19">
        <v>7</v>
      </c>
      <c r="X9" s="19">
        <v>7</v>
      </c>
      <c r="Y9" s="19">
        <v>4</v>
      </c>
      <c r="Z9" s="19">
        <v>5</v>
      </c>
      <c r="AA9" s="19">
        <v>10</v>
      </c>
      <c r="AB9" s="19">
        <v>6</v>
      </c>
      <c r="AC9" s="19">
        <v>3</v>
      </c>
      <c r="AD9" s="10">
        <f t="shared" si="0"/>
        <v>125</v>
      </c>
    </row>
    <row r="10" spans="1:30" ht="21" customHeight="1" x14ac:dyDescent="0.35">
      <c r="A10" s="6">
        <v>9</v>
      </c>
      <c r="B10" s="6" t="s">
        <v>538</v>
      </c>
      <c r="C10" s="6" t="s">
        <v>539</v>
      </c>
      <c r="D10" s="7" t="s">
        <v>540</v>
      </c>
      <c r="E10" s="18">
        <v>10</v>
      </c>
      <c r="F10" s="18">
        <v>7</v>
      </c>
      <c r="G10" s="18">
        <v>0</v>
      </c>
      <c r="H10" s="18">
        <v>5</v>
      </c>
      <c r="I10" s="18">
        <v>3</v>
      </c>
      <c r="J10" s="18">
        <v>6</v>
      </c>
      <c r="K10" s="18">
        <v>2</v>
      </c>
      <c r="L10" s="18">
        <v>9</v>
      </c>
      <c r="M10" s="18">
        <v>7</v>
      </c>
      <c r="N10" s="18">
        <v>3</v>
      </c>
      <c r="O10" s="18">
        <v>8</v>
      </c>
      <c r="P10" s="18">
        <v>3</v>
      </c>
      <c r="Q10" s="18">
        <v>7</v>
      </c>
      <c r="R10" s="18">
        <v>9</v>
      </c>
      <c r="S10" s="18">
        <v>5</v>
      </c>
      <c r="T10" s="18">
        <v>4</v>
      </c>
      <c r="U10" s="18">
        <v>6</v>
      </c>
      <c r="V10" s="18">
        <v>7</v>
      </c>
      <c r="W10" s="18">
        <v>7</v>
      </c>
      <c r="X10" s="18">
        <v>7</v>
      </c>
      <c r="Y10" s="18">
        <v>3</v>
      </c>
      <c r="Z10" s="18">
        <v>5</v>
      </c>
      <c r="AA10" s="18">
        <v>0</v>
      </c>
      <c r="AB10" s="18">
        <v>2</v>
      </c>
      <c r="AC10" s="18">
        <v>5</v>
      </c>
      <c r="AD10" s="10">
        <f t="shared" si="0"/>
        <v>130</v>
      </c>
    </row>
    <row r="11" spans="1:30" ht="21" customHeight="1" x14ac:dyDescent="0.35">
      <c r="A11" s="11">
        <v>10</v>
      </c>
      <c r="B11" s="11" t="s">
        <v>541</v>
      </c>
      <c r="C11" s="11" t="s">
        <v>542</v>
      </c>
      <c r="D11" s="12" t="s">
        <v>543</v>
      </c>
      <c r="E11" s="19">
        <v>6</v>
      </c>
      <c r="F11" s="19">
        <v>7</v>
      </c>
      <c r="G11" s="19">
        <v>10</v>
      </c>
      <c r="H11" s="19">
        <v>0</v>
      </c>
      <c r="I11" s="19">
        <v>6</v>
      </c>
      <c r="J11" s="19">
        <v>3</v>
      </c>
      <c r="K11" s="19">
        <v>8</v>
      </c>
      <c r="L11" s="19">
        <v>0</v>
      </c>
      <c r="M11" s="19">
        <v>7</v>
      </c>
      <c r="N11" s="19">
        <v>9</v>
      </c>
      <c r="O11" s="19">
        <v>1</v>
      </c>
      <c r="P11" s="19">
        <v>7</v>
      </c>
      <c r="Q11" s="19">
        <v>7</v>
      </c>
      <c r="R11" s="19">
        <v>1</v>
      </c>
      <c r="S11" s="19">
        <v>0</v>
      </c>
      <c r="T11" s="19">
        <v>8</v>
      </c>
      <c r="U11" s="19">
        <v>5</v>
      </c>
      <c r="V11" s="19">
        <v>8</v>
      </c>
      <c r="W11" s="19">
        <v>0</v>
      </c>
      <c r="X11" s="19">
        <v>7</v>
      </c>
      <c r="Y11" s="19">
        <v>9</v>
      </c>
      <c r="Z11" s="19">
        <v>8</v>
      </c>
      <c r="AA11" s="19">
        <v>0</v>
      </c>
      <c r="AB11" s="19">
        <v>10</v>
      </c>
      <c r="AC11" s="19">
        <v>6</v>
      </c>
      <c r="AD11" s="10">
        <f t="shared" si="0"/>
        <v>133</v>
      </c>
    </row>
    <row r="12" spans="1:30" ht="21" customHeight="1" x14ac:dyDescent="0.35">
      <c r="A12" s="6">
        <v>11</v>
      </c>
      <c r="B12" s="6" t="s">
        <v>544</v>
      </c>
      <c r="C12" s="6" t="s">
        <v>545</v>
      </c>
      <c r="D12" s="7" t="s">
        <v>546</v>
      </c>
      <c r="E12" s="18">
        <v>8</v>
      </c>
      <c r="F12" s="18">
        <v>7</v>
      </c>
      <c r="G12" s="18">
        <v>10</v>
      </c>
      <c r="H12" s="18">
        <v>3</v>
      </c>
      <c r="I12" s="18">
        <v>4</v>
      </c>
      <c r="J12" s="18">
        <v>7</v>
      </c>
      <c r="K12" s="18">
        <v>7</v>
      </c>
      <c r="L12" s="18">
        <v>8</v>
      </c>
      <c r="M12" s="18">
        <v>7</v>
      </c>
      <c r="N12" s="18">
        <v>4</v>
      </c>
      <c r="O12" s="18">
        <v>3</v>
      </c>
      <c r="P12" s="18">
        <v>0</v>
      </c>
      <c r="Q12" s="18">
        <v>7</v>
      </c>
      <c r="R12" s="18">
        <v>5</v>
      </c>
      <c r="S12" s="18">
        <v>2</v>
      </c>
      <c r="T12" s="18">
        <v>2</v>
      </c>
      <c r="U12" s="18">
        <v>2</v>
      </c>
      <c r="V12" s="18">
        <v>7</v>
      </c>
      <c r="W12" s="18">
        <v>7</v>
      </c>
      <c r="X12" s="18">
        <v>0</v>
      </c>
      <c r="Y12" s="18">
        <v>3</v>
      </c>
      <c r="Z12" s="18">
        <v>5</v>
      </c>
      <c r="AA12" s="18">
        <v>2</v>
      </c>
      <c r="AB12" s="18">
        <v>4</v>
      </c>
      <c r="AC12" s="18">
        <v>4</v>
      </c>
      <c r="AD12" s="10">
        <f t="shared" si="0"/>
        <v>118</v>
      </c>
    </row>
    <row r="13" spans="1:30" ht="21" customHeight="1" x14ac:dyDescent="0.35">
      <c r="A13" s="11">
        <v>12</v>
      </c>
      <c r="B13" s="11" t="s">
        <v>547</v>
      </c>
      <c r="C13" s="11" t="s">
        <v>548</v>
      </c>
      <c r="D13" s="12" t="s">
        <v>549</v>
      </c>
      <c r="E13" s="19">
        <v>1</v>
      </c>
      <c r="F13" s="19">
        <v>7</v>
      </c>
      <c r="G13" s="19">
        <v>6</v>
      </c>
      <c r="H13" s="19">
        <v>10</v>
      </c>
      <c r="I13" s="19">
        <v>4</v>
      </c>
      <c r="J13" s="19">
        <v>2</v>
      </c>
      <c r="K13" s="19">
        <v>0</v>
      </c>
      <c r="L13" s="19">
        <v>8</v>
      </c>
      <c r="M13" s="19">
        <v>10</v>
      </c>
      <c r="N13" s="19">
        <v>4</v>
      </c>
      <c r="O13" s="19">
        <v>1</v>
      </c>
      <c r="P13" s="19">
        <v>9</v>
      </c>
      <c r="Q13" s="19">
        <v>3</v>
      </c>
      <c r="R13" s="19">
        <v>6</v>
      </c>
      <c r="S13" s="19">
        <v>2</v>
      </c>
      <c r="T13" s="19">
        <v>10</v>
      </c>
      <c r="U13" s="19">
        <v>8</v>
      </c>
      <c r="V13" s="19">
        <v>7</v>
      </c>
      <c r="W13" s="19">
        <v>5</v>
      </c>
      <c r="X13" s="19">
        <v>7</v>
      </c>
      <c r="Y13" s="19">
        <v>2</v>
      </c>
      <c r="Z13" s="19">
        <v>9</v>
      </c>
      <c r="AA13" s="19">
        <v>9</v>
      </c>
      <c r="AB13" s="19">
        <v>10</v>
      </c>
      <c r="AC13" s="19">
        <v>2</v>
      </c>
      <c r="AD13" s="10">
        <f t="shared" si="0"/>
        <v>142</v>
      </c>
    </row>
    <row r="14" spans="1:30" ht="21" customHeight="1" x14ac:dyDescent="0.35">
      <c r="A14" s="6">
        <v>13</v>
      </c>
      <c r="B14" s="6" t="s">
        <v>550</v>
      </c>
      <c r="C14" s="6" t="s">
        <v>551</v>
      </c>
      <c r="D14" s="7" t="s">
        <v>552</v>
      </c>
      <c r="E14" s="18">
        <v>7</v>
      </c>
      <c r="F14" s="18">
        <v>7</v>
      </c>
      <c r="G14" s="18">
        <v>1</v>
      </c>
      <c r="H14" s="18">
        <v>4</v>
      </c>
      <c r="I14" s="18">
        <v>7</v>
      </c>
      <c r="J14" s="18">
        <v>4</v>
      </c>
      <c r="K14" s="18">
        <v>8</v>
      </c>
      <c r="L14" s="18">
        <v>6</v>
      </c>
      <c r="M14" s="18">
        <v>7</v>
      </c>
      <c r="N14" s="18">
        <v>6</v>
      </c>
      <c r="O14" s="18">
        <v>2</v>
      </c>
      <c r="P14" s="18">
        <v>2</v>
      </c>
      <c r="Q14" s="18">
        <v>7</v>
      </c>
      <c r="R14" s="18">
        <v>9</v>
      </c>
      <c r="S14" s="18">
        <v>7</v>
      </c>
      <c r="T14" s="18">
        <v>2</v>
      </c>
      <c r="U14" s="18">
        <v>6</v>
      </c>
      <c r="V14" s="18">
        <v>5</v>
      </c>
      <c r="W14" s="18">
        <v>7</v>
      </c>
      <c r="X14" s="18">
        <v>2</v>
      </c>
      <c r="Y14" s="18">
        <v>1</v>
      </c>
      <c r="Z14" s="18">
        <v>8</v>
      </c>
      <c r="AA14" s="18">
        <v>4</v>
      </c>
      <c r="AB14" s="18">
        <v>2</v>
      </c>
      <c r="AC14" s="18">
        <v>4</v>
      </c>
      <c r="AD14" s="10">
        <f t="shared" si="0"/>
        <v>125</v>
      </c>
    </row>
    <row r="15" spans="1:30" ht="21" customHeight="1" x14ac:dyDescent="0.35">
      <c r="A15" s="11">
        <v>14</v>
      </c>
      <c r="B15" s="11" t="s">
        <v>553</v>
      </c>
      <c r="C15" s="11" t="s">
        <v>554</v>
      </c>
      <c r="D15" s="12" t="s">
        <v>555</v>
      </c>
      <c r="E15" s="19">
        <v>6</v>
      </c>
      <c r="F15" s="19">
        <v>7</v>
      </c>
      <c r="G15" s="19">
        <v>7</v>
      </c>
      <c r="H15" s="19">
        <v>9</v>
      </c>
      <c r="I15" s="19">
        <v>10</v>
      </c>
      <c r="J15" s="19">
        <v>7</v>
      </c>
      <c r="K15" s="19">
        <v>3</v>
      </c>
      <c r="L15" s="19">
        <v>4</v>
      </c>
      <c r="M15" s="19">
        <v>7</v>
      </c>
      <c r="N15" s="19">
        <v>8</v>
      </c>
      <c r="O15" s="19">
        <v>10</v>
      </c>
      <c r="P15" s="19">
        <v>9</v>
      </c>
      <c r="Q15" s="19">
        <v>7</v>
      </c>
      <c r="R15" s="19">
        <v>9</v>
      </c>
      <c r="S15" s="19">
        <v>2</v>
      </c>
      <c r="T15" s="19">
        <v>2</v>
      </c>
      <c r="U15" s="19">
        <v>2</v>
      </c>
      <c r="V15" s="19">
        <v>7</v>
      </c>
      <c r="W15" s="19">
        <v>10</v>
      </c>
      <c r="X15" s="19">
        <v>7</v>
      </c>
      <c r="Y15" s="19">
        <v>3</v>
      </c>
      <c r="Z15" s="19">
        <v>3</v>
      </c>
      <c r="AA15" s="19">
        <v>5</v>
      </c>
      <c r="AB15" s="19">
        <v>0</v>
      </c>
      <c r="AC15" s="19">
        <v>0</v>
      </c>
      <c r="AD15" s="10">
        <f t="shared" si="0"/>
        <v>144</v>
      </c>
    </row>
    <row r="16" spans="1:30" ht="21" customHeight="1" x14ac:dyDescent="0.35">
      <c r="A16" s="6">
        <v>15</v>
      </c>
      <c r="B16" s="6" t="s">
        <v>556</v>
      </c>
      <c r="C16" s="6" t="s">
        <v>557</v>
      </c>
      <c r="D16" s="7" t="s">
        <v>558</v>
      </c>
      <c r="E16" s="18">
        <v>5</v>
      </c>
      <c r="F16" s="18">
        <v>7</v>
      </c>
      <c r="G16" s="18">
        <v>9</v>
      </c>
      <c r="H16" s="18">
        <v>3</v>
      </c>
      <c r="I16" s="18">
        <v>5</v>
      </c>
      <c r="J16" s="18">
        <v>10</v>
      </c>
      <c r="K16" s="18">
        <v>5</v>
      </c>
      <c r="L16" s="18">
        <v>5</v>
      </c>
      <c r="M16" s="18">
        <v>7</v>
      </c>
      <c r="N16" s="18">
        <v>1</v>
      </c>
      <c r="O16" s="18">
        <v>7</v>
      </c>
      <c r="P16" s="18">
        <v>7</v>
      </c>
      <c r="Q16" s="18">
        <v>7</v>
      </c>
      <c r="R16" s="18">
        <v>4</v>
      </c>
      <c r="S16" s="18">
        <v>10</v>
      </c>
      <c r="T16" s="18">
        <v>8</v>
      </c>
      <c r="U16" s="18">
        <v>0</v>
      </c>
      <c r="V16" s="18">
        <v>4</v>
      </c>
      <c r="W16" s="18">
        <v>7</v>
      </c>
      <c r="X16" s="18">
        <v>9</v>
      </c>
      <c r="Y16" s="18">
        <v>4</v>
      </c>
      <c r="Z16" s="18">
        <v>2</v>
      </c>
      <c r="AA16" s="18">
        <v>2</v>
      </c>
      <c r="AB16" s="18">
        <v>0</v>
      </c>
      <c r="AC16" s="18">
        <v>4</v>
      </c>
      <c r="AD16" s="10">
        <f t="shared" si="0"/>
        <v>132</v>
      </c>
    </row>
    <row r="17" spans="1:30" ht="21" customHeight="1" x14ac:dyDescent="0.35">
      <c r="A17" s="11">
        <v>16</v>
      </c>
      <c r="B17" s="11" t="s">
        <v>559</v>
      </c>
      <c r="C17" s="11" t="s">
        <v>560</v>
      </c>
      <c r="D17" s="12" t="s">
        <v>561</v>
      </c>
      <c r="E17" s="19">
        <v>10</v>
      </c>
      <c r="F17" s="19">
        <v>4</v>
      </c>
      <c r="G17" s="19">
        <v>0</v>
      </c>
      <c r="H17" s="19">
        <v>6</v>
      </c>
      <c r="I17" s="19">
        <v>3</v>
      </c>
      <c r="J17" s="19">
        <v>7</v>
      </c>
      <c r="K17" s="19">
        <v>3</v>
      </c>
      <c r="L17" s="19">
        <v>5</v>
      </c>
      <c r="M17" s="19">
        <v>10</v>
      </c>
      <c r="N17" s="19">
        <v>1</v>
      </c>
      <c r="O17" s="19">
        <v>0</v>
      </c>
      <c r="P17" s="19">
        <v>4</v>
      </c>
      <c r="Q17" s="19">
        <v>7</v>
      </c>
      <c r="R17" s="19">
        <v>8</v>
      </c>
      <c r="S17" s="19">
        <v>7</v>
      </c>
      <c r="T17" s="19">
        <v>5</v>
      </c>
      <c r="U17" s="19">
        <v>6</v>
      </c>
      <c r="V17" s="19">
        <v>7</v>
      </c>
      <c r="W17" s="19">
        <v>7</v>
      </c>
      <c r="X17" s="19">
        <v>8</v>
      </c>
      <c r="Y17" s="19">
        <v>4</v>
      </c>
      <c r="Z17" s="19">
        <v>9</v>
      </c>
      <c r="AA17" s="19">
        <v>8</v>
      </c>
      <c r="AB17" s="19">
        <v>8</v>
      </c>
      <c r="AC17" s="19">
        <v>5</v>
      </c>
      <c r="AD17" s="10">
        <f t="shared" si="0"/>
        <v>142</v>
      </c>
    </row>
    <row r="18" spans="1:30" ht="21" customHeight="1" x14ac:dyDescent="0.35">
      <c r="A18" s="6">
        <v>17</v>
      </c>
      <c r="B18" s="6" t="s">
        <v>562</v>
      </c>
      <c r="C18" s="6" t="s">
        <v>563</v>
      </c>
      <c r="D18" s="7" t="s">
        <v>564</v>
      </c>
      <c r="E18" s="18">
        <v>9</v>
      </c>
      <c r="F18" s="18">
        <v>7</v>
      </c>
      <c r="G18" s="18">
        <v>2</v>
      </c>
      <c r="H18" s="18">
        <v>2</v>
      </c>
      <c r="I18" s="18">
        <v>9</v>
      </c>
      <c r="J18" s="18">
        <v>2</v>
      </c>
      <c r="K18" s="18">
        <v>9</v>
      </c>
      <c r="L18" s="18">
        <v>5</v>
      </c>
      <c r="M18" s="18">
        <v>7</v>
      </c>
      <c r="N18" s="18">
        <v>0</v>
      </c>
      <c r="O18" s="18">
        <v>3</v>
      </c>
      <c r="P18" s="18">
        <v>5</v>
      </c>
      <c r="Q18" s="18">
        <v>7</v>
      </c>
      <c r="R18" s="18">
        <v>3</v>
      </c>
      <c r="S18" s="18">
        <v>3</v>
      </c>
      <c r="T18" s="18">
        <v>2</v>
      </c>
      <c r="U18" s="18">
        <v>10</v>
      </c>
      <c r="V18" s="18">
        <v>6</v>
      </c>
      <c r="W18" s="18">
        <v>7</v>
      </c>
      <c r="X18" s="18">
        <v>10</v>
      </c>
      <c r="Y18" s="18">
        <v>3</v>
      </c>
      <c r="Z18" s="18">
        <v>1</v>
      </c>
      <c r="AA18" s="18">
        <v>5</v>
      </c>
      <c r="AB18" s="18">
        <v>1</v>
      </c>
      <c r="AC18" s="18">
        <v>0</v>
      </c>
      <c r="AD18" s="10">
        <f t="shared" si="0"/>
        <v>118</v>
      </c>
    </row>
    <row r="19" spans="1:30" ht="21" customHeight="1" x14ac:dyDescent="0.35">
      <c r="A19" s="11">
        <v>18</v>
      </c>
      <c r="B19" s="11" t="s">
        <v>565</v>
      </c>
      <c r="C19" s="11" t="s">
        <v>566</v>
      </c>
      <c r="D19" s="12" t="s">
        <v>567</v>
      </c>
      <c r="E19" s="19">
        <v>1</v>
      </c>
      <c r="F19" s="19">
        <v>7</v>
      </c>
      <c r="G19" s="19">
        <v>9</v>
      </c>
      <c r="H19" s="19">
        <v>6</v>
      </c>
      <c r="I19" s="19">
        <v>1</v>
      </c>
      <c r="J19" s="19">
        <v>5</v>
      </c>
      <c r="K19" s="19">
        <v>2</v>
      </c>
      <c r="L19" s="19">
        <v>9</v>
      </c>
      <c r="M19" s="19">
        <v>7</v>
      </c>
      <c r="N19" s="19">
        <v>0</v>
      </c>
      <c r="O19" s="19">
        <v>1</v>
      </c>
      <c r="P19" s="19">
        <v>6</v>
      </c>
      <c r="Q19" s="19">
        <v>8</v>
      </c>
      <c r="R19" s="19">
        <v>5</v>
      </c>
      <c r="S19" s="19">
        <v>5</v>
      </c>
      <c r="T19" s="19">
        <v>2</v>
      </c>
      <c r="U19" s="19">
        <v>1</v>
      </c>
      <c r="V19" s="19">
        <v>3</v>
      </c>
      <c r="W19" s="19">
        <v>7</v>
      </c>
      <c r="X19" s="19">
        <v>10</v>
      </c>
      <c r="Y19" s="19">
        <v>5</v>
      </c>
      <c r="Z19" s="19">
        <v>10</v>
      </c>
      <c r="AA19" s="19">
        <v>9</v>
      </c>
      <c r="AB19" s="19">
        <v>10</v>
      </c>
      <c r="AC19" s="19">
        <v>6</v>
      </c>
      <c r="AD19" s="10">
        <f t="shared" si="0"/>
        <v>135</v>
      </c>
    </row>
    <row r="20" spans="1:30" ht="21" customHeight="1" x14ac:dyDescent="0.35">
      <c r="A20" s="6">
        <v>19</v>
      </c>
      <c r="B20" s="6" t="s">
        <v>568</v>
      </c>
      <c r="C20" s="6" t="s">
        <v>569</v>
      </c>
      <c r="D20" s="7" t="s">
        <v>570</v>
      </c>
      <c r="E20" s="18">
        <v>9</v>
      </c>
      <c r="F20" s="18">
        <v>7</v>
      </c>
      <c r="G20" s="18">
        <v>8</v>
      </c>
      <c r="H20" s="18">
        <v>4</v>
      </c>
      <c r="I20" s="18">
        <v>8</v>
      </c>
      <c r="J20" s="18">
        <v>9</v>
      </c>
      <c r="K20" s="18">
        <v>5</v>
      </c>
      <c r="L20" s="18">
        <v>6</v>
      </c>
      <c r="M20" s="18">
        <v>7</v>
      </c>
      <c r="N20" s="18">
        <v>7</v>
      </c>
      <c r="O20" s="18">
        <v>4</v>
      </c>
      <c r="P20" s="18">
        <v>0</v>
      </c>
      <c r="Q20" s="18">
        <v>7</v>
      </c>
      <c r="R20" s="18">
        <v>4</v>
      </c>
      <c r="S20" s="18">
        <v>4</v>
      </c>
      <c r="T20" s="18">
        <v>2</v>
      </c>
      <c r="U20" s="18">
        <v>4</v>
      </c>
      <c r="V20" s="18">
        <v>8</v>
      </c>
      <c r="W20" s="18">
        <v>7</v>
      </c>
      <c r="X20" s="18">
        <v>7</v>
      </c>
      <c r="Y20" s="18">
        <v>2</v>
      </c>
      <c r="Z20" s="18">
        <v>8</v>
      </c>
      <c r="AA20" s="18">
        <v>1</v>
      </c>
      <c r="AB20" s="18">
        <v>4</v>
      </c>
      <c r="AC20" s="18">
        <v>4</v>
      </c>
      <c r="AD20" s="10">
        <f t="shared" si="0"/>
        <v>136</v>
      </c>
    </row>
    <row r="21" spans="1:30" ht="21" customHeight="1" x14ac:dyDescent="0.35">
      <c r="A21" s="11">
        <v>20</v>
      </c>
      <c r="B21" s="11" t="s">
        <v>571</v>
      </c>
      <c r="C21" s="11" t="s">
        <v>572</v>
      </c>
      <c r="D21" s="12" t="s">
        <v>573</v>
      </c>
      <c r="E21" s="19">
        <v>0</v>
      </c>
      <c r="F21" s="19">
        <v>7</v>
      </c>
      <c r="G21" s="19">
        <v>5</v>
      </c>
      <c r="H21" s="19">
        <v>8</v>
      </c>
      <c r="I21" s="19">
        <v>10</v>
      </c>
      <c r="J21" s="19">
        <v>1</v>
      </c>
      <c r="K21" s="19">
        <v>5</v>
      </c>
      <c r="L21" s="19">
        <v>10</v>
      </c>
      <c r="M21" s="19">
        <v>7</v>
      </c>
      <c r="N21" s="19">
        <v>6</v>
      </c>
      <c r="O21" s="19">
        <v>3</v>
      </c>
      <c r="P21" s="19">
        <v>7</v>
      </c>
      <c r="Q21" s="19">
        <v>7</v>
      </c>
      <c r="R21" s="19">
        <v>0</v>
      </c>
      <c r="S21" s="19">
        <v>3</v>
      </c>
      <c r="T21" s="19">
        <v>2</v>
      </c>
      <c r="U21" s="19">
        <v>2</v>
      </c>
      <c r="V21" s="19">
        <v>6</v>
      </c>
      <c r="W21" s="19">
        <v>4</v>
      </c>
      <c r="X21" s="19">
        <v>7</v>
      </c>
      <c r="Y21" s="19">
        <v>10</v>
      </c>
      <c r="Z21" s="19">
        <v>3</v>
      </c>
      <c r="AA21" s="19">
        <v>5</v>
      </c>
      <c r="AB21" s="19">
        <v>6</v>
      </c>
      <c r="AC21" s="19">
        <v>8</v>
      </c>
      <c r="AD21" s="10">
        <f t="shared" si="0"/>
        <v>132</v>
      </c>
    </row>
    <row r="22" spans="1:30" ht="21" customHeight="1" x14ac:dyDescent="0.35">
      <c r="A22" s="6">
        <v>21</v>
      </c>
      <c r="B22" s="6" t="s">
        <v>574</v>
      </c>
      <c r="C22" s="6" t="s">
        <v>575</v>
      </c>
      <c r="D22" s="7" t="s">
        <v>576</v>
      </c>
      <c r="E22" s="18">
        <v>2</v>
      </c>
      <c r="F22" s="18">
        <v>7</v>
      </c>
      <c r="G22" s="18">
        <v>2</v>
      </c>
      <c r="H22" s="18">
        <v>7</v>
      </c>
      <c r="I22" s="18">
        <v>1</v>
      </c>
      <c r="J22" s="18">
        <v>10</v>
      </c>
      <c r="K22" s="18">
        <v>5</v>
      </c>
      <c r="L22" s="18">
        <v>6</v>
      </c>
      <c r="M22" s="18">
        <v>9</v>
      </c>
      <c r="N22" s="18">
        <v>4</v>
      </c>
      <c r="O22" s="18">
        <v>2</v>
      </c>
      <c r="P22" s="18">
        <v>2</v>
      </c>
      <c r="Q22" s="18">
        <v>7</v>
      </c>
      <c r="R22" s="18">
        <v>9</v>
      </c>
      <c r="S22" s="18">
        <v>2</v>
      </c>
      <c r="T22" s="18">
        <v>2</v>
      </c>
      <c r="U22" s="18">
        <v>9</v>
      </c>
      <c r="V22" s="18">
        <v>7</v>
      </c>
      <c r="W22" s="18">
        <v>7</v>
      </c>
      <c r="X22" s="18">
        <v>7</v>
      </c>
      <c r="Y22" s="18">
        <v>6</v>
      </c>
      <c r="Z22" s="18">
        <v>9</v>
      </c>
      <c r="AA22" s="18">
        <v>9</v>
      </c>
      <c r="AB22" s="18">
        <v>10</v>
      </c>
      <c r="AC22" s="18">
        <v>9</v>
      </c>
      <c r="AD22" s="10">
        <f t="shared" si="0"/>
        <v>150</v>
      </c>
    </row>
    <row r="23" spans="1:30" ht="21" customHeight="1" x14ac:dyDescent="0.35">
      <c r="A23" s="11">
        <v>22</v>
      </c>
      <c r="B23" s="11" t="s">
        <v>577</v>
      </c>
      <c r="C23" s="11" t="s">
        <v>578</v>
      </c>
      <c r="D23" s="12" t="s">
        <v>579</v>
      </c>
      <c r="E23" s="19">
        <v>1</v>
      </c>
      <c r="F23" s="19">
        <v>7</v>
      </c>
      <c r="G23" s="19">
        <v>0</v>
      </c>
      <c r="H23" s="19">
        <v>4</v>
      </c>
      <c r="I23" s="19">
        <v>0</v>
      </c>
      <c r="J23" s="19">
        <v>9</v>
      </c>
      <c r="K23" s="19">
        <v>4</v>
      </c>
      <c r="L23" s="19">
        <v>2</v>
      </c>
      <c r="M23" s="19">
        <v>7</v>
      </c>
      <c r="N23" s="19">
        <v>3</v>
      </c>
      <c r="O23" s="19">
        <v>2</v>
      </c>
      <c r="P23" s="19">
        <v>4</v>
      </c>
      <c r="Q23" s="19">
        <v>10</v>
      </c>
      <c r="R23" s="19">
        <v>3</v>
      </c>
      <c r="S23" s="19">
        <v>6</v>
      </c>
      <c r="T23" s="19">
        <v>3</v>
      </c>
      <c r="U23" s="19">
        <v>4</v>
      </c>
      <c r="V23" s="19">
        <v>7</v>
      </c>
      <c r="W23" s="19">
        <v>10</v>
      </c>
      <c r="X23" s="19">
        <v>7</v>
      </c>
      <c r="Y23" s="19">
        <v>1</v>
      </c>
      <c r="Z23" s="19">
        <v>2</v>
      </c>
      <c r="AA23" s="19">
        <v>9</v>
      </c>
      <c r="AB23" s="19">
        <v>9</v>
      </c>
      <c r="AC23" s="19">
        <v>3</v>
      </c>
      <c r="AD23" s="10">
        <f t="shared" si="0"/>
        <v>117</v>
      </c>
    </row>
    <row r="24" spans="1:30" ht="21" customHeight="1" x14ac:dyDescent="0.35">
      <c r="A24" s="6">
        <v>23</v>
      </c>
      <c r="B24" s="6" t="s">
        <v>580</v>
      </c>
      <c r="C24" s="6" t="s">
        <v>581</v>
      </c>
      <c r="D24" s="7" t="s">
        <v>582</v>
      </c>
      <c r="E24" s="18">
        <v>0</v>
      </c>
      <c r="F24" s="18">
        <v>7</v>
      </c>
      <c r="G24" s="18">
        <v>2</v>
      </c>
      <c r="H24" s="18">
        <v>10</v>
      </c>
      <c r="I24" s="18">
        <v>0</v>
      </c>
      <c r="J24" s="18">
        <v>8</v>
      </c>
      <c r="K24" s="18">
        <v>1</v>
      </c>
      <c r="L24" s="18">
        <v>3</v>
      </c>
      <c r="M24" s="18">
        <v>7</v>
      </c>
      <c r="N24" s="18">
        <v>1</v>
      </c>
      <c r="O24" s="18">
        <v>3</v>
      </c>
      <c r="P24" s="18">
        <v>9</v>
      </c>
      <c r="Q24" s="18">
        <v>7</v>
      </c>
      <c r="R24" s="18">
        <v>1</v>
      </c>
      <c r="S24" s="18">
        <v>3</v>
      </c>
      <c r="T24" s="18">
        <v>2</v>
      </c>
      <c r="U24" s="18">
        <v>9</v>
      </c>
      <c r="V24" s="18">
        <v>7</v>
      </c>
      <c r="W24" s="18">
        <v>7</v>
      </c>
      <c r="X24" s="18">
        <v>6</v>
      </c>
      <c r="Y24" s="18">
        <v>1</v>
      </c>
      <c r="Z24" s="18">
        <v>7</v>
      </c>
      <c r="AA24" s="18">
        <v>8</v>
      </c>
      <c r="AB24" s="18">
        <v>6</v>
      </c>
      <c r="AC24" s="18">
        <v>10</v>
      </c>
      <c r="AD24" s="10">
        <f t="shared" si="0"/>
        <v>125</v>
      </c>
    </row>
    <row r="25" spans="1:30" ht="21" customHeight="1" x14ac:dyDescent="0.35">
      <c r="A25" s="11">
        <v>24</v>
      </c>
      <c r="B25" s="11" t="s">
        <v>583</v>
      </c>
      <c r="C25" s="11" t="s">
        <v>584</v>
      </c>
      <c r="D25" s="12" t="s">
        <v>585</v>
      </c>
      <c r="E25" s="19">
        <v>4</v>
      </c>
      <c r="F25" s="19">
        <v>6</v>
      </c>
      <c r="G25" s="19">
        <v>8</v>
      </c>
      <c r="H25" s="19">
        <v>0</v>
      </c>
      <c r="I25" s="19">
        <v>6</v>
      </c>
      <c r="J25" s="19">
        <v>9</v>
      </c>
      <c r="K25" s="19">
        <v>6</v>
      </c>
      <c r="L25" s="19">
        <v>9</v>
      </c>
      <c r="M25" s="19">
        <v>7</v>
      </c>
      <c r="N25" s="19">
        <v>10</v>
      </c>
      <c r="O25" s="19">
        <v>0</v>
      </c>
      <c r="P25" s="19">
        <v>4</v>
      </c>
      <c r="Q25" s="19">
        <v>7</v>
      </c>
      <c r="R25" s="19">
        <v>9</v>
      </c>
      <c r="S25" s="19">
        <v>8</v>
      </c>
      <c r="T25" s="19">
        <v>6</v>
      </c>
      <c r="U25" s="19">
        <v>5</v>
      </c>
      <c r="V25" s="19">
        <v>10</v>
      </c>
      <c r="W25" s="19">
        <v>7</v>
      </c>
      <c r="X25" s="19">
        <v>9</v>
      </c>
      <c r="Y25" s="19">
        <v>7</v>
      </c>
      <c r="Z25" s="19">
        <v>10</v>
      </c>
      <c r="AA25" s="19">
        <v>4</v>
      </c>
      <c r="AB25" s="19">
        <v>1</v>
      </c>
      <c r="AC25" s="19">
        <v>5</v>
      </c>
      <c r="AD25" s="10">
        <f t="shared" si="0"/>
        <v>157</v>
      </c>
    </row>
    <row r="26" spans="1:30" ht="21" customHeight="1" x14ac:dyDescent="0.35">
      <c r="A26" s="6">
        <v>25</v>
      </c>
      <c r="B26" s="6" t="s">
        <v>586</v>
      </c>
      <c r="C26" s="6" t="s">
        <v>587</v>
      </c>
      <c r="D26" s="7" t="s">
        <v>588</v>
      </c>
      <c r="E26" s="18">
        <v>10</v>
      </c>
      <c r="F26" s="18">
        <v>4</v>
      </c>
      <c r="G26" s="18">
        <v>10</v>
      </c>
      <c r="H26" s="18">
        <v>6</v>
      </c>
      <c r="I26" s="18">
        <v>1</v>
      </c>
      <c r="J26" s="18">
        <v>8</v>
      </c>
      <c r="K26" s="18">
        <v>3</v>
      </c>
      <c r="L26" s="18">
        <v>4</v>
      </c>
      <c r="M26" s="18">
        <v>7</v>
      </c>
      <c r="N26" s="18">
        <v>3</v>
      </c>
      <c r="O26" s="18">
        <v>0</v>
      </c>
      <c r="P26" s="18">
        <v>5</v>
      </c>
      <c r="Q26" s="18">
        <v>7</v>
      </c>
      <c r="R26" s="18">
        <v>10</v>
      </c>
      <c r="S26" s="18">
        <v>10</v>
      </c>
      <c r="T26" s="18">
        <v>2</v>
      </c>
      <c r="U26" s="18">
        <v>1</v>
      </c>
      <c r="V26" s="18">
        <v>7</v>
      </c>
      <c r="W26" s="18">
        <v>4</v>
      </c>
      <c r="X26" s="18">
        <v>5</v>
      </c>
      <c r="Y26" s="18">
        <v>7</v>
      </c>
      <c r="Z26" s="18">
        <v>3</v>
      </c>
      <c r="AA26" s="18">
        <v>0</v>
      </c>
      <c r="AB26" s="18">
        <v>0</v>
      </c>
      <c r="AC26" s="18">
        <v>8</v>
      </c>
      <c r="AD26" s="10">
        <f t="shared" si="0"/>
        <v>125</v>
      </c>
    </row>
    <row r="27" spans="1:30" ht="21" customHeight="1" x14ac:dyDescent="0.35">
      <c r="A27" s="11">
        <v>26</v>
      </c>
      <c r="B27" s="11" t="s">
        <v>589</v>
      </c>
      <c r="C27" s="11" t="s">
        <v>590</v>
      </c>
      <c r="D27" s="12" t="s">
        <v>591</v>
      </c>
      <c r="E27" s="19">
        <v>9</v>
      </c>
      <c r="F27" s="19">
        <v>5</v>
      </c>
      <c r="G27" s="19">
        <v>6</v>
      </c>
      <c r="H27" s="19">
        <v>10</v>
      </c>
      <c r="I27" s="19">
        <v>7</v>
      </c>
      <c r="J27" s="19">
        <v>2</v>
      </c>
      <c r="K27" s="19">
        <v>0</v>
      </c>
      <c r="L27" s="19">
        <v>6</v>
      </c>
      <c r="M27" s="19">
        <v>7</v>
      </c>
      <c r="N27" s="19">
        <v>7</v>
      </c>
      <c r="O27" s="19">
        <v>3</v>
      </c>
      <c r="P27" s="19">
        <v>2</v>
      </c>
      <c r="Q27" s="19">
        <v>9</v>
      </c>
      <c r="R27" s="19">
        <v>5</v>
      </c>
      <c r="S27" s="19">
        <v>10</v>
      </c>
      <c r="T27" s="19">
        <v>2</v>
      </c>
      <c r="U27" s="19">
        <v>2</v>
      </c>
      <c r="V27" s="19">
        <v>6</v>
      </c>
      <c r="W27" s="19">
        <v>7</v>
      </c>
      <c r="X27" s="19">
        <v>4</v>
      </c>
      <c r="Y27" s="19">
        <v>9</v>
      </c>
      <c r="Z27" s="19">
        <v>6</v>
      </c>
      <c r="AA27" s="19">
        <v>10</v>
      </c>
      <c r="AB27" s="19">
        <v>6</v>
      </c>
      <c r="AC27" s="19">
        <v>3</v>
      </c>
      <c r="AD27" s="10">
        <f t="shared" si="0"/>
        <v>143</v>
      </c>
    </row>
    <row r="28" spans="1:30" ht="21" customHeight="1" x14ac:dyDescent="0.35">
      <c r="A28" s="6">
        <v>27</v>
      </c>
      <c r="B28" s="6" t="s">
        <v>592</v>
      </c>
      <c r="C28" s="6" t="s">
        <v>593</v>
      </c>
      <c r="D28" s="7" t="s">
        <v>594</v>
      </c>
      <c r="E28" s="18">
        <v>4</v>
      </c>
      <c r="F28" s="18">
        <v>7</v>
      </c>
      <c r="G28" s="18">
        <v>10</v>
      </c>
      <c r="H28" s="18">
        <v>7</v>
      </c>
      <c r="I28" s="18">
        <v>9</v>
      </c>
      <c r="J28" s="18">
        <v>6</v>
      </c>
      <c r="K28" s="18">
        <v>10</v>
      </c>
      <c r="L28" s="18">
        <v>6</v>
      </c>
      <c r="M28" s="18">
        <v>7</v>
      </c>
      <c r="N28" s="18">
        <v>9</v>
      </c>
      <c r="O28" s="18">
        <v>5</v>
      </c>
      <c r="P28" s="18">
        <v>3</v>
      </c>
      <c r="Q28" s="18">
        <v>4</v>
      </c>
      <c r="R28" s="18">
        <v>2</v>
      </c>
      <c r="S28" s="18">
        <v>5</v>
      </c>
      <c r="T28" s="18">
        <v>1</v>
      </c>
      <c r="U28" s="18">
        <v>5</v>
      </c>
      <c r="V28" s="18">
        <v>7</v>
      </c>
      <c r="W28" s="18">
        <v>6</v>
      </c>
      <c r="X28" s="18">
        <v>5</v>
      </c>
      <c r="Y28" s="18">
        <v>3</v>
      </c>
      <c r="Z28" s="18">
        <v>5</v>
      </c>
      <c r="AA28" s="18">
        <v>8</v>
      </c>
      <c r="AB28" s="18">
        <v>9</v>
      </c>
      <c r="AC28" s="18">
        <v>10</v>
      </c>
      <c r="AD28" s="10">
        <f t="shared" si="0"/>
        <v>153</v>
      </c>
    </row>
    <row r="29" spans="1:30" ht="21" customHeight="1" x14ac:dyDescent="0.35">
      <c r="A29" s="11">
        <v>28</v>
      </c>
      <c r="B29" s="11" t="s">
        <v>595</v>
      </c>
      <c r="C29" s="11" t="s">
        <v>596</v>
      </c>
      <c r="D29" s="12" t="s">
        <v>597</v>
      </c>
      <c r="E29" s="19">
        <v>8</v>
      </c>
      <c r="F29" s="19">
        <v>7</v>
      </c>
      <c r="G29" s="19">
        <v>0</v>
      </c>
      <c r="H29" s="19">
        <v>2</v>
      </c>
      <c r="I29" s="19">
        <v>3</v>
      </c>
      <c r="J29" s="19">
        <v>8</v>
      </c>
      <c r="K29" s="19">
        <v>4</v>
      </c>
      <c r="L29" s="19">
        <v>4</v>
      </c>
      <c r="M29" s="19">
        <v>2</v>
      </c>
      <c r="N29" s="19">
        <v>10</v>
      </c>
      <c r="O29" s="19">
        <v>8</v>
      </c>
      <c r="P29" s="19">
        <v>6</v>
      </c>
      <c r="Q29" s="19">
        <v>7</v>
      </c>
      <c r="R29" s="19">
        <v>4</v>
      </c>
      <c r="S29" s="19">
        <v>6</v>
      </c>
      <c r="T29" s="19">
        <v>2</v>
      </c>
      <c r="U29" s="19">
        <v>1</v>
      </c>
      <c r="V29" s="19">
        <v>7</v>
      </c>
      <c r="W29" s="19">
        <v>7</v>
      </c>
      <c r="X29" s="19">
        <v>7</v>
      </c>
      <c r="Y29" s="19">
        <v>5</v>
      </c>
      <c r="Z29" s="19">
        <v>7</v>
      </c>
      <c r="AA29" s="19">
        <v>8</v>
      </c>
      <c r="AB29" s="19">
        <v>2</v>
      </c>
      <c r="AC29" s="19">
        <v>3</v>
      </c>
      <c r="AD29" s="10">
        <f t="shared" si="0"/>
        <v>128</v>
      </c>
    </row>
    <row r="30" spans="1:30" ht="21" customHeight="1" x14ac:dyDescent="0.35">
      <c r="A30" s="6">
        <v>29</v>
      </c>
      <c r="B30" s="6" t="s">
        <v>598</v>
      </c>
      <c r="C30" s="6" t="s">
        <v>599</v>
      </c>
      <c r="D30" s="7" t="s">
        <v>600</v>
      </c>
      <c r="E30" s="18">
        <v>8</v>
      </c>
      <c r="F30" s="18">
        <v>10</v>
      </c>
      <c r="G30" s="18">
        <v>1</v>
      </c>
      <c r="H30" s="18">
        <v>8</v>
      </c>
      <c r="I30" s="18">
        <v>1</v>
      </c>
      <c r="J30" s="18">
        <v>5</v>
      </c>
      <c r="K30" s="18">
        <v>4</v>
      </c>
      <c r="L30" s="18">
        <v>6</v>
      </c>
      <c r="M30" s="18">
        <v>8</v>
      </c>
      <c r="N30" s="18">
        <v>7</v>
      </c>
      <c r="O30" s="18">
        <v>4</v>
      </c>
      <c r="P30" s="18">
        <v>1</v>
      </c>
      <c r="Q30" s="18">
        <v>7</v>
      </c>
      <c r="R30" s="18">
        <v>5</v>
      </c>
      <c r="S30" s="18">
        <v>8</v>
      </c>
      <c r="T30" s="18">
        <v>8</v>
      </c>
      <c r="U30" s="18">
        <v>1</v>
      </c>
      <c r="V30" s="18">
        <v>0</v>
      </c>
      <c r="W30" s="18">
        <v>7</v>
      </c>
      <c r="X30" s="18">
        <v>7</v>
      </c>
      <c r="Y30" s="18">
        <v>9</v>
      </c>
      <c r="Z30" s="18">
        <v>5</v>
      </c>
      <c r="AA30" s="18">
        <v>10</v>
      </c>
      <c r="AB30" s="18">
        <v>6</v>
      </c>
      <c r="AC30" s="18">
        <v>10</v>
      </c>
      <c r="AD30" s="10">
        <f t="shared" si="0"/>
        <v>146</v>
      </c>
    </row>
    <row r="31" spans="1:30" ht="21" customHeight="1" x14ac:dyDescent="0.35">
      <c r="A31" s="11">
        <v>30</v>
      </c>
      <c r="B31" s="11" t="s">
        <v>601</v>
      </c>
      <c r="C31" s="11" t="s">
        <v>602</v>
      </c>
      <c r="D31" s="12" t="s">
        <v>603</v>
      </c>
      <c r="E31" s="19">
        <v>2</v>
      </c>
      <c r="F31" s="19">
        <v>5</v>
      </c>
      <c r="G31" s="19">
        <v>3</v>
      </c>
      <c r="H31" s="19">
        <v>5</v>
      </c>
      <c r="I31" s="19">
        <v>2</v>
      </c>
      <c r="J31" s="19">
        <v>5</v>
      </c>
      <c r="K31" s="19">
        <v>6</v>
      </c>
      <c r="L31" s="19">
        <v>10</v>
      </c>
      <c r="M31" s="19">
        <v>7</v>
      </c>
      <c r="N31" s="19">
        <v>5</v>
      </c>
      <c r="O31" s="19">
        <v>10</v>
      </c>
      <c r="P31" s="19">
        <v>2</v>
      </c>
      <c r="Q31" s="19">
        <v>10</v>
      </c>
      <c r="R31" s="19">
        <v>8</v>
      </c>
      <c r="S31" s="19">
        <v>0</v>
      </c>
      <c r="T31" s="19">
        <v>2</v>
      </c>
      <c r="U31" s="19">
        <v>2</v>
      </c>
      <c r="V31" s="19">
        <v>4</v>
      </c>
      <c r="W31" s="19">
        <v>7</v>
      </c>
      <c r="X31" s="19">
        <v>1</v>
      </c>
      <c r="Y31" s="19">
        <v>8</v>
      </c>
      <c r="Z31" s="19">
        <v>4</v>
      </c>
      <c r="AA31" s="19">
        <v>8</v>
      </c>
      <c r="AB31" s="19">
        <v>3</v>
      </c>
      <c r="AC31" s="19">
        <v>9</v>
      </c>
      <c r="AD31" s="10">
        <f t="shared" si="0"/>
        <v>128</v>
      </c>
    </row>
    <row r="32" spans="1:30" ht="21" customHeight="1" x14ac:dyDescent="0.35">
      <c r="A32" s="6">
        <v>31</v>
      </c>
      <c r="B32" s="6" t="s">
        <v>604</v>
      </c>
      <c r="C32" s="6" t="s">
        <v>605</v>
      </c>
      <c r="D32" s="7" t="s">
        <v>606</v>
      </c>
      <c r="E32" s="18">
        <v>4</v>
      </c>
      <c r="F32" s="18">
        <v>7</v>
      </c>
      <c r="G32" s="18">
        <v>0</v>
      </c>
      <c r="H32" s="18">
        <v>6</v>
      </c>
      <c r="I32" s="18">
        <v>9</v>
      </c>
      <c r="J32" s="18">
        <v>6</v>
      </c>
      <c r="K32" s="18">
        <v>7</v>
      </c>
      <c r="L32" s="18">
        <v>2</v>
      </c>
      <c r="M32" s="18">
        <v>7</v>
      </c>
      <c r="N32" s="18">
        <v>5</v>
      </c>
      <c r="O32" s="18">
        <v>0</v>
      </c>
      <c r="P32" s="18">
        <v>7</v>
      </c>
      <c r="Q32" s="18">
        <v>6</v>
      </c>
      <c r="R32" s="18">
        <v>5</v>
      </c>
      <c r="S32" s="18">
        <v>6</v>
      </c>
      <c r="T32" s="18">
        <v>2</v>
      </c>
      <c r="U32" s="18">
        <v>2</v>
      </c>
      <c r="V32" s="18">
        <v>7</v>
      </c>
      <c r="W32" s="18">
        <v>7</v>
      </c>
      <c r="X32" s="18">
        <v>7</v>
      </c>
      <c r="Y32" s="18">
        <v>10</v>
      </c>
      <c r="Z32" s="18">
        <v>1</v>
      </c>
      <c r="AA32" s="18">
        <v>3</v>
      </c>
      <c r="AB32" s="18">
        <v>7</v>
      </c>
      <c r="AC32" s="18">
        <v>7</v>
      </c>
      <c r="AD32" s="10">
        <f t="shared" si="0"/>
        <v>130</v>
      </c>
    </row>
    <row r="33" spans="1:30" ht="21" customHeight="1" x14ac:dyDescent="0.35">
      <c r="A33" s="11">
        <v>32</v>
      </c>
      <c r="B33" s="11" t="s">
        <v>607</v>
      </c>
      <c r="C33" s="11" t="s">
        <v>608</v>
      </c>
      <c r="D33" s="12" t="s">
        <v>609</v>
      </c>
      <c r="E33" s="19">
        <v>8</v>
      </c>
      <c r="F33" s="19">
        <v>4</v>
      </c>
      <c r="G33" s="19">
        <v>6</v>
      </c>
      <c r="H33" s="19">
        <v>8</v>
      </c>
      <c r="I33" s="19">
        <v>7</v>
      </c>
      <c r="J33" s="19">
        <v>4</v>
      </c>
      <c r="K33" s="19">
        <v>4</v>
      </c>
      <c r="L33" s="19">
        <v>5</v>
      </c>
      <c r="M33" s="19">
        <v>2</v>
      </c>
      <c r="N33" s="19">
        <v>1</v>
      </c>
      <c r="O33" s="19">
        <v>7</v>
      </c>
      <c r="P33" s="19">
        <v>9</v>
      </c>
      <c r="Q33" s="19">
        <v>0</v>
      </c>
      <c r="R33" s="19">
        <v>5</v>
      </c>
      <c r="S33" s="19">
        <v>9</v>
      </c>
      <c r="T33" s="19">
        <v>6</v>
      </c>
      <c r="U33" s="19">
        <v>1</v>
      </c>
      <c r="V33" s="19">
        <v>8</v>
      </c>
      <c r="W33" s="19">
        <v>7</v>
      </c>
      <c r="X33" s="19">
        <v>9</v>
      </c>
      <c r="Y33" s="19">
        <v>1</v>
      </c>
      <c r="Z33" s="19">
        <v>8</v>
      </c>
      <c r="AA33" s="19">
        <v>9</v>
      </c>
      <c r="AB33" s="19">
        <v>7</v>
      </c>
      <c r="AC33" s="19">
        <v>1</v>
      </c>
      <c r="AD33" s="10">
        <f t="shared" si="0"/>
        <v>136</v>
      </c>
    </row>
    <row r="34" spans="1:30" ht="21" customHeight="1" x14ac:dyDescent="0.35">
      <c r="A34" s="6">
        <v>33</v>
      </c>
      <c r="B34" s="6" t="s">
        <v>610</v>
      </c>
      <c r="C34" s="6" t="s">
        <v>611</v>
      </c>
      <c r="D34" s="7" t="s">
        <v>612</v>
      </c>
      <c r="E34" s="18">
        <v>5</v>
      </c>
      <c r="F34" s="18">
        <v>3</v>
      </c>
      <c r="G34" s="18">
        <v>6</v>
      </c>
      <c r="H34" s="18">
        <v>10</v>
      </c>
      <c r="I34" s="18">
        <v>7</v>
      </c>
      <c r="J34" s="18">
        <v>5</v>
      </c>
      <c r="K34" s="18">
        <v>4</v>
      </c>
      <c r="L34" s="18">
        <v>7</v>
      </c>
      <c r="M34" s="18">
        <v>7</v>
      </c>
      <c r="N34" s="18">
        <v>4</v>
      </c>
      <c r="O34" s="18">
        <v>3</v>
      </c>
      <c r="P34" s="18">
        <v>10</v>
      </c>
      <c r="Q34" s="18">
        <v>7</v>
      </c>
      <c r="R34" s="18">
        <v>5</v>
      </c>
      <c r="S34" s="18">
        <v>4</v>
      </c>
      <c r="T34" s="18">
        <v>9</v>
      </c>
      <c r="U34" s="18">
        <v>8</v>
      </c>
      <c r="V34" s="18">
        <v>7</v>
      </c>
      <c r="W34" s="18">
        <v>7</v>
      </c>
      <c r="X34" s="18">
        <v>7</v>
      </c>
      <c r="Y34" s="18">
        <v>7</v>
      </c>
      <c r="Z34" s="18">
        <v>9</v>
      </c>
      <c r="AA34" s="18">
        <v>4</v>
      </c>
      <c r="AB34" s="18">
        <v>7</v>
      </c>
      <c r="AC34" s="18">
        <v>8</v>
      </c>
      <c r="AD34" s="10">
        <f t="shared" si="0"/>
        <v>160</v>
      </c>
    </row>
    <row r="35" spans="1:30" ht="21" customHeight="1" x14ac:dyDescent="0.35">
      <c r="A35" s="11">
        <v>34</v>
      </c>
      <c r="B35" s="11" t="s">
        <v>613</v>
      </c>
      <c r="C35" s="11" t="s">
        <v>614</v>
      </c>
      <c r="D35" s="12" t="s">
        <v>615</v>
      </c>
      <c r="E35" s="19">
        <v>5</v>
      </c>
      <c r="F35" s="19">
        <v>7</v>
      </c>
      <c r="G35" s="19">
        <v>5</v>
      </c>
      <c r="H35" s="19">
        <v>3</v>
      </c>
      <c r="I35" s="19">
        <v>0</v>
      </c>
      <c r="J35" s="19">
        <v>9</v>
      </c>
      <c r="K35" s="19">
        <v>4</v>
      </c>
      <c r="L35" s="19">
        <v>2</v>
      </c>
      <c r="M35" s="19">
        <v>6</v>
      </c>
      <c r="N35" s="19">
        <v>0</v>
      </c>
      <c r="O35" s="19">
        <v>3</v>
      </c>
      <c r="P35" s="19">
        <v>7</v>
      </c>
      <c r="Q35" s="19">
        <v>7</v>
      </c>
      <c r="R35" s="19">
        <v>10</v>
      </c>
      <c r="S35" s="19">
        <v>2</v>
      </c>
      <c r="T35" s="19">
        <v>2</v>
      </c>
      <c r="U35" s="19">
        <v>8</v>
      </c>
      <c r="V35" s="19">
        <v>7</v>
      </c>
      <c r="W35" s="19">
        <v>7</v>
      </c>
      <c r="X35" s="19">
        <v>7</v>
      </c>
      <c r="Y35" s="19">
        <v>2</v>
      </c>
      <c r="Z35" s="19">
        <v>4</v>
      </c>
      <c r="AA35" s="19">
        <v>6</v>
      </c>
      <c r="AB35" s="19">
        <v>0</v>
      </c>
      <c r="AC35" s="19">
        <v>1</v>
      </c>
      <c r="AD35" s="10">
        <f t="shared" si="0"/>
        <v>114</v>
      </c>
    </row>
    <row r="36" spans="1:30" ht="21" customHeight="1" x14ac:dyDescent="0.35">
      <c r="A36" s="6">
        <v>35</v>
      </c>
      <c r="B36" s="6" t="s">
        <v>616</v>
      </c>
      <c r="C36" s="6" t="s">
        <v>617</v>
      </c>
      <c r="D36" s="7" t="s">
        <v>618</v>
      </c>
      <c r="E36" s="18">
        <v>3</v>
      </c>
      <c r="F36" s="18">
        <v>7</v>
      </c>
      <c r="G36" s="18">
        <v>7</v>
      </c>
      <c r="H36" s="18">
        <v>0</v>
      </c>
      <c r="I36" s="18">
        <v>2</v>
      </c>
      <c r="J36" s="18">
        <v>8</v>
      </c>
      <c r="K36" s="18">
        <v>2</v>
      </c>
      <c r="L36" s="18">
        <v>1</v>
      </c>
      <c r="M36" s="18">
        <v>7</v>
      </c>
      <c r="N36" s="18">
        <v>0</v>
      </c>
      <c r="O36" s="18">
        <v>0</v>
      </c>
      <c r="P36" s="18">
        <v>10</v>
      </c>
      <c r="Q36" s="18">
        <v>8</v>
      </c>
      <c r="R36" s="18">
        <v>6</v>
      </c>
      <c r="S36" s="18">
        <v>2</v>
      </c>
      <c r="T36" s="18">
        <v>2</v>
      </c>
      <c r="U36" s="18">
        <v>10</v>
      </c>
      <c r="V36" s="18">
        <v>7</v>
      </c>
      <c r="W36" s="18">
        <v>7</v>
      </c>
      <c r="X36" s="18">
        <v>7</v>
      </c>
      <c r="Y36" s="18">
        <v>5</v>
      </c>
      <c r="Z36" s="18">
        <v>5</v>
      </c>
      <c r="AA36" s="18">
        <v>8</v>
      </c>
      <c r="AB36" s="18">
        <v>1</v>
      </c>
      <c r="AC36" s="18">
        <v>10</v>
      </c>
      <c r="AD36" s="10">
        <f t="shared" si="0"/>
        <v>125</v>
      </c>
    </row>
    <row r="37" spans="1:30" ht="21" customHeight="1" x14ac:dyDescent="0.35">
      <c r="A37" s="11">
        <v>36</v>
      </c>
      <c r="B37" s="11" t="s">
        <v>625</v>
      </c>
      <c r="C37" s="11" t="s">
        <v>626</v>
      </c>
      <c r="D37" s="12" t="s">
        <v>627</v>
      </c>
      <c r="E37" s="19">
        <v>0</v>
      </c>
      <c r="F37" s="19">
        <v>10</v>
      </c>
      <c r="G37" s="19">
        <v>7</v>
      </c>
      <c r="H37" s="19">
        <v>10</v>
      </c>
      <c r="I37" s="19">
        <v>8</v>
      </c>
      <c r="J37" s="19">
        <v>0</v>
      </c>
      <c r="K37" s="19">
        <v>6</v>
      </c>
      <c r="L37" s="19">
        <v>9</v>
      </c>
      <c r="M37" s="19">
        <v>7</v>
      </c>
      <c r="N37" s="19">
        <v>6</v>
      </c>
      <c r="O37" s="19">
        <v>2</v>
      </c>
      <c r="P37" s="19">
        <v>7</v>
      </c>
      <c r="Q37" s="19">
        <v>7</v>
      </c>
      <c r="R37" s="19">
        <v>6</v>
      </c>
      <c r="S37" s="19">
        <v>6</v>
      </c>
      <c r="T37" s="19">
        <v>0</v>
      </c>
      <c r="U37" s="19">
        <v>3</v>
      </c>
      <c r="V37" s="19">
        <v>7</v>
      </c>
      <c r="W37" s="19">
        <v>7</v>
      </c>
      <c r="X37" s="19">
        <v>1</v>
      </c>
      <c r="Y37" s="19">
        <v>9</v>
      </c>
      <c r="Z37" s="19">
        <v>0</v>
      </c>
      <c r="AA37" s="19">
        <v>3</v>
      </c>
      <c r="AB37" s="19">
        <v>5</v>
      </c>
      <c r="AC37" s="19">
        <v>10</v>
      </c>
      <c r="AD37" s="10">
        <f t="shared" si="0"/>
        <v>136</v>
      </c>
    </row>
    <row r="38" spans="1:30" ht="21" customHeight="1" x14ac:dyDescent="0.35">
      <c r="A38" s="6">
        <v>37</v>
      </c>
      <c r="B38" s="6" t="s">
        <v>628</v>
      </c>
      <c r="C38" s="6" t="s">
        <v>629</v>
      </c>
      <c r="D38" s="7" t="s">
        <v>630</v>
      </c>
      <c r="E38" s="18">
        <v>3</v>
      </c>
      <c r="F38" s="18">
        <v>7</v>
      </c>
      <c r="G38" s="18">
        <v>5</v>
      </c>
      <c r="H38" s="18">
        <v>3</v>
      </c>
      <c r="I38" s="18">
        <v>1</v>
      </c>
      <c r="J38" s="18">
        <v>4</v>
      </c>
      <c r="K38" s="18">
        <v>5</v>
      </c>
      <c r="L38" s="18">
        <v>0</v>
      </c>
      <c r="M38" s="18">
        <v>1</v>
      </c>
      <c r="N38" s="18">
        <v>10</v>
      </c>
      <c r="O38" s="18">
        <v>3</v>
      </c>
      <c r="P38" s="18">
        <v>1</v>
      </c>
      <c r="Q38" s="18">
        <v>4</v>
      </c>
      <c r="R38" s="18">
        <v>10</v>
      </c>
      <c r="S38" s="18">
        <v>0</v>
      </c>
      <c r="T38" s="18">
        <v>10</v>
      </c>
      <c r="U38" s="18">
        <v>8</v>
      </c>
      <c r="V38" s="18">
        <v>3</v>
      </c>
      <c r="W38" s="18">
        <v>0</v>
      </c>
      <c r="X38" s="18">
        <v>6</v>
      </c>
      <c r="Y38" s="18">
        <v>7</v>
      </c>
      <c r="Z38" s="18">
        <v>4</v>
      </c>
      <c r="AA38" s="18">
        <v>8</v>
      </c>
      <c r="AB38" s="18">
        <v>4</v>
      </c>
      <c r="AC38" s="18">
        <v>7</v>
      </c>
      <c r="AD38" s="10">
        <f t="shared" si="0"/>
        <v>114</v>
      </c>
    </row>
    <row r="39" spans="1:30" ht="21" customHeight="1" x14ac:dyDescent="0.35">
      <c r="A39" s="1"/>
      <c r="B39" s="1"/>
      <c r="C39" s="1"/>
      <c r="D39" s="1"/>
      <c r="E39" s="19">
        <v>1</v>
      </c>
      <c r="F39" s="19">
        <v>1</v>
      </c>
      <c r="G39" s="19">
        <v>3</v>
      </c>
      <c r="H39" s="19">
        <v>6</v>
      </c>
      <c r="I39" s="19">
        <v>2</v>
      </c>
      <c r="J39" s="19">
        <v>4</v>
      </c>
      <c r="K39" s="19">
        <v>6</v>
      </c>
      <c r="L39" s="19">
        <v>0</v>
      </c>
      <c r="M39" s="19">
        <v>9</v>
      </c>
      <c r="N39" s="19">
        <v>1</v>
      </c>
      <c r="O39" s="19">
        <v>4</v>
      </c>
      <c r="P39" s="19">
        <v>10</v>
      </c>
      <c r="Q39" s="19">
        <v>9</v>
      </c>
      <c r="R39" s="19">
        <v>6</v>
      </c>
      <c r="S39" s="19">
        <v>7</v>
      </c>
      <c r="T39" s="19">
        <v>9</v>
      </c>
      <c r="U39" s="19">
        <v>8</v>
      </c>
      <c r="V39" s="19">
        <v>6</v>
      </c>
      <c r="W39" s="19">
        <v>5</v>
      </c>
      <c r="X39" s="19">
        <v>6</v>
      </c>
      <c r="Y39" s="19">
        <v>2</v>
      </c>
      <c r="Z39" s="19">
        <v>9</v>
      </c>
      <c r="AA39" s="19">
        <v>2</v>
      </c>
      <c r="AB39" s="19">
        <v>8</v>
      </c>
      <c r="AC39" s="19">
        <v>1</v>
      </c>
      <c r="AD39" s="10">
        <v>9</v>
      </c>
    </row>
  </sheetData>
  <autoFilter ref="A1:AD39" xr:uid="{00000000-0009-0000-0000-00000A000000}"/>
  <conditionalFormatting sqref="B1:D1">
    <cfRule type="cellIs" dxfId="35" priority="2" operator="equal">
      <formula>"Present"</formula>
    </cfRule>
    <cfRule type="cellIs" dxfId="34" priority="3" operator="equal">
      <formula>"Absent"</formula>
    </cfRule>
  </conditionalFormatting>
  <conditionalFormatting sqref="E2:AD39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  <pageSetUpPr fitToPage="1"/>
  </sheetPr>
  <dimension ref="A1:AD43"/>
  <sheetViews>
    <sheetView showGridLines="0" zoomScale="8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</cols>
  <sheetData>
    <row r="1" spans="1:30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21" customHeight="1" x14ac:dyDescent="0.35">
      <c r="A2" s="6">
        <v>1</v>
      </c>
      <c r="B2" s="6" t="s">
        <v>30</v>
      </c>
      <c r="C2" s="6" t="s">
        <v>31</v>
      </c>
      <c r="D2" s="7" t="s">
        <v>32</v>
      </c>
      <c r="E2" s="18">
        <v>1</v>
      </c>
      <c r="F2" s="18">
        <v>2</v>
      </c>
      <c r="G2" s="18">
        <v>5</v>
      </c>
      <c r="H2" s="18">
        <v>7</v>
      </c>
      <c r="I2" s="18">
        <v>-2</v>
      </c>
      <c r="J2" s="18">
        <v>2</v>
      </c>
      <c r="K2" s="18">
        <v>1</v>
      </c>
      <c r="L2" s="18">
        <v>2</v>
      </c>
      <c r="M2" s="18">
        <v>7</v>
      </c>
      <c r="N2" s="18">
        <v>4</v>
      </c>
      <c r="O2" s="18">
        <v>5</v>
      </c>
      <c r="P2" s="18">
        <v>6</v>
      </c>
      <c r="Q2" s="18">
        <v>10</v>
      </c>
      <c r="R2" s="18">
        <v>2</v>
      </c>
      <c r="S2" s="18">
        <v>3</v>
      </c>
      <c r="T2" s="18">
        <v>2</v>
      </c>
      <c r="U2" s="18">
        <v>3</v>
      </c>
      <c r="V2" s="18">
        <v>7</v>
      </c>
      <c r="W2" s="18">
        <v>2</v>
      </c>
      <c r="X2" s="18">
        <v>4</v>
      </c>
      <c r="Y2" s="18">
        <v>7</v>
      </c>
      <c r="Z2" s="18">
        <v>1</v>
      </c>
      <c r="AA2" s="18">
        <v>4</v>
      </c>
      <c r="AB2" s="18">
        <v>10</v>
      </c>
      <c r="AC2" s="18">
        <v>2</v>
      </c>
      <c r="AD2" s="10">
        <f t="shared" ref="AD2:AD42" si="0">SUM(E2:AC2)</f>
        <v>97</v>
      </c>
    </row>
    <row r="3" spans="1:30" ht="21" customHeight="1" x14ac:dyDescent="0.35">
      <c r="A3" s="11">
        <v>2</v>
      </c>
      <c r="B3" s="11" t="s">
        <v>33</v>
      </c>
      <c r="C3" s="11" t="s">
        <v>34</v>
      </c>
      <c r="D3" s="12" t="s">
        <v>35</v>
      </c>
      <c r="E3" s="19">
        <v>10</v>
      </c>
      <c r="F3" s="19">
        <v>2</v>
      </c>
      <c r="G3" s="19">
        <v>10</v>
      </c>
      <c r="H3" s="19">
        <v>7</v>
      </c>
      <c r="I3" s="19">
        <v>-2</v>
      </c>
      <c r="J3" s="19">
        <v>8</v>
      </c>
      <c r="K3" s="19">
        <v>4</v>
      </c>
      <c r="L3" s="19">
        <v>2</v>
      </c>
      <c r="M3" s="19">
        <v>2</v>
      </c>
      <c r="N3" s="19">
        <v>3</v>
      </c>
      <c r="O3" s="19">
        <v>5</v>
      </c>
      <c r="P3" s="19">
        <v>8</v>
      </c>
      <c r="Q3" s="19">
        <v>0</v>
      </c>
      <c r="R3" s="19">
        <v>2</v>
      </c>
      <c r="S3" s="19">
        <v>2</v>
      </c>
      <c r="T3" s="19">
        <v>3</v>
      </c>
      <c r="U3" s="19">
        <v>6</v>
      </c>
      <c r="V3" s="19">
        <v>10</v>
      </c>
      <c r="W3" s="19">
        <v>9</v>
      </c>
      <c r="X3" s="19">
        <v>5</v>
      </c>
      <c r="Y3" s="19">
        <v>4</v>
      </c>
      <c r="Z3" s="19">
        <v>9</v>
      </c>
      <c r="AA3" s="19">
        <v>10</v>
      </c>
      <c r="AB3" s="19">
        <v>7</v>
      </c>
      <c r="AC3" s="19">
        <v>5</v>
      </c>
      <c r="AD3" s="10">
        <f t="shared" si="0"/>
        <v>131</v>
      </c>
    </row>
    <row r="4" spans="1:30" ht="21" customHeight="1" x14ac:dyDescent="0.35">
      <c r="A4" s="6">
        <v>3</v>
      </c>
      <c r="B4" s="6" t="s">
        <v>36</v>
      </c>
      <c r="C4" s="6" t="s">
        <v>37</v>
      </c>
      <c r="D4" s="7" t="s">
        <v>38</v>
      </c>
      <c r="E4" s="18">
        <v>7</v>
      </c>
      <c r="F4" s="18">
        <v>10</v>
      </c>
      <c r="G4" s="18">
        <v>7</v>
      </c>
      <c r="H4" s="18">
        <v>7</v>
      </c>
      <c r="I4" s="18">
        <v>-2</v>
      </c>
      <c r="J4" s="18">
        <v>8</v>
      </c>
      <c r="K4" s="18">
        <v>1</v>
      </c>
      <c r="L4" s="18">
        <v>3</v>
      </c>
      <c r="M4" s="18">
        <v>2</v>
      </c>
      <c r="N4" s="18">
        <v>3</v>
      </c>
      <c r="O4" s="18">
        <v>5</v>
      </c>
      <c r="P4" s="18">
        <v>10</v>
      </c>
      <c r="Q4" s="18">
        <v>9</v>
      </c>
      <c r="R4" s="18">
        <v>5</v>
      </c>
      <c r="S4" s="18">
        <v>10</v>
      </c>
      <c r="T4" s="18">
        <v>1</v>
      </c>
      <c r="U4" s="18">
        <v>2</v>
      </c>
      <c r="V4" s="18">
        <v>10</v>
      </c>
      <c r="W4" s="18">
        <v>7</v>
      </c>
      <c r="X4" s="18">
        <v>2</v>
      </c>
      <c r="Y4" s="18">
        <v>5</v>
      </c>
      <c r="Z4" s="18">
        <v>7</v>
      </c>
      <c r="AA4" s="18">
        <v>4</v>
      </c>
      <c r="AB4" s="18">
        <v>2</v>
      </c>
      <c r="AC4" s="18">
        <v>0</v>
      </c>
      <c r="AD4" s="10">
        <f t="shared" si="0"/>
        <v>125</v>
      </c>
    </row>
    <row r="5" spans="1:30" ht="21" customHeight="1" x14ac:dyDescent="0.35">
      <c r="A5" s="11">
        <v>4</v>
      </c>
      <c r="B5" s="11" t="s">
        <v>39</v>
      </c>
      <c r="C5" s="11" t="s">
        <v>40</v>
      </c>
      <c r="D5" s="12" t="s">
        <v>41</v>
      </c>
      <c r="E5" s="19">
        <v>3</v>
      </c>
      <c r="F5" s="19">
        <v>2</v>
      </c>
      <c r="G5" s="19">
        <v>9</v>
      </c>
      <c r="H5" s="19">
        <v>4</v>
      </c>
      <c r="I5" s="19">
        <v>9</v>
      </c>
      <c r="J5" s="19">
        <v>7</v>
      </c>
      <c r="K5" s="19">
        <v>0</v>
      </c>
      <c r="L5" s="19">
        <v>4</v>
      </c>
      <c r="M5" s="19">
        <v>2</v>
      </c>
      <c r="N5" s="19">
        <v>6</v>
      </c>
      <c r="O5" s="19">
        <v>5</v>
      </c>
      <c r="P5" s="19">
        <v>2</v>
      </c>
      <c r="Q5" s="19">
        <v>7</v>
      </c>
      <c r="R5" s="19">
        <v>7</v>
      </c>
      <c r="S5" s="19">
        <v>8</v>
      </c>
      <c r="T5" s="19">
        <v>5</v>
      </c>
      <c r="U5" s="19">
        <v>2</v>
      </c>
      <c r="V5" s="19">
        <v>3</v>
      </c>
      <c r="W5" s="19">
        <v>1</v>
      </c>
      <c r="X5" s="19">
        <v>10</v>
      </c>
      <c r="Y5" s="19">
        <v>0</v>
      </c>
      <c r="Z5" s="19">
        <v>1</v>
      </c>
      <c r="AA5" s="19">
        <v>6</v>
      </c>
      <c r="AB5" s="19">
        <v>9</v>
      </c>
      <c r="AC5" s="19">
        <v>0</v>
      </c>
      <c r="AD5" s="10">
        <f t="shared" si="0"/>
        <v>112</v>
      </c>
    </row>
    <row r="6" spans="1:30" ht="21" customHeight="1" x14ac:dyDescent="0.35">
      <c r="A6" s="6">
        <v>5</v>
      </c>
      <c r="B6" s="6" t="s">
        <v>42</v>
      </c>
      <c r="C6" s="6" t="s">
        <v>43</v>
      </c>
      <c r="D6" s="7" t="s">
        <v>44</v>
      </c>
      <c r="E6" s="18">
        <v>2</v>
      </c>
      <c r="F6" s="18">
        <v>5</v>
      </c>
      <c r="G6" s="18">
        <v>9</v>
      </c>
      <c r="H6" s="18">
        <v>7</v>
      </c>
      <c r="I6" s="18">
        <v>-2</v>
      </c>
      <c r="J6" s="18">
        <v>4</v>
      </c>
      <c r="K6" s="18">
        <v>7</v>
      </c>
      <c r="L6" s="18">
        <v>4</v>
      </c>
      <c r="M6" s="18">
        <v>2</v>
      </c>
      <c r="N6" s="18">
        <v>5</v>
      </c>
      <c r="O6" s="18">
        <v>2</v>
      </c>
      <c r="P6" s="18">
        <v>1</v>
      </c>
      <c r="Q6" s="18">
        <v>0</v>
      </c>
      <c r="R6" s="18">
        <v>2</v>
      </c>
      <c r="S6" s="18">
        <v>6</v>
      </c>
      <c r="T6" s="18">
        <v>5</v>
      </c>
      <c r="U6" s="18">
        <v>2</v>
      </c>
      <c r="V6" s="18">
        <v>6</v>
      </c>
      <c r="W6" s="18">
        <v>5</v>
      </c>
      <c r="X6" s="18">
        <v>2</v>
      </c>
      <c r="Y6" s="18">
        <v>5</v>
      </c>
      <c r="Z6" s="18">
        <v>3</v>
      </c>
      <c r="AA6" s="18">
        <v>0</v>
      </c>
      <c r="AB6" s="18">
        <v>6</v>
      </c>
      <c r="AC6" s="18">
        <v>4</v>
      </c>
      <c r="AD6" s="10">
        <f t="shared" si="0"/>
        <v>92</v>
      </c>
    </row>
    <row r="7" spans="1:30" ht="21" customHeight="1" x14ac:dyDescent="0.35">
      <c r="A7" s="11">
        <v>6</v>
      </c>
      <c r="B7" s="11" t="s">
        <v>45</v>
      </c>
      <c r="C7" s="11" t="s">
        <v>46</v>
      </c>
      <c r="D7" s="12" t="s">
        <v>47</v>
      </c>
      <c r="E7" s="19">
        <v>5</v>
      </c>
      <c r="F7" s="19">
        <v>5</v>
      </c>
      <c r="G7" s="19">
        <v>3</v>
      </c>
      <c r="H7" s="19">
        <v>0</v>
      </c>
      <c r="I7" s="19">
        <v>0</v>
      </c>
      <c r="J7" s="19">
        <v>3</v>
      </c>
      <c r="K7" s="19">
        <v>10</v>
      </c>
      <c r="L7" s="19">
        <v>1</v>
      </c>
      <c r="M7" s="19">
        <v>3</v>
      </c>
      <c r="N7" s="19">
        <v>9</v>
      </c>
      <c r="O7" s="19">
        <v>10</v>
      </c>
      <c r="P7" s="19">
        <v>10</v>
      </c>
      <c r="Q7" s="19">
        <v>7</v>
      </c>
      <c r="R7" s="19">
        <v>3</v>
      </c>
      <c r="S7" s="19">
        <v>4</v>
      </c>
      <c r="T7" s="19">
        <v>3</v>
      </c>
      <c r="U7" s="19">
        <v>4</v>
      </c>
      <c r="V7" s="19">
        <v>7</v>
      </c>
      <c r="W7" s="19">
        <v>5</v>
      </c>
      <c r="X7" s="19">
        <v>9</v>
      </c>
      <c r="Y7" s="19">
        <v>2</v>
      </c>
      <c r="Z7" s="19">
        <v>0</v>
      </c>
      <c r="AA7" s="19">
        <v>2</v>
      </c>
      <c r="AB7" s="19">
        <v>6</v>
      </c>
      <c r="AC7" s="19">
        <v>9</v>
      </c>
      <c r="AD7" s="10">
        <f t="shared" si="0"/>
        <v>120</v>
      </c>
    </row>
    <row r="8" spans="1:30" ht="21" customHeight="1" x14ac:dyDescent="0.35">
      <c r="A8" s="6">
        <v>7</v>
      </c>
      <c r="B8" s="6" t="s">
        <v>48</v>
      </c>
      <c r="C8" s="6" t="s">
        <v>49</v>
      </c>
      <c r="D8" s="7" t="s">
        <v>50</v>
      </c>
      <c r="E8" s="18">
        <v>5</v>
      </c>
      <c r="F8" s="18">
        <v>10</v>
      </c>
      <c r="G8" s="18">
        <v>4</v>
      </c>
      <c r="H8" s="18">
        <v>7</v>
      </c>
      <c r="I8" s="18">
        <v>4</v>
      </c>
      <c r="J8" s="18">
        <v>2</v>
      </c>
      <c r="K8" s="18">
        <v>2</v>
      </c>
      <c r="L8" s="18">
        <v>5</v>
      </c>
      <c r="M8" s="18">
        <v>2</v>
      </c>
      <c r="N8" s="18">
        <v>5</v>
      </c>
      <c r="O8" s="18">
        <v>1</v>
      </c>
      <c r="P8" s="18">
        <v>2</v>
      </c>
      <c r="Q8" s="18">
        <v>9</v>
      </c>
      <c r="R8" s="18">
        <v>2</v>
      </c>
      <c r="S8" s="18">
        <v>3</v>
      </c>
      <c r="T8" s="18">
        <v>7</v>
      </c>
      <c r="U8" s="18">
        <v>8</v>
      </c>
      <c r="V8" s="18">
        <v>2</v>
      </c>
      <c r="W8" s="18">
        <v>3</v>
      </c>
      <c r="X8" s="18">
        <v>9</v>
      </c>
      <c r="Y8" s="18">
        <v>0</v>
      </c>
      <c r="Z8" s="18">
        <v>4</v>
      </c>
      <c r="AA8" s="18">
        <v>4</v>
      </c>
      <c r="AB8" s="18">
        <v>9</v>
      </c>
      <c r="AC8" s="18">
        <v>1</v>
      </c>
      <c r="AD8" s="10">
        <f t="shared" si="0"/>
        <v>110</v>
      </c>
    </row>
    <row r="9" spans="1:30" ht="21" customHeight="1" x14ac:dyDescent="0.35">
      <c r="A9" s="11">
        <v>8</v>
      </c>
      <c r="B9" s="11" t="s">
        <v>51</v>
      </c>
      <c r="C9" s="11" t="s">
        <v>52</v>
      </c>
      <c r="D9" s="12" t="s">
        <v>53</v>
      </c>
      <c r="E9" s="19">
        <v>8</v>
      </c>
      <c r="F9" s="19">
        <v>2</v>
      </c>
      <c r="G9" s="19">
        <v>3</v>
      </c>
      <c r="H9" s="19">
        <v>7</v>
      </c>
      <c r="I9" s="19">
        <v>-2</v>
      </c>
      <c r="J9" s="19">
        <v>3</v>
      </c>
      <c r="K9" s="19">
        <v>1</v>
      </c>
      <c r="L9" s="19">
        <v>2</v>
      </c>
      <c r="M9" s="19">
        <v>2</v>
      </c>
      <c r="N9" s="19">
        <v>3</v>
      </c>
      <c r="O9" s="19">
        <v>4</v>
      </c>
      <c r="P9" s="19">
        <v>5</v>
      </c>
      <c r="Q9" s="19">
        <v>2</v>
      </c>
      <c r="R9" s="19">
        <v>5</v>
      </c>
      <c r="S9" s="19">
        <v>10</v>
      </c>
      <c r="T9" s="19">
        <v>5</v>
      </c>
      <c r="U9" s="19">
        <v>4</v>
      </c>
      <c r="V9" s="19">
        <v>2</v>
      </c>
      <c r="W9" s="19">
        <v>2</v>
      </c>
      <c r="X9" s="19">
        <v>6</v>
      </c>
      <c r="Y9" s="19">
        <v>8</v>
      </c>
      <c r="Z9" s="19">
        <v>7</v>
      </c>
      <c r="AA9" s="19">
        <v>6</v>
      </c>
      <c r="AB9" s="19">
        <v>7</v>
      </c>
      <c r="AC9" s="19">
        <v>8</v>
      </c>
      <c r="AD9" s="10">
        <f t="shared" si="0"/>
        <v>110</v>
      </c>
    </row>
    <row r="10" spans="1:30" ht="21" customHeight="1" x14ac:dyDescent="0.35">
      <c r="A10" s="6">
        <v>9</v>
      </c>
      <c r="B10" s="6" t="s">
        <v>54</v>
      </c>
      <c r="C10" s="6" t="s">
        <v>55</v>
      </c>
      <c r="D10" s="7" t="s">
        <v>56</v>
      </c>
      <c r="E10" s="18">
        <v>9</v>
      </c>
      <c r="F10" s="18">
        <v>2</v>
      </c>
      <c r="G10" s="18">
        <v>4</v>
      </c>
      <c r="H10" s="18">
        <v>7</v>
      </c>
      <c r="I10" s="18">
        <v>-2</v>
      </c>
      <c r="J10" s="18">
        <v>5</v>
      </c>
      <c r="K10" s="18">
        <v>1</v>
      </c>
      <c r="L10" s="18">
        <v>3</v>
      </c>
      <c r="M10" s="18">
        <v>2</v>
      </c>
      <c r="N10" s="18">
        <v>3</v>
      </c>
      <c r="O10" s="18">
        <v>5</v>
      </c>
      <c r="P10" s="18">
        <v>8</v>
      </c>
      <c r="Q10" s="18">
        <v>10</v>
      </c>
      <c r="R10" s="18">
        <v>6</v>
      </c>
      <c r="S10" s="18">
        <v>10</v>
      </c>
      <c r="T10" s="18">
        <v>2</v>
      </c>
      <c r="U10" s="18">
        <v>1</v>
      </c>
      <c r="V10" s="18">
        <v>10</v>
      </c>
      <c r="W10" s="18">
        <v>0</v>
      </c>
      <c r="X10" s="18">
        <v>8</v>
      </c>
      <c r="Y10" s="18">
        <v>0</v>
      </c>
      <c r="Z10" s="18">
        <v>3</v>
      </c>
      <c r="AA10" s="18">
        <v>2</v>
      </c>
      <c r="AB10" s="18">
        <v>0</v>
      </c>
      <c r="AC10" s="18">
        <v>8</v>
      </c>
      <c r="AD10" s="10">
        <f t="shared" si="0"/>
        <v>107</v>
      </c>
    </row>
    <row r="11" spans="1:30" ht="21" customHeight="1" x14ac:dyDescent="0.35">
      <c r="A11" s="11">
        <v>10</v>
      </c>
      <c r="B11" s="11" t="s">
        <v>57</v>
      </c>
      <c r="C11" s="11" t="s">
        <v>58</v>
      </c>
      <c r="D11" s="12" t="s">
        <v>59</v>
      </c>
      <c r="E11" s="19">
        <v>7</v>
      </c>
      <c r="F11" s="19">
        <v>2</v>
      </c>
      <c r="G11" s="19">
        <v>4</v>
      </c>
      <c r="H11" s="19">
        <v>7</v>
      </c>
      <c r="I11" s="19">
        <v>5</v>
      </c>
      <c r="J11" s="19">
        <v>9</v>
      </c>
      <c r="K11" s="19">
        <v>2</v>
      </c>
      <c r="L11" s="19">
        <v>5</v>
      </c>
      <c r="M11" s="19">
        <v>2</v>
      </c>
      <c r="N11" s="19">
        <v>2</v>
      </c>
      <c r="O11" s="19">
        <v>5</v>
      </c>
      <c r="P11" s="19">
        <v>4</v>
      </c>
      <c r="Q11" s="19">
        <v>2</v>
      </c>
      <c r="R11" s="19">
        <v>2</v>
      </c>
      <c r="S11" s="19">
        <v>2</v>
      </c>
      <c r="T11" s="19">
        <v>4</v>
      </c>
      <c r="U11" s="19">
        <v>10</v>
      </c>
      <c r="V11" s="19">
        <v>3</v>
      </c>
      <c r="W11" s="19">
        <v>0</v>
      </c>
      <c r="X11" s="19">
        <v>7</v>
      </c>
      <c r="Y11" s="19">
        <v>4</v>
      </c>
      <c r="Z11" s="19">
        <v>10</v>
      </c>
      <c r="AA11" s="19">
        <v>6</v>
      </c>
      <c r="AB11" s="19">
        <v>7</v>
      </c>
      <c r="AC11" s="19">
        <v>8</v>
      </c>
      <c r="AD11" s="10">
        <f t="shared" si="0"/>
        <v>119</v>
      </c>
    </row>
    <row r="12" spans="1:30" ht="21" customHeight="1" x14ac:dyDescent="0.35">
      <c r="A12" s="6">
        <v>11</v>
      </c>
      <c r="B12" s="6" t="s">
        <v>60</v>
      </c>
      <c r="C12" s="6" t="s">
        <v>61</v>
      </c>
      <c r="D12" s="7" t="s">
        <v>62</v>
      </c>
      <c r="E12" s="18">
        <v>6</v>
      </c>
      <c r="F12" s="18">
        <v>2</v>
      </c>
      <c r="G12" s="18">
        <v>6</v>
      </c>
      <c r="H12" s="18">
        <v>10</v>
      </c>
      <c r="I12" s="18">
        <v>2</v>
      </c>
      <c r="J12" s="18">
        <v>1</v>
      </c>
      <c r="K12" s="18">
        <v>2</v>
      </c>
      <c r="L12" s="18">
        <v>3</v>
      </c>
      <c r="M12" s="18">
        <v>2</v>
      </c>
      <c r="N12" s="18">
        <v>5</v>
      </c>
      <c r="O12" s="18">
        <v>5</v>
      </c>
      <c r="P12" s="18">
        <v>6</v>
      </c>
      <c r="Q12" s="18">
        <v>2</v>
      </c>
      <c r="R12" s="18">
        <v>2</v>
      </c>
      <c r="S12" s="18">
        <v>1</v>
      </c>
      <c r="T12" s="18">
        <v>0</v>
      </c>
      <c r="U12" s="18">
        <v>2</v>
      </c>
      <c r="V12" s="18">
        <v>3</v>
      </c>
      <c r="W12" s="18">
        <v>10</v>
      </c>
      <c r="X12" s="18">
        <v>8</v>
      </c>
      <c r="Y12" s="18">
        <v>8</v>
      </c>
      <c r="Z12" s="18">
        <v>3</v>
      </c>
      <c r="AA12" s="18">
        <v>3</v>
      </c>
      <c r="AB12" s="18">
        <v>1</v>
      </c>
      <c r="AC12" s="18">
        <v>8</v>
      </c>
      <c r="AD12" s="10">
        <f t="shared" si="0"/>
        <v>101</v>
      </c>
    </row>
    <row r="13" spans="1:30" ht="21" customHeight="1" x14ac:dyDescent="0.35">
      <c r="A13" s="11">
        <v>12</v>
      </c>
      <c r="B13" s="11" t="s">
        <v>63</v>
      </c>
      <c r="C13" s="11" t="s">
        <v>64</v>
      </c>
      <c r="D13" s="12" t="s">
        <v>65</v>
      </c>
      <c r="E13" s="19">
        <v>5</v>
      </c>
      <c r="F13" s="19">
        <v>2</v>
      </c>
      <c r="G13" s="19">
        <v>10</v>
      </c>
      <c r="H13" s="19">
        <v>5</v>
      </c>
      <c r="I13" s="19">
        <v>-2</v>
      </c>
      <c r="J13" s="19">
        <v>1</v>
      </c>
      <c r="K13" s="19">
        <v>4</v>
      </c>
      <c r="L13" s="19">
        <v>5</v>
      </c>
      <c r="M13" s="19">
        <v>2</v>
      </c>
      <c r="N13" s="19">
        <v>4</v>
      </c>
      <c r="O13" s="19">
        <v>5</v>
      </c>
      <c r="P13" s="19">
        <v>5</v>
      </c>
      <c r="Q13" s="19">
        <v>4</v>
      </c>
      <c r="R13" s="19">
        <v>2</v>
      </c>
      <c r="S13" s="19">
        <v>2</v>
      </c>
      <c r="T13" s="19">
        <v>10</v>
      </c>
      <c r="U13" s="19">
        <v>8</v>
      </c>
      <c r="V13" s="19">
        <v>1</v>
      </c>
      <c r="W13" s="19">
        <v>6</v>
      </c>
      <c r="X13" s="19">
        <v>1</v>
      </c>
      <c r="Y13" s="19">
        <v>5</v>
      </c>
      <c r="Z13" s="19">
        <v>1</v>
      </c>
      <c r="AA13" s="19">
        <v>9</v>
      </c>
      <c r="AB13" s="19">
        <v>0</v>
      </c>
      <c r="AC13" s="19">
        <v>9</v>
      </c>
      <c r="AD13" s="10">
        <f t="shared" si="0"/>
        <v>104</v>
      </c>
    </row>
    <row r="14" spans="1:30" ht="21" customHeight="1" x14ac:dyDescent="0.35">
      <c r="A14" s="6">
        <v>13</v>
      </c>
      <c r="B14" s="6" t="s">
        <v>66</v>
      </c>
      <c r="C14" s="6" t="s">
        <v>67</v>
      </c>
      <c r="D14" s="7" t="s">
        <v>68</v>
      </c>
      <c r="E14" s="18">
        <v>8</v>
      </c>
      <c r="F14" s="18">
        <v>2</v>
      </c>
      <c r="G14" s="18">
        <v>3</v>
      </c>
      <c r="H14" s="18">
        <v>7</v>
      </c>
      <c r="I14" s="18">
        <v>-2</v>
      </c>
      <c r="J14" s="18">
        <v>2</v>
      </c>
      <c r="K14" s="18">
        <v>0</v>
      </c>
      <c r="L14" s="18">
        <v>2</v>
      </c>
      <c r="M14" s="18">
        <v>2</v>
      </c>
      <c r="N14" s="18">
        <v>4</v>
      </c>
      <c r="O14" s="18">
        <v>0</v>
      </c>
      <c r="P14" s="18">
        <v>7</v>
      </c>
      <c r="Q14" s="18">
        <v>3</v>
      </c>
      <c r="R14" s="18">
        <v>2</v>
      </c>
      <c r="S14" s="18">
        <v>0</v>
      </c>
      <c r="T14" s="18">
        <v>8</v>
      </c>
      <c r="U14" s="18">
        <v>7</v>
      </c>
      <c r="V14" s="18">
        <v>3</v>
      </c>
      <c r="W14" s="18">
        <v>1</v>
      </c>
      <c r="X14" s="18">
        <v>9</v>
      </c>
      <c r="Y14" s="18">
        <v>1</v>
      </c>
      <c r="Z14" s="18">
        <v>7</v>
      </c>
      <c r="AA14" s="18">
        <v>9</v>
      </c>
      <c r="AB14" s="18">
        <v>1</v>
      </c>
      <c r="AC14" s="18">
        <v>4</v>
      </c>
      <c r="AD14" s="10">
        <f t="shared" si="0"/>
        <v>90</v>
      </c>
    </row>
    <row r="15" spans="1:30" ht="21" customHeight="1" x14ac:dyDescent="0.35">
      <c r="A15" s="11">
        <v>14</v>
      </c>
      <c r="B15" s="11" t="s">
        <v>69</v>
      </c>
      <c r="C15" s="11" t="s">
        <v>70</v>
      </c>
      <c r="D15" s="12" t="s">
        <v>71</v>
      </c>
      <c r="E15" s="19">
        <v>6</v>
      </c>
      <c r="F15" s="19">
        <v>2</v>
      </c>
      <c r="G15" s="19">
        <v>5</v>
      </c>
      <c r="H15" s="19">
        <v>7</v>
      </c>
      <c r="I15" s="19">
        <v>-2</v>
      </c>
      <c r="J15" s="19">
        <v>8</v>
      </c>
      <c r="K15" s="19">
        <v>3</v>
      </c>
      <c r="L15" s="19">
        <v>7</v>
      </c>
      <c r="M15" s="19">
        <v>2</v>
      </c>
      <c r="N15" s="19">
        <v>5</v>
      </c>
      <c r="O15" s="19">
        <v>5</v>
      </c>
      <c r="P15" s="19">
        <v>5</v>
      </c>
      <c r="Q15" s="19">
        <v>4</v>
      </c>
      <c r="R15" s="19">
        <v>2</v>
      </c>
      <c r="S15" s="19">
        <v>10</v>
      </c>
      <c r="T15" s="19">
        <v>0</v>
      </c>
      <c r="U15" s="19">
        <v>8</v>
      </c>
      <c r="V15" s="19">
        <v>0</v>
      </c>
      <c r="W15" s="19">
        <v>7</v>
      </c>
      <c r="X15" s="19">
        <v>5</v>
      </c>
      <c r="Y15" s="19">
        <v>0</v>
      </c>
      <c r="Z15" s="19">
        <v>1</v>
      </c>
      <c r="AA15" s="19">
        <v>0</v>
      </c>
      <c r="AB15" s="19">
        <v>1</v>
      </c>
      <c r="AC15" s="19">
        <v>0</v>
      </c>
      <c r="AD15" s="10">
        <f t="shared" si="0"/>
        <v>91</v>
      </c>
    </row>
    <row r="16" spans="1:30" ht="21" customHeight="1" x14ac:dyDescent="0.35">
      <c r="A16" s="6">
        <v>15</v>
      </c>
      <c r="B16" s="6" t="s">
        <v>72</v>
      </c>
      <c r="C16" s="6" t="s">
        <v>73</v>
      </c>
      <c r="D16" s="7" t="s">
        <v>74</v>
      </c>
      <c r="E16" s="18">
        <v>3</v>
      </c>
      <c r="F16" s="18">
        <v>2</v>
      </c>
      <c r="G16" s="18">
        <v>6</v>
      </c>
      <c r="H16" s="18">
        <v>7</v>
      </c>
      <c r="I16" s="18">
        <v>-2</v>
      </c>
      <c r="J16" s="18">
        <v>0</v>
      </c>
      <c r="K16" s="18">
        <v>5</v>
      </c>
      <c r="L16" s="18">
        <v>7</v>
      </c>
      <c r="M16" s="18">
        <v>2</v>
      </c>
      <c r="N16" s="18">
        <v>5</v>
      </c>
      <c r="O16" s="18">
        <v>0</v>
      </c>
      <c r="P16" s="18">
        <v>3</v>
      </c>
      <c r="Q16" s="18">
        <v>6</v>
      </c>
      <c r="R16" s="18">
        <v>10</v>
      </c>
      <c r="S16" s="18">
        <v>10</v>
      </c>
      <c r="T16" s="18">
        <v>10</v>
      </c>
      <c r="U16" s="18">
        <v>10</v>
      </c>
      <c r="V16" s="18">
        <v>7</v>
      </c>
      <c r="W16" s="18">
        <v>3</v>
      </c>
      <c r="X16" s="18">
        <v>8</v>
      </c>
      <c r="Y16" s="18">
        <v>10</v>
      </c>
      <c r="Z16" s="18">
        <v>4</v>
      </c>
      <c r="AA16" s="18">
        <v>6</v>
      </c>
      <c r="AB16" s="18">
        <v>9</v>
      </c>
      <c r="AC16" s="18">
        <v>7</v>
      </c>
      <c r="AD16" s="10">
        <f t="shared" si="0"/>
        <v>138</v>
      </c>
    </row>
    <row r="17" spans="1:30" ht="21" customHeight="1" x14ac:dyDescent="0.35">
      <c r="A17" s="11">
        <v>16</v>
      </c>
      <c r="B17" s="11" t="s">
        <v>75</v>
      </c>
      <c r="C17" s="11" t="s">
        <v>76</v>
      </c>
      <c r="D17" s="12" t="s">
        <v>77</v>
      </c>
      <c r="E17" s="19">
        <v>4</v>
      </c>
      <c r="F17" s="19">
        <v>2</v>
      </c>
      <c r="G17" s="19">
        <v>1</v>
      </c>
      <c r="H17" s="19">
        <v>3</v>
      </c>
      <c r="I17" s="19">
        <v>2</v>
      </c>
      <c r="J17" s="19">
        <v>9</v>
      </c>
      <c r="K17" s="19">
        <v>2</v>
      </c>
      <c r="L17" s="19">
        <v>5</v>
      </c>
      <c r="M17" s="19">
        <v>2</v>
      </c>
      <c r="N17" s="19">
        <v>10</v>
      </c>
      <c r="O17" s="19">
        <v>5</v>
      </c>
      <c r="P17" s="19">
        <v>5</v>
      </c>
      <c r="Q17" s="19">
        <v>1</v>
      </c>
      <c r="R17" s="19">
        <v>5</v>
      </c>
      <c r="S17" s="19">
        <v>6</v>
      </c>
      <c r="T17" s="19">
        <v>6</v>
      </c>
      <c r="U17" s="19">
        <v>0</v>
      </c>
      <c r="V17" s="19">
        <v>6</v>
      </c>
      <c r="W17" s="19">
        <v>6</v>
      </c>
      <c r="X17" s="19">
        <v>2</v>
      </c>
      <c r="Y17" s="19">
        <v>4</v>
      </c>
      <c r="Z17" s="19">
        <v>8</v>
      </c>
      <c r="AA17" s="19">
        <v>5</v>
      </c>
      <c r="AB17" s="19">
        <v>8</v>
      </c>
      <c r="AC17" s="19">
        <v>10</v>
      </c>
      <c r="AD17" s="10">
        <f t="shared" si="0"/>
        <v>117</v>
      </c>
    </row>
    <row r="18" spans="1:30" ht="21" customHeight="1" x14ac:dyDescent="0.35">
      <c r="A18" s="6">
        <v>17</v>
      </c>
      <c r="B18" s="6" t="s">
        <v>78</v>
      </c>
      <c r="C18" s="6" t="s">
        <v>79</v>
      </c>
      <c r="D18" s="7" t="s">
        <v>80</v>
      </c>
      <c r="E18" s="18">
        <v>8</v>
      </c>
      <c r="F18" s="18">
        <v>2</v>
      </c>
      <c r="G18" s="18">
        <v>10</v>
      </c>
      <c r="H18" s="18">
        <v>7</v>
      </c>
      <c r="I18" s="18">
        <v>-2</v>
      </c>
      <c r="J18" s="18">
        <v>6</v>
      </c>
      <c r="K18" s="18">
        <v>1</v>
      </c>
      <c r="L18" s="18">
        <v>2</v>
      </c>
      <c r="M18" s="18">
        <v>7</v>
      </c>
      <c r="N18" s="18">
        <v>4</v>
      </c>
      <c r="O18" s="18">
        <v>3</v>
      </c>
      <c r="P18" s="18">
        <v>10</v>
      </c>
      <c r="Q18" s="18">
        <v>4</v>
      </c>
      <c r="R18" s="18">
        <v>1</v>
      </c>
      <c r="S18" s="18">
        <v>1</v>
      </c>
      <c r="T18" s="18">
        <v>1</v>
      </c>
      <c r="U18" s="18">
        <v>0</v>
      </c>
      <c r="V18" s="18">
        <v>9</v>
      </c>
      <c r="W18" s="18">
        <v>7</v>
      </c>
      <c r="X18" s="18">
        <v>0</v>
      </c>
      <c r="Y18" s="18">
        <v>2</v>
      </c>
      <c r="Z18" s="18">
        <v>2</v>
      </c>
      <c r="AA18" s="18">
        <v>9</v>
      </c>
      <c r="AB18" s="18">
        <v>8</v>
      </c>
      <c r="AC18" s="18">
        <v>9</v>
      </c>
      <c r="AD18" s="10">
        <f t="shared" si="0"/>
        <v>111</v>
      </c>
    </row>
    <row r="19" spans="1:30" ht="21" customHeight="1" x14ac:dyDescent="0.35">
      <c r="A19" s="11">
        <v>18</v>
      </c>
      <c r="B19" s="11" t="s">
        <v>81</v>
      </c>
      <c r="C19" s="11" t="s">
        <v>82</v>
      </c>
      <c r="D19" s="12" t="s">
        <v>83</v>
      </c>
      <c r="E19" s="19">
        <v>2</v>
      </c>
      <c r="F19" s="19">
        <v>5</v>
      </c>
      <c r="G19" s="19">
        <v>10</v>
      </c>
      <c r="H19" s="19">
        <v>7</v>
      </c>
      <c r="I19" s="19">
        <v>-2</v>
      </c>
      <c r="J19" s="19">
        <v>4</v>
      </c>
      <c r="K19" s="19">
        <v>9</v>
      </c>
      <c r="L19" s="19">
        <v>10</v>
      </c>
      <c r="M19" s="19">
        <v>4</v>
      </c>
      <c r="N19" s="19">
        <v>8</v>
      </c>
      <c r="O19" s="19">
        <v>2</v>
      </c>
      <c r="P19" s="19">
        <v>4</v>
      </c>
      <c r="Q19" s="19">
        <v>7</v>
      </c>
      <c r="R19" s="19">
        <v>2</v>
      </c>
      <c r="S19" s="19">
        <v>1</v>
      </c>
      <c r="T19" s="19">
        <v>3</v>
      </c>
      <c r="U19" s="19">
        <v>2</v>
      </c>
      <c r="V19" s="19">
        <v>8</v>
      </c>
      <c r="W19" s="19">
        <v>3</v>
      </c>
      <c r="X19" s="19">
        <v>3</v>
      </c>
      <c r="Y19" s="19">
        <v>5</v>
      </c>
      <c r="Z19" s="19">
        <v>8</v>
      </c>
      <c r="AA19" s="19">
        <v>7</v>
      </c>
      <c r="AB19" s="19">
        <v>8</v>
      </c>
      <c r="AC19" s="19">
        <v>3</v>
      </c>
      <c r="AD19" s="10">
        <f t="shared" si="0"/>
        <v>123</v>
      </c>
    </row>
    <row r="20" spans="1:30" ht="21" customHeight="1" x14ac:dyDescent="0.35">
      <c r="A20" s="6">
        <v>19</v>
      </c>
      <c r="B20" s="6" t="s">
        <v>84</v>
      </c>
      <c r="C20" s="6" t="s">
        <v>85</v>
      </c>
      <c r="D20" s="7" t="s">
        <v>86</v>
      </c>
      <c r="E20" s="18">
        <v>4</v>
      </c>
      <c r="F20" s="18">
        <v>2</v>
      </c>
      <c r="G20" s="18">
        <v>5</v>
      </c>
      <c r="H20" s="18">
        <v>7</v>
      </c>
      <c r="I20" s="18">
        <v>3</v>
      </c>
      <c r="J20" s="18">
        <v>0</v>
      </c>
      <c r="K20" s="18">
        <v>7</v>
      </c>
      <c r="L20" s="18">
        <v>5</v>
      </c>
      <c r="M20" s="18">
        <v>2</v>
      </c>
      <c r="N20" s="18">
        <v>1</v>
      </c>
      <c r="O20" s="18">
        <v>9</v>
      </c>
      <c r="P20" s="18">
        <v>8</v>
      </c>
      <c r="Q20" s="18">
        <v>9</v>
      </c>
      <c r="R20" s="18">
        <v>4</v>
      </c>
      <c r="S20" s="18">
        <v>5</v>
      </c>
      <c r="T20" s="18">
        <v>4</v>
      </c>
      <c r="U20" s="18">
        <v>8</v>
      </c>
      <c r="V20" s="18">
        <v>10</v>
      </c>
      <c r="W20" s="18">
        <v>5</v>
      </c>
      <c r="X20" s="18">
        <v>6</v>
      </c>
      <c r="Y20" s="18">
        <v>6</v>
      </c>
      <c r="Z20" s="18">
        <v>9</v>
      </c>
      <c r="AA20" s="18">
        <v>4</v>
      </c>
      <c r="AB20" s="18">
        <v>5</v>
      </c>
      <c r="AC20" s="18">
        <v>0</v>
      </c>
      <c r="AD20" s="10">
        <f t="shared" si="0"/>
        <v>128</v>
      </c>
    </row>
    <row r="21" spans="1:30" ht="21" customHeight="1" x14ac:dyDescent="0.35">
      <c r="A21" s="11">
        <v>20</v>
      </c>
      <c r="B21" s="11" t="s">
        <v>87</v>
      </c>
      <c r="C21" s="11" t="s">
        <v>88</v>
      </c>
      <c r="D21" s="12" t="s">
        <v>89</v>
      </c>
      <c r="E21" s="19">
        <v>2</v>
      </c>
      <c r="F21" s="19">
        <v>2</v>
      </c>
      <c r="G21" s="19">
        <v>6</v>
      </c>
      <c r="H21" s="19">
        <v>7</v>
      </c>
      <c r="I21" s="19">
        <v>-2</v>
      </c>
      <c r="J21" s="19">
        <v>5</v>
      </c>
      <c r="K21" s="19">
        <v>0</v>
      </c>
      <c r="L21" s="19">
        <v>8</v>
      </c>
      <c r="M21" s="19">
        <v>2</v>
      </c>
      <c r="N21" s="19">
        <v>1</v>
      </c>
      <c r="O21" s="19">
        <v>5</v>
      </c>
      <c r="P21" s="19">
        <v>3</v>
      </c>
      <c r="Q21" s="19">
        <v>1</v>
      </c>
      <c r="R21" s="19">
        <v>2</v>
      </c>
      <c r="S21" s="19">
        <v>2</v>
      </c>
      <c r="T21" s="19">
        <v>3</v>
      </c>
      <c r="U21" s="19">
        <v>1</v>
      </c>
      <c r="V21" s="19">
        <v>2</v>
      </c>
      <c r="W21" s="19">
        <v>10</v>
      </c>
      <c r="X21" s="19">
        <v>9</v>
      </c>
      <c r="Y21" s="19">
        <v>1</v>
      </c>
      <c r="Z21" s="19">
        <v>7</v>
      </c>
      <c r="AA21" s="19">
        <v>10</v>
      </c>
      <c r="AB21" s="19">
        <v>5</v>
      </c>
      <c r="AC21" s="19">
        <v>2</v>
      </c>
      <c r="AD21" s="10">
        <f t="shared" si="0"/>
        <v>94</v>
      </c>
    </row>
    <row r="22" spans="1:30" ht="21" customHeight="1" x14ac:dyDescent="0.35">
      <c r="A22" s="6">
        <v>21</v>
      </c>
      <c r="B22" s="6" t="s">
        <v>90</v>
      </c>
      <c r="C22" s="6" t="s">
        <v>91</v>
      </c>
      <c r="D22" s="7" t="s">
        <v>92</v>
      </c>
      <c r="E22" s="18">
        <v>5</v>
      </c>
      <c r="F22" s="18">
        <v>2</v>
      </c>
      <c r="G22" s="18">
        <v>0</v>
      </c>
      <c r="H22" s="18">
        <v>7</v>
      </c>
      <c r="I22" s="18">
        <v>-2</v>
      </c>
      <c r="J22" s="18">
        <v>6</v>
      </c>
      <c r="K22" s="18">
        <v>1</v>
      </c>
      <c r="L22" s="18">
        <v>2</v>
      </c>
      <c r="M22" s="18">
        <v>1</v>
      </c>
      <c r="N22" s="18">
        <v>5</v>
      </c>
      <c r="O22" s="18">
        <v>5</v>
      </c>
      <c r="P22" s="18">
        <v>4</v>
      </c>
      <c r="Q22" s="18">
        <v>6</v>
      </c>
      <c r="R22" s="18">
        <v>2</v>
      </c>
      <c r="S22" s="18">
        <v>1</v>
      </c>
      <c r="T22" s="18">
        <v>3</v>
      </c>
      <c r="U22" s="18">
        <v>0</v>
      </c>
      <c r="V22" s="18">
        <v>6</v>
      </c>
      <c r="W22" s="18">
        <v>5</v>
      </c>
      <c r="X22" s="18">
        <v>4</v>
      </c>
      <c r="Y22" s="18">
        <v>4</v>
      </c>
      <c r="Z22" s="18">
        <v>9</v>
      </c>
      <c r="AA22" s="18">
        <v>2</v>
      </c>
      <c r="AB22" s="18">
        <v>4</v>
      </c>
      <c r="AC22" s="18">
        <v>5</v>
      </c>
      <c r="AD22" s="10">
        <f t="shared" si="0"/>
        <v>87</v>
      </c>
    </row>
    <row r="23" spans="1:30" ht="21" customHeight="1" x14ac:dyDescent="0.35">
      <c r="A23" s="11">
        <v>22</v>
      </c>
      <c r="B23" s="11" t="s">
        <v>93</v>
      </c>
      <c r="C23" s="11" t="s">
        <v>94</v>
      </c>
      <c r="D23" s="12" t="s">
        <v>95</v>
      </c>
      <c r="E23" s="19">
        <v>0</v>
      </c>
      <c r="F23" s="19">
        <v>5</v>
      </c>
      <c r="G23" s="19">
        <v>2</v>
      </c>
      <c r="H23" s="19">
        <v>7</v>
      </c>
      <c r="I23" s="19">
        <v>-2</v>
      </c>
      <c r="J23" s="19">
        <v>3</v>
      </c>
      <c r="K23" s="19">
        <v>4</v>
      </c>
      <c r="L23" s="19">
        <v>1</v>
      </c>
      <c r="M23" s="19">
        <v>4</v>
      </c>
      <c r="N23" s="19">
        <v>3</v>
      </c>
      <c r="O23" s="19">
        <v>5</v>
      </c>
      <c r="P23" s="19">
        <v>6</v>
      </c>
      <c r="Q23" s="19">
        <v>0</v>
      </c>
      <c r="R23" s="19">
        <v>2</v>
      </c>
      <c r="S23" s="19">
        <v>8</v>
      </c>
      <c r="T23" s="19">
        <v>9</v>
      </c>
      <c r="U23" s="19">
        <v>6</v>
      </c>
      <c r="V23" s="19">
        <v>1</v>
      </c>
      <c r="W23" s="19">
        <v>10</v>
      </c>
      <c r="X23" s="19">
        <v>2</v>
      </c>
      <c r="Y23" s="19">
        <v>7</v>
      </c>
      <c r="Z23" s="19">
        <v>9</v>
      </c>
      <c r="AA23" s="19">
        <v>9</v>
      </c>
      <c r="AB23" s="19">
        <v>3</v>
      </c>
      <c r="AC23" s="19">
        <v>2</v>
      </c>
      <c r="AD23" s="10">
        <f t="shared" si="0"/>
        <v>106</v>
      </c>
    </row>
    <row r="24" spans="1:30" ht="21" customHeight="1" x14ac:dyDescent="0.35">
      <c r="A24" s="6">
        <v>23</v>
      </c>
      <c r="B24" s="6" t="s">
        <v>96</v>
      </c>
      <c r="C24" s="6" t="s">
        <v>97</v>
      </c>
      <c r="D24" s="7" t="s">
        <v>98</v>
      </c>
      <c r="E24" s="18">
        <v>4</v>
      </c>
      <c r="F24" s="18">
        <v>2</v>
      </c>
      <c r="G24" s="18">
        <v>4</v>
      </c>
      <c r="H24" s="18">
        <v>1</v>
      </c>
      <c r="I24" s="18">
        <v>-2</v>
      </c>
      <c r="J24" s="18">
        <v>4</v>
      </c>
      <c r="K24" s="18">
        <v>9</v>
      </c>
      <c r="L24" s="18">
        <v>3</v>
      </c>
      <c r="M24" s="18">
        <v>2</v>
      </c>
      <c r="N24" s="18">
        <v>5</v>
      </c>
      <c r="O24" s="18">
        <v>5</v>
      </c>
      <c r="P24" s="18">
        <v>5</v>
      </c>
      <c r="Q24" s="18">
        <v>6</v>
      </c>
      <c r="R24" s="18">
        <v>2</v>
      </c>
      <c r="S24" s="18">
        <v>10</v>
      </c>
      <c r="T24" s="18">
        <v>0</v>
      </c>
      <c r="U24" s="18">
        <v>2</v>
      </c>
      <c r="V24" s="18">
        <v>3</v>
      </c>
      <c r="W24" s="18">
        <v>6</v>
      </c>
      <c r="X24" s="18">
        <v>7</v>
      </c>
      <c r="Y24" s="18">
        <v>1</v>
      </c>
      <c r="Z24" s="18">
        <v>10</v>
      </c>
      <c r="AA24" s="18">
        <v>7</v>
      </c>
      <c r="AB24" s="18">
        <v>1</v>
      </c>
      <c r="AC24" s="18">
        <v>1</v>
      </c>
      <c r="AD24" s="10">
        <f t="shared" si="0"/>
        <v>98</v>
      </c>
    </row>
    <row r="25" spans="1:30" ht="21" customHeight="1" x14ac:dyDescent="0.35">
      <c r="A25" s="11">
        <v>24</v>
      </c>
      <c r="B25" s="11" t="s">
        <v>99</v>
      </c>
      <c r="C25" s="11" t="s">
        <v>100</v>
      </c>
      <c r="D25" s="12" t="s">
        <v>101</v>
      </c>
      <c r="E25" s="19">
        <v>10</v>
      </c>
      <c r="F25" s="19">
        <v>2</v>
      </c>
      <c r="G25" s="19">
        <v>7</v>
      </c>
      <c r="H25" s="19">
        <v>7</v>
      </c>
      <c r="I25" s="19">
        <v>-2</v>
      </c>
      <c r="J25" s="19">
        <v>4</v>
      </c>
      <c r="K25" s="19">
        <v>1</v>
      </c>
      <c r="L25" s="19">
        <v>7</v>
      </c>
      <c r="M25" s="19">
        <v>2</v>
      </c>
      <c r="N25" s="19">
        <v>1</v>
      </c>
      <c r="O25" s="19">
        <v>10</v>
      </c>
      <c r="P25" s="19">
        <v>8</v>
      </c>
      <c r="Q25" s="19">
        <v>10</v>
      </c>
      <c r="R25" s="19">
        <v>2</v>
      </c>
      <c r="S25" s="19">
        <v>7</v>
      </c>
      <c r="T25" s="19">
        <v>4</v>
      </c>
      <c r="U25" s="19">
        <v>0</v>
      </c>
      <c r="V25" s="19">
        <v>4</v>
      </c>
      <c r="W25" s="19">
        <v>3</v>
      </c>
      <c r="X25" s="19">
        <v>10</v>
      </c>
      <c r="Y25" s="19">
        <v>6</v>
      </c>
      <c r="Z25" s="19">
        <v>7</v>
      </c>
      <c r="AA25" s="19">
        <v>9</v>
      </c>
      <c r="AB25" s="19">
        <v>0</v>
      </c>
      <c r="AC25" s="19">
        <v>8</v>
      </c>
      <c r="AD25" s="10">
        <f t="shared" si="0"/>
        <v>127</v>
      </c>
    </row>
    <row r="26" spans="1:30" ht="21" customHeight="1" x14ac:dyDescent="0.35">
      <c r="A26" s="6">
        <v>25</v>
      </c>
      <c r="B26" s="6" t="s">
        <v>102</v>
      </c>
      <c r="C26" s="6" t="s">
        <v>103</v>
      </c>
      <c r="D26" s="7" t="s">
        <v>104</v>
      </c>
      <c r="E26" s="18">
        <v>4</v>
      </c>
      <c r="F26" s="18">
        <v>2</v>
      </c>
      <c r="G26" s="18">
        <v>3</v>
      </c>
      <c r="H26" s="18">
        <v>7</v>
      </c>
      <c r="I26" s="18">
        <v>-2</v>
      </c>
      <c r="J26" s="18">
        <v>8</v>
      </c>
      <c r="K26" s="18">
        <v>1</v>
      </c>
      <c r="L26" s="18">
        <v>5</v>
      </c>
      <c r="M26" s="18">
        <v>2</v>
      </c>
      <c r="N26" s="18">
        <v>5</v>
      </c>
      <c r="O26" s="18">
        <v>10</v>
      </c>
      <c r="P26" s="18">
        <v>4</v>
      </c>
      <c r="Q26" s="18">
        <v>8</v>
      </c>
      <c r="R26" s="18">
        <v>2</v>
      </c>
      <c r="S26" s="18">
        <v>5</v>
      </c>
      <c r="T26" s="18">
        <v>2</v>
      </c>
      <c r="U26" s="18">
        <v>7</v>
      </c>
      <c r="V26" s="18">
        <v>5</v>
      </c>
      <c r="W26" s="18">
        <v>10</v>
      </c>
      <c r="X26" s="18">
        <v>6</v>
      </c>
      <c r="Y26" s="18">
        <v>3</v>
      </c>
      <c r="Z26" s="18">
        <v>3</v>
      </c>
      <c r="AA26" s="18">
        <v>7</v>
      </c>
      <c r="AB26" s="18">
        <v>9</v>
      </c>
      <c r="AC26" s="18">
        <v>1</v>
      </c>
      <c r="AD26" s="10">
        <f t="shared" si="0"/>
        <v>117</v>
      </c>
    </row>
    <row r="27" spans="1:30" ht="21" customHeight="1" x14ac:dyDescent="0.35">
      <c r="A27" s="11">
        <v>26</v>
      </c>
      <c r="B27" s="11" t="s">
        <v>105</v>
      </c>
      <c r="C27" s="11" t="s">
        <v>106</v>
      </c>
      <c r="D27" s="12" t="s">
        <v>107</v>
      </c>
      <c r="E27" s="19">
        <v>9</v>
      </c>
      <c r="F27" s="19">
        <v>2</v>
      </c>
      <c r="G27" s="19">
        <v>9</v>
      </c>
      <c r="H27" s="19">
        <v>7</v>
      </c>
      <c r="I27" s="19">
        <v>-2</v>
      </c>
      <c r="J27" s="19">
        <v>1</v>
      </c>
      <c r="K27" s="19">
        <v>0</v>
      </c>
      <c r="L27" s="19">
        <v>3</v>
      </c>
      <c r="M27" s="19">
        <v>2</v>
      </c>
      <c r="N27" s="19">
        <v>5</v>
      </c>
      <c r="O27" s="19">
        <v>5</v>
      </c>
      <c r="P27" s="19">
        <v>5</v>
      </c>
      <c r="Q27" s="19">
        <v>3</v>
      </c>
      <c r="R27" s="19">
        <v>2</v>
      </c>
      <c r="S27" s="19">
        <v>9</v>
      </c>
      <c r="T27" s="19">
        <v>5</v>
      </c>
      <c r="U27" s="19">
        <v>3</v>
      </c>
      <c r="V27" s="19">
        <v>2</v>
      </c>
      <c r="W27" s="19">
        <v>1</v>
      </c>
      <c r="X27" s="19">
        <v>1</v>
      </c>
      <c r="Y27" s="19">
        <v>5</v>
      </c>
      <c r="Z27" s="19">
        <v>4</v>
      </c>
      <c r="AA27" s="19">
        <v>9</v>
      </c>
      <c r="AB27" s="19">
        <v>0</v>
      </c>
      <c r="AC27" s="19">
        <v>10</v>
      </c>
      <c r="AD27" s="10">
        <f t="shared" si="0"/>
        <v>100</v>
      </c>
    </row>
    <row r="28" spans="1:30" ht="21" customHeight="1" x14ac:dyDescent="0.35">
      <c r="A28" s="6">
        <v>27</v>
      </c>
      <c r="B28" s="6" t="s">
        <v>108</v>
      </c>
      <c r="C28" s="6" t="s">
        <v>109</v>
      </c>
      <c r="D28" s="7" t="s">
        <v>110</v>
      </c>
      <c r="E28" s="18">
        <v>9</v>
      </c>
      <c r="F28" s="18">
        <v>2</v>
      </c>
      <c r="G28" s="18">
        <v>4</v>
      </c>
      <c r="H28" s="18">
        <v>2</v>
      </c>
      <c r="I28" s="18">
        <v>4</v>
      </c>
      <c r="J28" s="18">
        <v>8</v>
      </c>
      <c r="K28" s="18">
        <v>7</v>
      </c>
      <c r="L28" s="18">
        <v>5</v>
      </c>
      <c r="M28" s="18">
        <v>2</v>
      </c>
      <c r="N28" s="18">
        <v>5</v>
      </c>
      <c r="O28" s="18">
        <v>5</v>
      </c>
      <c r="P28" s="18">
        <v>6</v>
      </c>
      <c r="Q28" s="18">
        <v>10</v>
      </c>
      <c r="R28" s="18">
        <v>9</v>
      </c>
      <c r="S28" s="18">
        <v>9</v>
      </c>
      <c r="T28" s="18">
        <v>4</v>
      </c>
      <c r="U28" s="18">
        <v>2</v>
      </c>
      <c r="V28" s="18">
        <v>10</v>
      </c>
      <c r="W28" s="18">
        <v>4</v>
      </c>
      <c r="X28" s="18">
        <v>5</v>
      </c>
      <c r="Y28" s="18">
        <v>4</v>
      </c>
      <c r="Z28" s="18">
        <v>6</v>
      </c>
      <c r="AA28" s="18">
        <v>9</v>
      </c>
      <c r="AB28" s="18">
        <v>3</v>
      </c>
      <c r="AC28" s="18">
        <v>10</v>
      </c>
      <c r="AD28" s="10">
        <f t="shared" si="0"/>
        <v>144</v>
      </c>
    </row>
    <row r="29" spans="1:30" ht="21" customHeight="1" x14ac:dyDescent="0.35">
      <c r="A29" s="11">
        <v>28</v>
      </c>
      <c r="B29" s="11" t="s">
        <v>111</v>
      </c>
      <c r="C29" s="11" t="s">
        <v>112</v>
      </c>
      <c r="D29" s="12" t="s">
        <v>113</v>
      </c>
      <c r="E29" s="19">
        <v>7</v>
      </c>
      <c r="F29" s="19">
        <v>2</v>
      </c>
      <c r="G29" s="19">
        <v>7</v>
      </c>
      <c r="H29" s="19">
        <v>7</v>
      </c>
      <c r="I29" s="19">
        <v>2</v>
      </c>
      <c r="J29" s="19">
        <v>0</v>
      </c>
      <c r="K29" s="19">
        <v>2</v>
      </c>
      <c r="L29" s="19">
        <v>2</v>
      </c>
      <c r="M29" s="19">
        <v>1</v>
      </c>
      <c r="N29" s="19">
        <v>5</v>
      </c>
      <c r="O29" s="19">
        <v>5</v>
      </c>
      <c r="P29" s="19">
        <v>0</v>
      </c>
      <c r="Q29" s="19">
        <v>9</v>
      </c>
      <c r="R29" s="19">
        <v>10</v>
      </c>
      <c r="S29" s="19">
        <v>2</v>
      </c>
      <c r="T29" s="19">
        <v>4</v>
      </c>
      <c r="U29" s="19">
        <v>3</v>
      </c>
      <c r="V29" s="19">
        <v>5</v>
      </c>
      <c r="W29" s="19">
        <v>0</v>
      </c>
      <c r="X29" s="19">
        <v>1</v>
      </c>
      <c r="Y29" s="19">
        <v>0</v>
      </c>
      <c r="Z29" s="19">
        <v>8</v>
      </c>
      <c r="AA29" s="19">
        <v>10</v>
      </c>
      <c r="AB29" s="19">
        <v>8</v>
      </c>
      <c r="AC29" s="19">
        <v>10</v>
      </c>
      <c r="AD29" s="10">
        <f t="shared" si="0"/>
        <v>110</v>
      </c>
    </row>
    <row r="30" spans="1:30" ht="21" customHeight="1" x14ac:dyDescent="0.35">
      <c r="A30" s="6">
        <v>29</v>
      </c>
      <c r="B30" s="6" t="s">
        <v>114</v>
      </c>
      <c r="C30" s="6" t="s">
        <v>115</v>
      </c>
      <c r="D30" s="7" t="s">
        <v>116</v>
      </c>
      <c r="E30" s="18">
        <v>2</v>
      </c>
      <c r="F30" s="18">
        <v>2</v>
      </c>
      <c r="G30" s="18">
        <v>3</v>
      </c>
      <c r="H30" s="18">
        <v>7</v>
      </c>
      <c r="I30" s="18">
        <v>9</v>
      </c>
      <c r="J30" s="18">
        <v>3</v>
      </c>
      <c r="K30" s="18">
        <v>4</v>
      </c>
      <c r="L30" s="18">
        <v>3</v>
      </c>
      <c r="M30" s="18">
        <v>2</v>
      </c>
      <c r="N30" s="18">
        <v>5</v>
      </c>
      <c r="O30" s="18">
        <v>7</v>
      </c>
      <c r="P30" s="18">
        <v>4</v>
      </c>
      <c r="Q30" s="18">
        <v>4</v>
      </c>
      <c r="R30" s="18">
        <v>3</v>
      </c>
      <c r="S30" s="18">
        <v>2</v>
      </c>
      <c r="T30" s="18">
        <v>6</v>
      </c>
      <c r="U30" s="18">
        <v>8</v>
      </c>
      <c r="V30" s="18">
        <v>2</v>
      </c>
      <c r="W30" s="18">
        <v>8</v>
      </c>
      <c r="X30" s="18">
        <v>3</v>
      </c>
      <c r="Y30" s="18">
        <v>0</v>
      </c>
      <c r="Z30" s="18">
        <v>8</v>
      </c>
      <c r="AA30" s="18">
        <v>10</v>
      </c>
      <c r="AB30" s="18">
        <v>9</v>
      </c>
      <c r="AC30" s="18">
        <v>9</v>
      </c>
      <c r="AD30" s="10">
        <f t="shared" si="0"/>
        <v>123</v>
      </c>
    </row>
    <row r="31" spans="1:30" ht="21" customHeight="1" x14ac:dyDescent="0.35">
      <c r="A31" s="11">
        <v>30</v>
      </c>
      <c r="B31" s="11" t="s">
        <v>117</v>
      </c>
      <c r="C31" s="11" t="s">
        <v>118</v>
      </c>
      <c r="D31" s="12" t="s">
        <v>119</v>
      </c>
      <c r="E31" s="19">
        <v>6</v>
      </c>
      <c r="F31" s="19">
        <v>2</v>
      </c>
      <c r="G31" s="19">
        <v>9</v>
      </c>
      <c r="H31" s="19">
        <v>7</v>
      </c>
      <c r="I31" s="19">
        <v>4</v>
      </c>
      <c r="J31" s="19">
        <v>1</v>
      </c>
      <c r="K31" s="19">
        <v>5</v>
      </c>
      <c r="L31" s="19">
        <v>5</v>
      </c>
      <c r="M31" s="19">
        <v>2</v>
      </c>
      <c r="N31" s="19">
        <v>5</v>
      </c>
      <c r="O31" s="19">
        <v>5</v>
      </c>
      <c r="P31" s="19">
        <v>0</v>
      </c>
      <c r="Q31" s="19">
        <v>10</v>
      </c>
      <c r="R31" s="19">
        <v>2</v>
      </c>
      <c r="S31" s="19">
        <v>4</v>
      </c>
      <c r="T31" s="19">
        <v>9</v>
      </c>
      <c r="U31" s="19">
        <v>6</v>
      </c>
      <c r="V31" s="19">
        <v>2</v>
      </c>
      <c r="W31" s="19">
        <v>8</v>
      </c>
      <c r="X31" s="19">
        <v>1</v>
      </c>
      <c r="Y31" s="19">
        <v>2</v>
      </c>
      <c r="Z31" s="19">
        <v>9</v>
      </c>
      <c r="AA31" s="19">
        <v>8</v>
      </c>
      <c r="AB31" s="19">
        <v>9</v>
      </c>
      <c r="AC31" s="19">
        <v>7</v>
      </c>
      <c r="AD31" s="10">
        <f t="shared" si="0"/>
        <v>128</v>
      </c>
    </row>
    <row r="32" spans="1:30" ht="21" customHeight="1" x14ac:dyDescent="0.35">
      <c r="A32" s="6">
        <v>31</v>
      </c>
      <c r="B32" s="6" t="s">
        <v>120</v>
      </c>
      <c r="C32" s="6" t="s">
        <v>121</v>
      </c>
      <c r="D32" s="7" t="s">
        <v>122</v>
      </c>
      <c r="E32" s="18">
        <v>7</v>
      </c>
      <c r="F32" s="18">
        <v>1</v>
      </c>
      <c r="G32" s="18">
        <v>7</v>
      </c>
      <c r="H32" s="18">
        <v>8</v>
      </c>
      <c r="I32" s="18">
        <v>1</v>
      </c>
      <c r="J32" s="18">
        <v>7</v>
      </c>
      <c r="K32" s="18">
        <v>1</v>
      </c>
      <c r="L32" s="18">
        <v>4</v>
      </c>
      <c r="M32" s="18">
        <v>3</v>
      </c>
      <c r="N32" s="18">
        <v>5</v>
      </c>
      <c r="O32" s="18">
        <v>5</v>
      </c>
      <c r="P32" s="18">
        <v>8</v>
      </c>
      <c r="Q32" s="18">
        <v>6</v>
      </c>
      <c r="R32" s="18">
        <v>7</v>
      </c>
      <c r="S32" s="18">
        <v>4</v>
      </c>
      <c r="T32" s="18">
        <v>10</v>
      </c>
      <c r="U32" s="18">
        <v>8</v>
      </c>
      <c r="V32" s="18">
        <v>3</v>
      </c>
      <c r="W32" s="18">
        <v>7</v>
      </c>
      <c r="X32" s="18">
        <v>7</v>
      </c>
      <c r="Y32" s="18">
        <v>9</v>
      </c>
      <c r="Z32" s="18">
        <v>4</v>
      </c>
      <c r="AA32" s="18">
        <v>7</v>
      </c>
      <c r="AB32" s="18">
        <v>3</v>
      </c>
      <c r="AC32" s="18">
        <v>7</v>
      </c>
      <c r="AD32" s="10">
        <f t="shared" si="0"/>
        <v>139</v>
      </c>
    </row>
    <row r="33" spans="1:30" ht="21" customHeight="1" x14ac:dyDescent="0.35">
      <c r="A33" s="11">
        <v>32</v>
      </c>
      <c r="B33" s="11" t="s">
        <v>123</v>
      </c>
      <c r="C33" s="11" t="s">
        <v>124</v>
      </c>
      <c r="D33" s="12" t="s">
        <v>125</v>
      </c>
      <c r="E33" s="19">
        <v>0</v>
      </c>
      <c r="F33" s="19">
        <v>6</v>
      </c>
      <c r="G33" s="19">
        <v>8</v>
      </c>
      <c r="H33" s="19">
        <v>3</v>
      </c>
      <c r="I33" s="19">
        <v>4</v>
      </c>
      <c r="J33" s="19">
        <v>3</v>
      </c>
      <c r="K33" s="19">
        <v>6</v>
      </c>
      <c r="L33" s="19">
        <v>4</v>
      </c>
      <c r="M33" s="19">
        <v>2</v>
      </c>
      <c r="N33" s="19">
        <v>3</v>
      </c>
      <c r="O33" s="19">
        <v>5</v>
      </c>
      <c r="P33" s="19">
        <v>6</v>
      </c>
      <c r="Q33" s="19">
        <v>3</v>
      </c>
      <c r="R33" s="19">
        <v>7</v>
      </c>
      <c r="S33" s="19">
        <v>0</v>
      </c>
      <c r="T33" s="19">
        <v>1</v>
      </c>
      <c r="U33" s="19">
        <v>9</v>
      </c>
      <c r="V33" s="19">
        <v>6</v>
      </c>
      <c r="W33" s="19">
        <v>8</v>
      </c>
      <c r="X33" s="19">
        <v>5</v>
      </c>
      <c r="Y33" s="19">
        <v>3</v>
      </c>
      <c r="Z33" s="19">
        <v>8</v>
      </c>
      <c r="AA33" s="19">
        <v>7</v>
      </c>
      <c r="AB33" s="19">
        <v>4</v>
      </c>
      <c r="AC33" s="19">
        <v>10</v>
      </c>
      <c r="AD33" s="10">
        <f t="shared" si="0"/>
        <v>121</v>
      </c>
    </row>
    <row r="34" spans="1:30" ht="21" customHeight="1" x14ac:dyDescent="0.35">
      <c r="A34" s="6">
        <v>33</v>
      </c>
      <c r="B34" s="6" t="s">
        <v>126</v>
      </c>
      <c r="C34" s="6" t="s">
        <v>127</v>
      </c>
      <c r="D34" s="7" t="s">
        <v>128</v>
      </c>
      <c r="E34" s="18">
        <v>1</v>
      </c>
      <c r="F34" s="18">
        <v>2</v>
      </c>
      <c r="G34" s="18">
        <v>2</v>
      </c>
      <c r="H34" s="18">
        <v>7</v>
      </c>
      <c r="I34" s="18">
        <v>9</v>
      </c>
      <c r="J34" s="18">
        <v>9</v>
      </c>
      <c r="K34" s="18">
        <v>2</v>
      </c>
      <c r="L34" s="18">
        <v>2</v>
      </c>
      <c r="M34" s="18">
        <v>2</v>
      </c>
      <c r="N34" s="18">
        <v>5</v>
      </c>
      <c r="O34" s="18">
        <v>5</v>
      </c>
      <c r="P34" s="18">
        <v>2</v>
      </c>
      <c r="Q34" s="18">
        <v>1</v>
      </c>
      <c r="R34" s="18">
        <v>2</v>
      </c>
      <c r="S34" s="18">
        <v>0</v>
      </c>
      <c r="T34" s="18">
        <v>2</v>
      </c>
      <c r="U34" s="18">
        <v>5</v>
      </c>
      <c r="V34" s="18">
        <v>2</v>
      </c>
      <c r="W34" s="18">
        <v>2</v>
      </c>
      <c r="X34" s="18">
        <v>7</v>
      </c>
      <c r="Y34" s="18">
        <v>3</v>
      </c>
      <c r="Z34" s="18">
        <v>5</v>
      </c>
      <c r="AA34" s="18">
        <v>3</v>
      </c>
      <c r="AB34" s="18">
        <v>8</v>
      </c>
      <c r="AC34" s="18">
        <v>7</v>
      </c>
      <c r="AD34" s="10">
        <f t="shared" si="0"/>
        <v>95</v>
      </c>
    </row>
    <row r="35" spans="1:30" ht="21" customHeight="1" x14ac:dyDescent="0.35">
      <c r="A35" s="11">
        <v>34</v>
      </c>
      <c r="B35" s="11" t="s">
        <v>129</v>
      </c>
      <c r="C35" s="11" t="s">
        <v>130</v>
      </c>
      <c r="D35" s="12" t="s">
        <v>131</v>
      </c>
      <c r="E35" s="19">
        <v>8</v>
      </c>
      <c r="F35" s="19">
        <v>9</v>
      </c>
      <c r="G35" s="19">
        <v>0</v>
      </c>
      <c r="H35" s="19">
        <v>7</v>
      </c>
      <c r="I35" s="19">
        <v>2</v>
      </c>
      <c r="J35" s="19">
        <v>4</v>
      </c>
      <c r="K35" s="19">
        <v>3</v>
      </c>
      <c r="L35" s="19">
        <v>0</v>
      </c>
      <c r="M35" s="19">
        <v>2</v>
      </c>
      <c r="N35" s="19">
        <v>5</v>
      </c>
      <c r="O35" s="19">
        <v>5</v>
      </c>
      <c r="P35" s="19">
        <v>1</v>
      </c>
      <c r="Q35" s="19">
        <v>10</v>
      </c>
      <c r="R35" s="19">
        <v>9</v>
      </c>
      <c r="S35" s="19">
        <v>2</v>
      </c>
      <c r="T35" s="19">
        <v>5</v>
      </c>
      <c r="U35" s="19">
        <v>2</v>
      </c>
      <c r="V35" s="19">
        <v>1</v>
      </c>
      <c r="W35" s="19">
        <v>6</v>
      </c>
      <c r="X35" s="19">
        <v>6</v>
      </c>
      <c r="Y35" s="19">
        <v>5</v>
      </c>
      <c r="Z35" s="19">
        <v>5</v>
      </c>
      <c r="AA35" s="19">
        <v>9</v>
      </c>
      <c r="AB35" s="19">
        <v>3</v>
      </c>
      <c r="AC35" s="19">
        <v>1</v>
      </c>
      <c r="AD35" s="10">
        <f t="shared" si="0"/>
        <v>110</v>
      </c>
    </row>
    <row r="36" spans="1:30" ht="21" customHeight="1" x14ac:dyDescent="0.35">
      <c r="A36" s="6">
        <v>35</v>
      </c>
      <c r="B36" s="6" t="s">
        <v>132</v>
      </c>
      <c r="C36" s="6" t="s">
        <v>133</v>
      </c>
      <c r="D36" s="7" t="s">
        <v>134</v>
      </c>
      <c r="E36" s="18">
        <v>1</v>
      </c>
      <c r="F36" s="18">
        <v>1</v>
      </c>
      <c r="G36" s="18">
        <v>5</v>
      </c>
      <c r="H36" s="18">
        <v>4</v>
      </c>
      <c r="I36" s="18">
        <v>2</v>
      </c>
      <c r="J36" s="18">
        <v>10</v>
      </c>
      <c r="K36" s="18">
        <v>8</v>
      </c>
      <c r="L36" s="18">
        <v>4</v>
      </c>
      <c r="M36" s="18">
        <v>2</v>
      </c>
      <c r="N36" s="18">
        <v>1</v>
      </c>
      <c r="O36" s="18">
        <v>3</v>
      </c>
      <c r="P36" s="18">
        <v>5</v>
      </c>
      <c r="Q36" s="18">
        <v>9</v>
      </c>
      <c r="R36" s="18">
        <v>3</v>
      </c>
      <c r="S36" s="18">
        <v>6</v>
      </c>
      <c r="T36" s="18">
        <v>3</v>
      </c>
      <c r="U36" s="18">
        <v>5</v>
      </c>
      <c r="V36" s="18">
        <v>6</v>
      </c>
      <c r="W36" s="18">
        <v>0</v>
      </c>
      <c r="X36" s="18">
        <v>2</v>
      </c>
      <c r="Y36" s="18">
        <v>2</v>
      </c>
      <c r="Z36" s="18">
        <v>4</v>
      </c>
      <c r="AA36" s="18">
        <v>6</v>
      </c>
      <c r="AB36" s="18">
        <v>5</v>
      </c>
      <c r="AC36" s="18">
        <v>5</v>
      </c>
      <c r="AD36" s="10">
        <f t="shared" si="0"/>
        <v>102</v>
      </c>
    </row>
    <row r="37" spans="1:30" ht="21" customHeight="1" x14ac:dyDescent="0.35">
      <c r="A37" s="11">
        <v>36</v>
      </c>
      <c r="B37" s="11" t="s">
        <v>135</v>
      </c>
      <c r="C37" s="11" t="s">
        <v>136</v>
      </c>
      <c r="D37" s="12" t="s">
        <v>137</v>
      </c>
      <c r="E37" s="19">
        <v>7</v>
      </c>
      <c r="F37" s="19">
        <v>2</v>
      </c>
      <c r="G37" s="19">
        <v>0</v>
      </c>
      <c r="H37" s="19">
        <v>7</v>
      </c>
      <c r="I37" s="19">
        <v>10</v>
      </c>
      <c r="J37" s="19">
        <v>0</v>
      </c>
      <c r="K37" s="19">
        <v>7</v>
      </c>
      <c r="L37" s="19">
        <v>5</v>
      </c>
      <c r="M37" s="19">
        <v>2</v>
      </c>
      <c r="N37" s="19">
        <v>6</v>
      </c>
      <c r="O37" s="19">
        <v>2</v>
      </c>
      <c r="P37" s="19">
        <v>10</v>
      </c>
      <c r="Q37" s="19">
        <v>0</v>
      </c>
      <c r="R37" s="19">
        <v>6</v>
      </c>
      <c r="S37" s="19">
        <v>0</v>
      </c>
      <c r="T37" s="19">
        <v>6</v>
      </c>
      <c r="U37" s="19">
        <v>2</v>
      </c>
      <c r="V37" s="19">
        <v>3</v>
      </c>
      <c r="W37" s="19">
        <v>2</v>
      </c>
      <c r="X37" s="19">
        <v>1</v>
      </c>
      <c r="Y37" s="19">
        <v>5</v>
      </c>
      <c r="Z37" s="19">
        <v>0</v>
      </c>
      <c r="AA37" s="19">
        <v>3</v>
      </c>
      <c r="AB37" s="19">
        <v>7</v>
      </c>
      <c r="AC37" s="19">
        <v>3</v>
      </c>
      <c r="AD37" s="10">
        <f t="shared" si="0"/>
        <v>96</v>
      </c>
    </row>
    <row r="38" spans="1:30" ht="21" customHeight="1" x14ac:dyDescent="0.35">
      <c r="A38" s="6">
        <v>37</v>
      </c>
      <c r="B38" s="6" t="s">
        <v>138</v>
      </c>
      <c r="C38" s="6" t="s">
        <v>139</v>
      </c>
      <c r="D38" s="7" t="s">
        <v>140</v>
      </c>
      <c r="E38" s="18">
        <v>3</v>
      </c>
      <c r="F38" s="18">
        <v>9</v>
      </c>
      <c r="G38" s="18">
        <v>3</v>
      </c>
      <c r="H38" s="18">
        <v>4</v>
      </c>
      <c r="I38" s="18">
        <v>7</v>
      </c>
      <c r="J38" s="18">
        <v>10</v>
      </c>
      <c r="K38" s="18">
        <v>5</v>
      </c>
      <c r="L38" s="18">
        <v>4</v>
      </c>
      <c r="M38" s="18">
        <v>2</v>
      </c>
      <c r="N38" s="18">
        <v>5</v>
      </c>
      <c r="O38" s="18">
        <v>0</v>
      </c>
      <c r="P38" s="18">
        <v>5</v>
      </c>
      <c r="Q38" s="18">
        <v>0</v>
      </c>
      <c r="R38" s="18">
        <v>0</v>
      </c>
      <c r="S38" s="18">
        <v>10</v>
      </c>
      <c r="T38" s="18">
        <v>2</v>
      </c>
      <c r="U38" s="18">
        <v>7</v>
      </c>
      <c r="V38" s="18">
        <v>9</v>
      </c>
      <c r="W38" s="18">
        <v>6</v>
      </c>
      <c r="X38" s="18">
        <v>9</v>
      </c>
      <c r="Y38" s="18">
        <v>4</v>
      </c>
      <c r="Z38" s="18">
        <v>7</v>
      </c>
      <c r="AA38" s="18">
        <v>3</v>
      </c>
      <c r="AB38" s="18">
        <v>9</v>
      </c>
      <c r="AC38" s="18">
        <v>5</v>
      </c>
      <c r="AD38" s="10">
        <f t="shared" si="0"/>
        <v>128</v>
      </c>
    </row>
    <row r="39" spans="1:30" ht="21" customHeight="1" x14ac:dyDescent="0.35">
      <c r="A39" s="11">
        <v>38</v>
      </c>
      <c r="B39" s="11" t="s">
        <v>141</v>
      </c>
      <c r="C39" s="11" t="s">
        <v>142</v>
      </c>
      <c r="D39" s="12" t="s">
        <v>143</v>
      </c>
      <c r="E39" s="19">
        <v>6</v>
      </c>
      <c r="F39" s="19">
        <v>8</v>
      </c>
      <c r="G39" s="19">
        <v>7</v>
      </c>
      <c r="H39" s="19">
        <v>5</v>
      </c>
      <c r="I39" s="19">
        <v>4</v>
      </c>
      <c r="J39" s="19">
        <v>2</v>
      </c>
      <c r="K39" s="19">
        <v>1</v>
      </c>
      <c r="L39" s="19">
        <v>9</v>
      </c>
      <c r="M39" s="19">
        <v>2</v>
      </c>
      <c r="N39" s="19">
        <v>5</v>
      </c>
      <c r="O39" s="19">
        <v>5</v>
      </c>
      <c r="P39" s="19">
        <v>0</v>
      </c>
      <c r="Q39" s="19">
        <v>4</v>
      </c>
      <c r="R39" s="19">
        <v>2</v>
      </c>
      <c r="S39" s="19">
        <v>2</v>
      </c>
      <c r="T39" s="19">
        <v>2</v>
      </c>
      <c r="U39" s="19">
        <v>5</v>
      </c>
      <c r="V39" s="19">
        <v>3</v>
      </c>
      <c r="W39" s="19">
        <v>3</v>
      </c>
      <c r="X39" s="19">
        <v>10</v>
      </c>
      <c r="Y39" s="19">
        <v>5</v>
      </c>
      <c r="Z39" s="19">
        <v>8</v>
      </c>
      <c r="AA39" s="19">
        <v>1</v>
      </c>
      <c r="AB39" s="19">
        <v>2</v>
      </c>
      <c r="AC39" s="19">
        <v>10</v>
      </c>
      <c r="AD39" s="10">
        <f t="shared" si="0"/>
        <v>111</v>
      </c>
    </row>
    <row r="40" spans="1:30" ht="21" customHeight="1" x14ac:dyDescent="0.35">
      <c r="A40" s="6">
        <v>39</v>
      </c>
      <c r="B40" s="6" t="s">
        <v>144</v>
      </c>
      <c r="C40" s="6" t="s">
        <v>145</v>
      </c>
      <c r="D40" s="7" t="s">
        <v>146</v>
      </c>
      <c r="E40" s="18">
        <v>8</v>
      </c>
      <c r="F40" s="18">
        <v>6</v>
      </c>
      <c r="G40" s="18">
        <v>3</v>
      </c>
      <c r="H40" s="18">
        <v>6</v>
      </c>
      <c r="I40" s="18">
        <v>9</v>
      </c>
      <c r="J40" s="18">
        <v>0</v>
      </c>
      <c r="K40" s="18">
        <v>9</v>
      </c>
      <c r="L40" s="18">
        <v>1</v>
      </c>
      <c r="M40" s="18">
        <v>4</v>
      </c>
      <c r="N40" s="18">
        <v>5</v>
      </c>
      <c r="O40" s="18">
        <v>5</v>
      </c>
      <c r="P40" s="18">
        <v>6</v>
      </c>
      <c r="Q40" s="18">
        <v>3</v>
      </c>
      <c r="R40" s="18">
        <v>2</v>
      </c>
      <c r="S40" s="18">
        <v>4</v>
      </c>
      <c r="T40" s="18">
        <v>10</v>
      </c>
      <c r="U40" s="18">
        <v>4</v>
      </c>
      <c r="V40" s="18">
        <v>2</v>
      </c>
      <c r="W40" s="18">
        <v>0</v>
      </c>
      <c r="X40" s="18">
        <v>2</v>
      </c>
      <c r="Y40" s="18">
        <v>7</v>
      </c>
      <c r="Z40" s="18">
        <v>1</v>
      </c>
      <c r="AA40" s="18">
        <v>3</v>
      </c>
      <c r="AB40" s="18">
        <v>2</v>
      </c>
      <c r="AC40" s="18">
        <v>0</v>
      </c>
      <c r="AD40" s="10">
        <f t="shared" si="0"/>
        <v>102</v>
      </c>
    </row>
    <row r="41" spans="1:30" ht="21" customHeight="1" x14ac:dyDescent="0.35">
      <c r="A41" s="11">
        <v>40</v>
      </c>
      <c r="B41" s="11" t="s">
        <v>147</v>
      </c>
      <c r="C41" s="11" t="s">
        <v>148</v>
      </c>
      <c r="D41" s="12" t="s">
        <v>149</v>
      </c>
      <c r="E41" s="19">
        <v>4</v>
      </c>
      <c r="F41" s="19">
        <v>10</v>
      </c>
      <c r="G41" s="19">
        <v>7</v>
      </c>
      <c r="H41" s="19">
        <v>0</v>
      </c>
      <c r="I41" s="19">
        <v>2</v>
      </c>
      <c r="J41" s="19">
        <v>5</v>
      </c>
      <c r="K41" s="19">
        <v>10</v>
      </c>
      <c r="L41" s="19">
        <v>2</v>
      </c>
      <c r="M41" s="19">
        <v>4</v>
      </c>
      <c r="N41" s="19">
        <v>9</v>
      </c>
      <c r="O41" s="19">
        <v>9</v>
      </c>
      <c r="P41" s="19">
        <v>3</v>
      </c>
      <c r="Q41" s="19">
        <v>6</v>
      </c>
      <c r="R41" s="19">
        <v>2</v>
      </c>
      <c r="S41" s="19">
        <v>4</v>
      </c>
      <c r="T41" s="19">
        <v>6</v>
      </c>
      <c r="U41" s="19">
        <v>10</v>
      </c>
      <c r="V41" s="19">
        <v>1</v>
      </c>
      <c r="W41" s="19">
        <v>0</v>
      </c>
      <c r="X41" s="19">
        <v>1</v>
      </c>
      <c r="Y41" s="19">
        <v>2</v>
      </c>
      <c r="Z41" s="19">
        <v>4</v>
      </c>
      <c r="AA41" s="19">
        <v>7</v>
      </c>
      <c r="AB41" s="19">
        <v>2</v>
      </c>
      <c r="AC41" s="19">
        <v>6</v>
      </c>
      <c r="AD41" s="10">
        <f t="shared" si="0"/>
        <v>116</v>
      </c>
    </row>
    <row r="42" spans="1:30" ht="21" customHeight="1" x14ac:dyDescent="0.35">
      <c r="A42" s="6">
        <v>41</v>
      </c>
      <c r="B42" s="6" t="s">
        <v>150</v>
      </c>
      <c r="C42" s="6" t="s">
        <v>151</v>
      </c>
      <c r="D42" s="7" t="s">
        <v>152</v>
      </c>
      <c r="E42" s="18">
        <v>0</v>
      </c>
      <c r="F42" s="18">
        <v>4</v>
      </c>
      <c r="G42" s="18">
        <v>1</v>
      </c>
      <c r="H42" s="18">
        <v>5</v>
      </c>
      <c r="I42" s="18">
        <v>10</v>
      </c>
      <c r="J42" s="18">
        <v>0</v>
      </c>
      <c r="K42" s="18">
        <v>7</v>
      </c>
      <c r="L42" s="18">
        <v>9</v>
      </c>
      <c r="M42" s="18">
        <v>10</v>
      </c>
      <c r="N42" s="18">
        <v>6</v>
      </c>
      <c r="O42" s="18">
        <v>1</v>
      </c>
      <c r="P42" s="18">
        <v>3</v>
      </c>
      <c r="Q42" s="18">
        <v>9</v>
      </c>
      <c r="R42" s="18">
        <v>2</v>
      </c>
      <c r="S42" s="18">
        <v>4</v>
      </c>
      <c r="T42" s="18">
        <v>9</v>
      </c>
      <c r="U42" s="18">
        <v>4</v>
      </c>
      <c r="V42" s="18">
        <v>8</v>
      </c>
      <c r="W42" s="18">
        <v>9</v>
      </c>
      <c r="X42" s="18">
        <v>5</v>
      </c>
      <c r="Y42" s="18">
        <v>0</v>
      </c>
      <c r="Z42" s="18">
        <v>10</v>
      </c>
      <c r="AA42" s="18">
        <v>0</v>
      </c>
      <c r="AB42" s="18">
        <v>7</v>
      </c>
      <c r="AC42" s="18">
        <v>8</v>
      </c>
      <c r="AD42" s="10">
        <f t="shared" si="0"/>
        <v>131</v>
      </c>
    </row>
    <row r="43" spans="1:30" ht="21" customHeight="1" x14ac:dyDescent="0.35">
      <c r="A43" s="1"/>
      <c r="B43" s="1"/>
      <c r="C43" s="1"/>
      <c r="D43" s="1"/>
      <c r="E43" s="19">
        <v>6</v>
      </c>
      <c r="F43" s="19">
        <v>1</v>
      </c>
      <c r="G43" s="19">
        <v>8</v>
      </c>
      <c r="H43" s="19">
        <v>9</v>
      </c>
      <c r="I43" s="19">
        <v>4</v>
      </c>
      <c r="J43" s="19">
        <v>10</v>
      </c>
      <c r="K43" s="19">
        <v>9</v>
      </c>
      <c r="L43" s="19">
        <v>0</v>
      </c>
      <c r="M43" s="19">
        <v>5</v>
      </c>
      <c r="N43" s="19">
        <v>10</v>
      </c>
      <c r="O43" s="19">
        <v>8</v>
      </c>
      <c r="P43" s="19">
        <v>9</v>
      </c>
      <c r="Q43" s="19">
        <v>6</v>
      </c>
      <c r="R43" s="19">
        <v>8</v>
      </c>
      <c r="S43" s="19">
        <v>7</v>
      </c>
      <c r="T43" s="19">
        <v>10</v>
      </c>
      <c r="U43" s="19">
        <v>0</v>
      </c>
      <c r="V43" s="19">
        <v>5</v>
      </c>
      <c r="W43" s="19">
        <v>2</v>
      </c>
      <c r="X43" s="19">
        <v>1</v>
      </c>
      <c r="Y43" s="19">
        <v>6</v>
      </c>
      <c r="Z43" s="19">
        <v>2</v>
      </c>
      <c r="AA43" s="19">
        <v>10</v>
      </c>
      <c r="AB43" s="19">
        <v>0</v>
      </c>
      <c r="AC43" s="19">
        <v>8</v>
      </c>
      <c r="AD43" s="10">
        <v>9</v>
      </c>
    </row>
  </sheetData>
  <autoFilter ref="A1:AD43" xr:uid="{00000000-0009-0000-0000-00000D000000}"/>
  <conditionalFormatting sqref="B1:D1">
    <cfRule type="cellIs" dxfId="18" priority="2" operator="equal">
      <formula>"Present"</formula>
    </cfRule>
    <cfRule type="cellIs" dxfId="17" priority="3" operator="equal">
      <formula>"Absent"</formula>
    </cfRule>
  </conditionalFormatting>
  <conditionalFormatting sqref="E2:AD43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  <pageSetUpPr fitToPage="1"/>
  </sheetPr>
  <dimension ref="A1:AE37"/>
  <sheetViews>
    <sheetView showGridLines="0" zoomScale="115" zoomScaleNormal="11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W58" sqref="W58"/>
    </sheetView>
  </sheetViews>
  <sheetFormatPr defaultColWidth="8.6328125" defaultRowHeight="15" customHeight="1" x14ac:dyDescent="0.35"/>
  <cols>
    <col min="1" max="1" width="7" customWidth="1"/>
    <col min="2" max="2" width="23" customWidth="1"/>
    <col min="3" max="3" width="16" customWidth="1"/>
    <col min="4" max="4" width="15" customWidth="1"/>
    <col min="5" max="29" width="12" customWidth="1"/>
    <col min="30" max="30" width="16" customWidth="1"/>
    <col min="31" max="31" width="12" customWidth="1"/>
  </cols>
  <sheetData>
    <row r="1" spans="1:31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1" ht="21" customHeight="1" x14ac:dyDescent="0.35">
      <c r="A2" s="6">
        <v>1</v>
      </c>
      <c r="B2" s="6" t="s">
        <v>643</v>
      </c>
      <c r="C2" s="6" t="s">
        <v>644</v>
      </c>
      <c r="D2" s="7" t="s">
        <v>645</v>
      </c>
      <c r="E2" s="18">
        <v>6</v>
      </c>
      <c r="F2" s="18">
        <v>2</v>
      </c>
      <c r="G2" s="18">
        <v>2</v>
      </c>
      <c r="H2" s="18">
        <v>10</v>
      </c>
      <c r="I2" s="18">
        <v>2</v>
      </c>
      <c r="J2" s="18">
        <v>1</v>
      </c>
      <c r="K2" s="18">
        <v>10</v>
      </c>
      <c r="L2" s="18">
        <v>5</v>
      </c>
      <c r="M2" s="18">
        <v>2</v>
      </c>
      <c r="N2" s="18">
        <v>7</v>
      </c>
      <c r="O2" s="18">
        <v>2</v>
      </c>
      <c r="P2" s="18">
        <v>7</v>
      </c>
      <c r="Q2" s="18">
        <v>2</v>
      </c>
      <c r="R2" s="18">
        <v>3</v>
      </c>
      <c r="S2" s="18">
        <v>5</v>
      </c>
      <c r="T2" s="18">
        <v>1</v>
      </c>
      <c r="U2" s="18">
        <v>4</v>
      </c>
      <c r="V2" s="18">
        <v>1</v>
      </c>
      <c r="W2" s="18">
        <v>5</v>
      </c>
      <c r="X2" s="18">
        <v>3</v>
      </c>
      <c r="Y2" s="18">
        <v>10</v>
      </c>
      <c r="Z2" s="18">
        <v>3</v>
      </c>
      <c r="AA2" s="18">
        <v>3</v>
      </c>
      <c r="AB2" s="18">
        <v>5</v>
      </c>
      <c r="AC2" s="18">
        <v>5</v>
      </c>
      <c r="AD2" s="10">
        <f t="shared" ref="AD2:AD35" si="0">SUM(E2:AC2)</f>
        <v>106</v>
      </c>
      <c r="AE2" s="3"/>
    </row>
    <row r="3" spans="1:31" ht="21" customHeight="1" x14ac:dyDescent="0.35">
      <c r="A3" s="11">
        <v>2</v>
      </c>
      <c r="B3" s="11" t="s">
        <v>646</v>
      </c>
      <c r="C3" s="11" t="s">
        <v>647</v>
      </c>
      <c r="D3" s="12" t="s">
        <v>648</v>
      </c>
      <c r="E3" s="19">
        <v>8</v>
      </c>
      <c r="F3" s="19">
        <v>0</v>
      </c>
      <c r="G3" s="19">
        <v>5</v>
      </c>
      <c r="H3" s="19">
        <v>3</v>
      </c>
      <c r="I3" s="19">
        <v>2</v>
      </c>
      <c r="J3" s="19">
        <v>6</v>
      </c>
      <c r="K3" s="19">
        <v>6</v>
      </c>
      <c r="L3" s="19">
        <v>9</v>
      </c>
      <c r="M3" s="19">
        <v>2</v>
      </c>
      <c r="N3" s="19">
        <v>4</v>
      </c>
      <c r="O3" s="19">
        <v>10</v>
      </c>
      <c r="P3" s="19">
        <v>0</v>
      </c>
      <c r="Q3" s="19">
        <v>2</v>
      </c>
      <c r="R3" s="19">
        <v>4</v>
      </c>
      <c r="S3" s="19">
        <v>7</v>
      </c>
      <c r="T3" s="19">
        <v>1</v>
      </c>
      <c r="U3" s="19">
        <v>9</v>
      </c>
      <c r="V3" s="19">
        <v>9</v>
      </c>
      <c r="W3" s="19">
        <v>2</v>
      </c>
      <c r="X3" s="19">
        <v>7</v>
      </c>
      <c r="Y3" s="19">
        <v>10</v>
      </c>
      <c r="Z3" s="19">
        <v>8</v>
      </c>
      <c r="AA3" s="19">
        <v>8</v>
      </c>
      <c r="AB3" s="19">
        <v>3</v>
      </c>
      <c r="AC3" s="19">
        <v>3</v>
      </c>
      <c r="AD3" s="10">
        <f t="shared" si="0"/>
        <v>128</v>
      </c>
      <c r="AE3" s="3"/>
    </row>
    <row r="4" spans="1:31" ht="21" customHeight="1" x14ac:dyDescent="0.35">
      <c r="A4" s="6">
        <v>3</v>
      </c>
      <c r="B4" s="6" t="s">
        <v>649</v>
      </c>
      <c r="C4" s="6" t="s">
        <v>650</v>
      </c>
      <c r="D4" s="7" t="s">
        <v>651</v>
      </c>
      <c r="E4" s="18">
        <v>6</v>
      </c>
      <c r="F4" s="18">
        <v>0</v>
      </c>
      <c r="G4" s="18">
        <v>2</v>
      </c>
      <c r="H4" s="18">
        <v>5</v>
      </c>
      <c r="I4" s="18">
        <v>2</v>
      </c>
      <c r="J4" s="18">
        <v>10</v>
      </c>
      <c r="K4" s="18">
        <v>6</v>
      </c>
      <c r="L4" s="18">
        <v>1</v>
      </c>
      <c r="M4" s="18">
        <v>9</v>
      </c>
      <c r="N4" s="18">
        <v>5</v>
      </c>
      <c r="O4" s="18">
        <v>10</v>
      </c>
      <c r="P4" s="18">
        <v>4</v>
      </c>
      <c r="Q4" s="18">
        <v>9</v>
      </c>
      <c r="R4" s="18">
        <v>4</v>
      </c>
      <c r="S4" s="18">
        <v>6</v>
      </c>
      <c r="T4" s="18">
        <v>1</v>
      </c>
      <c r="U4" s="18">
        <v>7</v>
      </c>
      <c r="V4" s="18">
        <v>8</v>
      </c>
      <c r="W4" s="18">
        <v>8</v>
      </c>
      <c r="X4" s="18">
        <v>8</v>
      </c>
      <c r="Y4" s="18">
        <v>3</v>
      </c>
      <c r="Z4" s="18">
        <v>6</v>
      </c>
      <c r="AA4" s="18">
        <v>8</v>
      </c>
      <c r="AB4" s="18">
        <v>7</v>
      </c>
      <c r="AC4" s="18">
        <v>5</v>
      </c>
      <c r="AD4" s="10">
        <f t="shared" si="0"/>
        <v>140</v>
      </c>
      <c r="AE4" s="3"/>
    </row>
    <row r="5" spans="1:31" ht="21" customHeight="1" x14ac:dyDescent="0.35">
      <c r="A5" s="11">
        <v>4</v>
      </c>
      <c r="B5" s="11" t="s">
        <v>652</v>
      </c>
      <c r="C5" s="11" t="s">
        <v>653</v>
      </c>
      <c r="D5" s="12" t="s">
        <v>654</v>
      </c>
      <c r="E5" s="19">
        <v>9</v>
      </c>
      <c r="F5" s="19">
        <v>3</v>
      </c>
      <c r="G5" s="19">
        <v>9</v>
      </c>
      <c r="H5" s="19">
        <v>10</v>
      </c>
      <c r="I5" s="19">
        <v>8</v>
      </c>
      <c r="J5" s="19">
        <v>6</v>
      </c>
      <c r="K5" s="19">
        <v>4</v>
      </c>
      <c r="L5" s="19">
        <v>4</v>
      </c>
      <c r="M5" s="19">
        <v>9</v>
      </c>
      <c r="N5" s="19">
        <v>1</v>
      </c>
      <c r="O5" s="19">
        <v>0</v>
      </c>
      <c r="P5" s="19">
        <v>2</v>
      </c>
      <c r="Q5" s="19">
        <v>9</v>
      </c>
      <c r="R5" s="19">
        <v>5</v>
      </c>
      <c r="S5" s="19">
        <v>3</v>
      </c>
      <c r="T5" s="19">
        <v>1</v>
      </c>
      <c r="U5" s="19">
        <v>10</v>
      </c>
      <c r="V5" s="19">
        <v>6</v>
      </c>
      <c r="W5" s="19">
        <v>5</v>
      </c>
      <c r="X5" s="19">
        <v>9</v>
      </c>
      <c r="Y5" s="19">
        <v>7</v>
      </c>
      <c r="Z5" s="19">
        <v>3</v>
      </c>
      <c r="AA5" s="19">
        <v>4</v>
      </c>
      <c r="AB5" s="19">
        <v>10</v>
      </c>
      <c r="AC5" s="19">
        <v>4</v>
      </c>
      <c r="AD5" s="10">
        <f t="shared" si="0"/>
        <v>141</v>
      </c>
      <c r="AE5" s="3"/>
    </row>
    <row r="6" spans="1:31" ht="21" customHeight="1" x14ac:dyDescent="0.35">
      <c r="A6" s="6">
        <v>5</v>
      </c>
      <c r="B6" s="6" t="s">
        <v>655</v>
      </c>
      <c r="C6" s="6" t="s">
        <v>656</v>
      </c>
      <c r="D6" s="7" t="s">
        <v>657</v>
      </c>
      <c r="E6" s="18">
        <v>3</v>
      </c>
      <c r="F6" s="18">
        <v>2</v>
      </c>
      <c r="G6" s="18">
        <v>4</v>
      </c>
      <c r="H6" s="18">
        <v>3</v>
      </c>
      <c r="I6" s="18">
        <v>7</v>
      </c>
      <c r="J6" s="18">
        <v>2</v>
      </c>
      <c r="K6" s="18">
        <v>4</v>
      </c>
      <c r="L6" s="18">
        <v>6</v>
      </c>
      <c r="M6" s="18">
        <v>2</v>
      </c>
      <c r="N6" s="18">
        <v>6</v>
      </c>
      <c r="O6" s="18">
        <v>8</v>
      </c>
      <c r="P6" s="18">
        <v>5</v>
      </c>
      <c r="Q6" s="18">
        <v>2</v>
      </c>
      <c r="R6" s="18">
        <v>2</v>
      </c>
      <c r="S6" s="18">
        <v>3</v>
      </c>
      <c r="T6" s="18">
        <v>6</v>
      </c>
      <c r="U6" s="18">
        <v>5</v>
      </c>
      <c r="V6" s="18">
        <v>0</v>
      </c>
      <c r="W6" s="18">
        <v>2</v>
      </c>
      <c r="X6" s="18">
        <v>9</v>
      </c>
      <c r="Y6" s="18">
        <v>0</v>
      </c>
      <c r="Z6" s="18">
        <v>6</v>
      </c>
      <c r="AA6" s="18">
        <v>7</v>
      </c>
      <c r="AB6" s="18">
        <v>4</v>
      </c>
      <c r="AC6" s="18">
        <v>4</v>
      </c>
      <c r="AD6" s="10">
        <f t="shared" si="0"/>
        <v>102</v>
      </c>
      <c r="AE6" s="3"/>
    </row>
    <row r="7" spans="1:31" ht="21" customHeight="1" x14ac:dyDescent="0.35">
      <c r="A7" s="11">
        <v>6</v>
      </c>
      <c r="B7" s="11" t="s">
        <v>658</v>
      </c>
      <c r="C7" s="11" t="s">
        <v>659</v>
      </c>
      <c r="D7" s="12" t="s">
        <v>660</v>
      </c>
      <c r="E7" s="19">
        <v>0</v>
      </c>
      <c r="F7" s="19">
        <v>2</v>
      </c>
      <c r="G7" s="19">
        <v>8</v>
      </c>
      <c r="H7" s="19">
        <v>10</v>
      </c>
      <c r="I7" s="19">
        <v>2</v>
      </c>
      <c r="J7" s="19">
        <v>6</v>
      </c>
      <c r="K7" s="19">
        <v>8</v>
      </c>
      <c r="L7" s="19">
        <v>10</v>
      </c>
      <c r="M7" s="19">
        <v>2</v>
      </c>
      <c r="N7" s="19">
        <v>7</v>
      </c>
      <c r="O7" s="19">
        <v>8</v>
      </c>
      <c r="P7" s="19">
        <v>2</v>
      </c>
      <c r="Q7" s="19">
        <v>2</v>
      </c>
      <c r="R7" s="19">
        <v>4</v>
      </c>
      <c r="S7" s="19">
        <v>6</v>
      </c>
      <c r="T7" s="19">
        <v>5</v>
      </c>
      <c r="U7" s="19">
        <v>6</v>
      </c>
      <c r="V7" s="19">
        <v>10</v>
      </c>
      <c r="W7" s="19">
        <v>4</v>
      </c>
      <c r="X7" s="19">
        <v>6</v>
      </c>
      <c r="Y7" s="19">
        <v>10</v>
      </c>
      <c r="Z7" s="19">
        <v>0</v>
      </c>
      <c r="AA7" s="19">
        <v>6</v>
      </c>
      <c r="AB7" s="19">
        <v>7</v>
      </c>
      <c r="AC7" s="19">
        <v>8</v>
      </c>
      <c r="AD7" s="10">
        <f t="shared" si="0"/>
        <v>139</v>
      </c>
      <c r="AE7" s="3"/>
    </row>
    <row r="8" spans="1:31" ht="21" customHeight="1" x14ac:dyDescent="0.35">
      <c r="A8" s="6">
        <v>7</v>
      </c>
      <c r="B8" s="6" t="s">
        <v>661</v>
      </c>
      <c r="C8" s="6" t="s">
        <v>662</v>
      </c>
      <c r="D8" s="7" t="s">
        <v>663</v>
      </c>
      <c r="E8" s="18">
        <v>8</v>
      </c>
      <c r="F8" s="18">
        <v>2</v>
      </c>
      <c r="G8" s="18">
        <v>9</v>
      </c>
      <c r="H8" s="18">
        <v>2</v>
      </c>
      <c r="I8" s="18">
        <v>2</v>
      </c>
      <c r="J8" s="18">
        <v>10</v>
      </c>
      <c r="K8" s="18">
        <v>0</v>
      </c>
      <c r="L8" s="18">
        <v>9</v>
      </c>
      <c r="M8" s="18">
        <v>2</v>
      </c>
      <c r="N8" s="18">
        <v>7</v>
      </c>
      <c r="O8" s="18">
        <v>0</v>
      </c>
      <c r="P8" s="18">
        <v>0</v>
      </c>
      <c r="Q8" s="18">
        <v>2</v>
      </c>
      <c r="R8" s="18">
        <v>10</v>
      </c>
      <c r="S8" s="18">
        <v>8</v>
      </c>
      <c r="T8" s="18">
        <v>3</v>
      </c>
      <c r="U8" s="18">
        <v>1</v>
      </c>
      <c r="V8" s="18">
        <v>6</v>
      </c>
      <c r="W8" s="18">
        <v>9</v>
      </c>
      <c r="X8" s="18">
        <v>7</v>
      </c>
      <c r="Y8" s="18">
        <v>0</v>
      </c>
      <c r="Z8" s="18">
        <v>5</v>
      </c>
      <c r="AA8" s="18">
        <v>6</v>
      </c>
      <c r="AB8" s="18">
        <v>9</v>
      </c>
      <c r="AC8" s="18">
        <v>6</v>
      </c>
      <c r="AD8" s="10">
        <f t="shared" si="0"/>
        <v>123</v>
      </c>
      <c r="AE8" s="3"/>
    </row>
    <row r="9" spans="1:31" ht="21" customHeight="1" x14ac:dyDescent="0.35">
      <c r="A9" s="11">
        <v>8</v>
      </c>
      <c r="B9" s="11" t="s">
        <v>664</v>
      </c>
      <c r="C9" s="11" t="s">
        <v>665</v>
      </c>
      <c r="D9" s="12" t="s">
        <v>666</v>
      </c>
      <c r="E9" s="19">
        <v>7</v>
      </c>
      <c r="F9" s="19">
        <v>2</v>
      </c>
      <c r="G9" s="19">
        <v>10</v>
      </c>
      <c r="H9" s="19">
        <v>1</v>
      </c>
      <c r="I9" s="19">
        <v>2</v>
      </c>
      <c r="J9" s="19">
        <v>10</v>
      </c>
      <c r="K9" s="19">
        <v>0</v>
      </c>
      <c r="L9" s="19">
        <v>3</v>
      </c>
      <c r="M9" s="19">
        <v>2</v>
      </c>
      <c r="N9" s="19">
        <v>3</v>
      </c>
      <c r="O9" s="19">
        <v>10</v>
      </c>
      <c r="P9" s="19">
        <v>0</v>
      </c>
      <c r="Q9" s="19">
        <v>3</v>
      </c>
      <c r="R9" s="19">
        <v>5</v>
      </c>
      <c r="S9" s="19">
        <v>6</v>
      </c>
      <c r="T9" s="19">
        <v>6</v>
      </c>
      <c r="U9" s="19">
        <v>6</v>
      </c>
      <c r="V9" s="19">
        <v>10</v>
      </c>
      <c r="W9" s="19">
        <v>9</v>
      </c>
      <c r="X9" s="19">
        <v>2</v>
      </c>
      <c r="Y9" s="19">
        <v>10</v>
      </c>
      <c r="Z9" s="19">
        <v>10</v>
      </c>
      <c r="AA9" s="19">
        <v>6</v>
      </c>
      <c r="AB9" s="19">
        <v>9</v>
      </c>
      <c r="AC9" s="19">
        <v>0</v>
      </c>
      <c r="AD9" s="10">
        <f t="shared" si="0"/>
        <v>132</v>
      </c>
      <c r="AE9" s="3"/>
    </row>
    <row r="10" spans="1:31" ht="21" customHeight="1" x14ac:dyDescent="0.35">
      <c r="A10" s="6">
        <v>9</v>
      </c>
      <c r="B10" s="6" t="s">
        <v>667</v>
      </c>
      <c r="C10" s="6" t="s">
        <v>668</v>
      </c>
      <c r="D10" s="7" t="s">
        <v>669</v>
      </c>
      <c r="E10" s="18">
        <v>4</v>
      </c>
      <c r="F10" s="18">
        <v>2</v>
      </c>
      <c r="G10" s="18">
        <v>7</v>
      </c>
      <c r="H10" s="18">
        <v>9</v>
      </c>
      <c r="I10" s="18">
        <v>2</v>
      </c>
      <c r="J10" s="18">
        <v>6</v>
      </c>
      <c r="K10" s="18">
        <v>8</v>
      </c>
      <c r="L10" s="18">
        <v>3</v>
      </c>
      <c r="M10" s="18">
        <v>2</v>
      </c>
      <c r="N10" s="18">
        <v>9</v>
      </c>
      <c r="O10" s="18">
        <v>5</v>
      </c>
      <c r="P10" s="18">
        <v>0</v>
      </c>
      <c r="Q10" s="18">
        <v>2</v>
      </c>
      <c r="R10" s="18">
        <v>2</v>
      </c>
      <c r="S10" s="18">
        <v>6</v>
      </c>
      <c r="T10" s="18">
        <v>6</v>
      </c>
      <c r="U10" s="18">
        <v>5</v>
      </c>
      <c r="V10" s="18">
        <v>9</v>
      </c>
      <c r="W10" s="18">
        <v>8</v>
      </c>
      <c r="X10" s="18">
        <v>8</v>
      </c>
      <c r="Y10" s="18">
        <v>9</v>
      </c>
      <c r="Z10" s="18">
        <v>3</v>
      </c>
      <c r="AA10" s="18">
        <v>5</v>
      </c>
      <c r="AB10" s="18">
        <v>0</v>
      </c>
      <c r="AC10" s="18">
        <v>3</v>
      </c>
      <c r="AD10" s="10">
        <f t="shared" si="0"/>
        <v>123</v>
      </c>
      <c r="AE10" s="3"/>
    </row>
    <row r="11" spans="1:31" ht="21" customHeight="1" x14ac:dyDescent="0.35">
      <c r="A11" s="11">
        <v>10</v>
      </c>
      <c r="B11" s="11" t="s">
        <v>670</v>
      </c>
      <c r="C11" s="11" t="s">
        <v>671</v>
      </c>
      <c r="D11" s="12" t="s">
        <v>672</v>
      </c>
      <c r="E11" s="19">
        <v>0</v>
      </c>
      <c r="F11" s="19">
        <v>2</v>
      </c>
      <c r="G11" s="19">
        <v>5</v>
      </c>
      <c r="H11" s="19">
        <v>6</v>
      </c>
      <c r="I11" s="19">
        <v>1</v>
      </c>
      <c r="J11" s="19">
        <v>10</v>
      </c>
      <c r="K11" s="19">
        <v>10</v>
      </c>
      <c r="L11" s="19">
        <v>7</v>
      </c>
      <c r="M11" s="19">
        <v>2</v>
      </c>
      <c r="N11" s="19">
        <v>10</v>
      </c>
      <c r="O11" s="19">
        <v>8</v>
      </c>
      <c r="P11" s="19">
        <v>0</v>
      </c>
      <c r="Q11" s="19">
        <v>5</v>
      </c>
      <c r="R11" s="19">
        <v>3</v>
      </c>
      <c r="S11" s="19">
        <v>7</v>
      </c>
      <c r="T11" s="19">
        <v>1</v>
      </c>
      <c r="U11" s="19">
        <v>1</v>
      </c>
      <c r="V11" s="19">
        <v>3</v>
      </c>
      <c r="W11" s="19">
        <v>4</v>
      </c>
      <c r="X11" s="19">
        <v>6</v>
      </c>
      <c r="Y11" s="19">
        <v>2</v>
      </c>
      <c r="Z11" s="19">
        <v>6</v>
      </c>
      <c r="AA11" s="19">
        <v>1</v>
      </c>
      <c r="AB11" s="19">
        <v>3</v>
      </c>
      <c r="AC11" s="19">
        <v>2</v>
      </c>
      <c r="AD11" s="10">
        <f t="shared" si="0"/>
        <v>105</v>
      </c>
      <c r="AE11" s="3"/>
    </row>
    <row r="12" spans="1:31" ht="21" customHeight="1" x14ac:dyDescent="0.35">
      <c r="A12" s="6">
        <v>11</v>
      </c>
      <c r="B12" s="6" t="s">
        <v>673</v>
      </c>
      <c r="C12" s="6" t="s">
        <v>674</v>
      </c>
      <c r="D12" s="7" t="s">
        <v>675</v>
      </c>
      <c r="E12" s="18">
        <v>6</v>
      </c>
      <c r="F12" s="18">
        <v>2</v>
      </c>
      <c r="G12" s="18">
        <v>3</v>
      </c>
      <c r="H12" s="18">
        <v>2</v>
      </c>
      <c r="I12" s="18">
        <v>1</v>
      </c>
      <c r="J12" s="18">
        <v>1</v>
      </c>
      <c r="K12" s="18">
        <v>7</v>
      </c>
      <c r="L12" s="18">
        <v>0</v>
      </c>
      <c r="M12" s="18">
        <v>2</v>
      </c>
      <c r="N12" s="18">
        <v>0</v>
      </c>
      <c r="O12" s="18">
        <v>7</v>
      </c>
      <c r="P12" s="18">
        <v>2</v>
      </c>
      <c r="Q12" s="18">
        <v>2</v>
      </c>
      <c r="R12" s="18">
        <v>9</v>
      </c>
      <c r="S12" s="18">
        <v>7</v>
      </c>
      <c r="T12" s="18">
        <v>8</v>
      </c>
      <c r="U12" s="18">
        <v>5</v>
      </c>
      <c r="V12" s="18">
        <v>10</v>
      </c>
      <c r="W12" s="18">
        <v>1</v>
      </c>
      <c r="X12" s="18">
        <v>9</v>
      </c>
      <c r="Y12" s="18">
        <v>2</v>
      </c>
      <c r="Z12" s="18">
        <v>8</v>
      </c>
      <c r="AA12" s="18">
        <v>2</v>
      </c>
      <c r="AB12" s="18">
        <v>1</v>
      </c>
      <c r="AC12" s="18">
        <v>0</v>
      </c>
      <c r="AD12" s="10">
        <f t="shared" si="0"/>
        <v>97</v>
      </c>
      <c r="AE12" s="3"/>
    </row>
    <row r="13" spans="1:31" ht="21" customHeight="1" x14ac:dyDescent="0.35">
      <c r="A13" s="11">
        <v>12</v>
      </c>
      <c r="B13" s="11" t="s">
        <v>676</v>
      </c>
      <c r="C13" s="11" t="s">
        <v>677</v>
      </c>
      <c r="D13" s="12" t="s">
        <v>678</v>
      </c>
      <c r="E13" s="19">
        <v>2</v>
      </c>
      <c r="F13" s="19">
        <v>2</v>
      </c>
      <c r="G13" s="19">
        <v>3</v>
      </c>
      <c r="H13" s="19">
        <v>10</v>
      </c>
      <c r="I13" s="19">
        <v>2</v>
      </c>
      <c r="J13" s="19">
        <v>4</v>
      </c>
      <c r="K13" s="19">
        <v>0</v>
      </c>
      <c r="L13" s="19">
        <v>10</v>
      </c>
      <c r="M13" s="19">
        <v>2</v>
      </c>
      <c r="N13" s="19">
        <v>0</v>
      </c>
      <c r="O13" s="19">
        <v>1</v>
      </c>
      <c r="P13" s="19">
        <v>7</v>
      </c>
      <c r="Q13" s="19">
        <v>2</v>
      </c>
      <c r="R13" s="19">
        <v>2</v>
      </c>
      <c r="S13" s="19">
        <v>1</v>
      </c>
      <c r="T13" s="19">
        <v>3</v>
      </c>
      <c r="U13" s="19">
        <v>1</v>
      </c>
      <c r="V13" s="19">
        <v>1</v>
      </c>
      <c r="W13" s="19">
        <v>2</v>
      </c>
      <c r="X13" s="19">
        <v>9</v>
      </c>
      <c r="Y13" s="19">
        <v>2</v>
      </c>
      <c r="Z13" s="19">
        <v>0</v>
      </c>
      <c r="AA13" s="19">
        <v>5</v>
      </c>
      <c r="AB13" s="19">
        <v>1</v>
      </c>
      <c r="AC13" s="19">
        <v>6</v>
      </c>
      <c r="AD13" s="10">
        <f t="shared" si="0"/>
        <v>78</v>
      </c>
      <c r="AE13" s="3"/>
    </row>
    <row r="14" spans="1:31" ht="21" customHeight="1" x14ac:dyDescent="0.35">
      <c r="A14" s="6">
        <v>13</v>
      </c>
      <c r="B14" s="6" t="s">
        <v>679</v>
      </c>
      <c r="C14" s="6" t="s">
        <v>680</v>
      </c>
      <c r="D14" s="7" t="s">
        <v>681</v>
      </c>
      <c r="E14" s="18">
        <v>2</v>
      </c>
      <c r="F14" s="18">
        <v>2</v>
      </c>
      <c r="G14" s="18">
        <v>6</v>
      </c>
      <c r="H14" s="18">
        <v>3</v>
      </c>
      <c r="I14" s="18">
        <v>2</v>
      </c>
      <c r="J14" s="18">
        <v>6</v>
      </c>
      <c r="K14" s="18">
        <v>6</v>
      </c>
      <c r="L14" s="18">
        <v>4</v>
      </c>
      <c r="M14" s="18">
        <v>2</v>
      </c>
      <c r="N14" s="18">
        <v>2</v>
      </c>
      <c r="O14" s="18">
        <v>6</v>
      </c>
      <c r="P14" s="18">
        <v>3</v>
      </c>
      <c r="Q14" s="18">
        <v>2</v>
      </c>
      <c r="R14" s="18">
        <v>9</v>
      </c>
      <c r="S14" s="18">
        <v>4</v>
      </c>
      <c r="T14" s="18">
        <v>3</v>
      </c>
      <c r="U14" s="18">
        <v>0</v>
      </c>
      <c r="V14" s="18">
        <v>10</v>
      </c>
      <c r="W14" s="18">
        <v>2</v>
      </c>
      <c r="X14" s="18">
        <v>8</v>
      </c>
      <c r="Y14" s="18">
        <v>4</v>
      </c>
      <c r="Z14" s="18">
        <v>1</v>
      </c>
      <c r="AA14" s="18">
        <v>3</v>
      </c>
      <c r="AB14" s="18">
        <v>7</v>
      </c>
      <c r="AC14" s="18">
        <v>3</v>
      </c>
      <c r="AD14" s="10">
        <f t="shared" si="0"/>
        <v>100</v>
      </c>
      <c r="AE14" s="3"/>
    </row>
    <row r="15" spans="1:31" ht="21" customHeight="1" x14ac:dyDescent="0.35">
      <c r="A15" s="11">
        <v>14</v>
      </c>
      <c r="B15" s="11" t="s">
        <v>682</v>
      </c>
      <c r="C15" s="11" t="s">
        <v>683</v>
      </c>
      <c r="D15" s="12" t="s">
        <v>684</v>
      </c>
      <c r="E15" s="19">
        <v>9</v>
      </c>
      <c r="F15" s="19">
        <v>2</v>
      </c>
      <c r="G15" s="19">
        <v>7</v>
      </c>
      <c r="H15" s="19">
        <v>8</v>
      </c>
      <c r="I15" s="19">
        <v>7</v>
      </c>
      <c r="J15" s="19">
        <v>10</v>
      </c>
      <c r="K15" s="19">
        <v>10</v>
      </c>
      <c r="L15" s="19">
        <v>7</v>
      </c>
      <c r="M15" s="19">
        <v>2</v>
      </c>
      <c r="N15" s="19">
        <v>1</v>
      </c>
      <c r="O15" s="19">
        <v>0</v>
      </c>
      <c r="P15" s="19">
        <v>6</v>
      </c>
      <c r="Q15" s="19">
        <v>2</v>
      </c>
      <c r="R15" s="19">
        <v>1</v>
      </c>
      <c r="S15" s="19">
        <v>4</v>
      </c>
      <c r="T15" s="19">
        <v>5</v>
      </c>
      <c r="U15" s="19">
        <v>10</v>
      </c>
      <c r="V15" s="19">
        <v>1</v>
      </c>
      <c r="W15" s="19">
        <v>1</v>
      </c>
      <c r="X15" s="19">
        <v>5</v>
      </c>
      <c r="Y15" s="19">
        <v>0</v>
      </c>
      <c r="Z15" s="19">
        <v>5</v>
      </c>
      <c r="AA15" s="19">
        <v>6</v>
      </c>
      <c r="AB15" s="19">
        <v>9</v>
      </c>
      <c r="AC15" s="19">
        <v>5</v>
      </c>
      <c r="AD15" s="10">
        <f t="shared" si="0"/>
        <v>123</v>
      </c>
      <c r="AE15" s="3"/>
    </row>
    <row r="16" spans="1:31" ht="21" customHeight="1" x14ac:dyDescent="0.35">
      <c r="A16" s="6">
        <v>15</v>
      </c>
      <c r="B16" s="6" t="s">
        <v>685</v>
      </c>
      <c r="C16" s="6" t="s">
        <v>686</v>
      </c>
      <c r="D16" s="7" t="s">
        <v>687</v>
      </c>
      <c r="E16" s="18">
        <v>2</v>
      </c>
      <c r="F16" s="18">
        <v>2</v>
      </c>
      <c r="G16" s="18">
        <v>9</v>
      </c>
      <c r="H16" s="18">
        <v>5</v>
      </c>
      <c r="I16" s="18">
        <v>2</v>
      </c>
      <c r="J16" s="18">
        <v>7</v>
      </c>
      <c r="K16" s="18">
        <v>6</v>
      </c>
      <c r="L16" s="18">
        <v>6</v>
      </c>
      <c r="M16" s="18">
        <v>5</v>
      </c>
      <c r="N16" s="18">
        <v>9</v>
      </c>
      <c r="O16" s="18">
        <v>8</v>
      </c>
      <c r="P16" s="18">
        <v>2</v>
      </c>
      <c r="Q16" s="18">
        <v>2</v>
      </c>
      <c r="R16" s="18">
        <v>7</v>
      </c>
      <c r="S16" s="18">
        <v>9</v>
      </c>
      <c r="T16" s="18">
        <v>6</v>
      </c>
      <c r="U16" s="18">
        <v>1</v>
      </c>
      <c r="V16" s="18">
        <v>2</v>
      </c>
      <c r="W16" s="18">
        <v>2</v>
      </c>
      <c r="X16" s="18">
        <v>2</v>
      </c>
      <c r="Y16" s="18">
        <v>8</v>
      </c>
      <c r="Z16" s="18">
        <v>2</v>
      </c>
      <c r="AA16" s="18">
        <v>7</v>
      </c>
      <c r="AB16" s="18">
        <v>6</v>
      </c>
      <c r="AC16" s="18">
        <v>10</v>
      </c>
      <c r="AD16" s="10">
        <f t="shared" si="0"/>
        <v>127</v>
      </c>
      <c r="AE16" s="3"/>
    </row>
    <row r="17" spans="1:31" ht="21" customHeight="1" x14ac:dyDescent="0.35">
      <c r="A17" s="11">
        <v>16</v>
      </c>
      <c r="B17" s="11" t="s">
        <v>688</v>
      </c>
      <c r="C17" s="11" t="s">
        <v>689</v>
      </c>
      <c r="D17" s="12" t="s">
        <v>690</v>
      </c>
      <c r="E17" s="19">
        <v>2</v>
      </c>
      <c r="F17" s="19">
        <v>7</v>
      </c>
      <c r="G17" s="19">
        <v>0</v>
      </c>
      <c r="H17" s="19">
        <v>7</v>
      </c>
      <c r="I17" s="19">
        <v>7</v>
      </c>
      <c r="J17" s="19">
        <v>9</v>
      </c>
      <c r="K17" s="19">
        <v>7</v>
      </c>
      <c r="L17" s="19">
        <v>5</v>
      </c>
      <c r="M17" s="19">
        <v>2</v>
      </c>
      <c r="N17" s="19">
        <v>4</v>
      </c>
      <c r="O17" s="19">
        <v>6</v>
      </c>
      <c r="P17" s="19">
        <v>5</v>
      </c>
      <c r="Q17" s="19">
        <v>9</v>
      </c>
      <c r="R17" s="19">
        <v>2</v>
      </c>
      <c r="S17" s="19">
        <v>7</v>
      </c>
      <c r="T17" s="19">
        <v>0</v>
      </c>
      <c r="U17" s="19">
        <v>8</v>
      </c>
      <c r="V17" s="19">
        <v>0</v>
      </c>
      <c r="W17" s="19">
        <v>5</v>
      </c>
      <c r="X17" s="19">
        <v>1</v>
      </c>
      <c r="Y17" s="19">
        <v>5</v>
      </c>
      <c r="Z17" s="19">
        <v>3</v>
      </c>
      <c r="AA17" s="19">
        <v>0</v>
      </c>
      <c r="AB17" s="19">
        <v>0</v>
      </c>
      <c r="AC17" s="19">
        <v>1</v>
      </c>
      <c r="AD17" s="10">
        <f t="shared" si="0"/>
        <v>102</v>
      </c>
      <c r="AE17" s="3"/>
    </row>
    <row r="18" spans="1:31" ht="21" customHeight="1" x14ac:dyDescent="0.35">
      <c r="A18" s="6">
        <v>17</v>
      </c>
      <c r="B18" s="6" t="s">
        <v>691</v>
      </c>
      <c r="C18" s="6" t="s">
        <v>692</v>
      </c>
      <c r="D18" s="7" t="s">
        <v>693</v>
      </c>
      <c r="E18" s="18">
        <v>9</v>
      </c>
      <c r="F18" s="18">
        <v>9</v>
      </c>
      <c r="G18" s="18">
        <v>5</v>
      </c>
      <c r="H18" s="18">
        <v>2</v>
      </c>
      <c r="I18" s="18">
        <v>2</v>
      </c>
      <c r="J18" s="18">
        <v>0</v>
      </c>
      <c r="K18" s="18">
        <v>6</v>
      </c>
      <c r="L18" s="18">
        <v>4</v>
      </c>
      <c r="M18" s="18">
        <v>2</v>
      </c>
      <c r="N18" s="18">
        <v>8</v>
      </c>
      <c r="O18" s="18">
        <v>1</v>
      </c>
      <c r="P18" s="18">
        <v>0</v>
      </c>
      <c r="Q18" s="18">
        <v>2</v>
      </c>
      <c r="R18" s="18">
        <v>6</v>
      </c>
      <c r="S18" s="18">
        <v>5</v>
      </c>
      <c r="T18" s="18">
        <v>4</v>
      </c>
      <c r="U18" s="18">
        <v>8</v>
      </c>
      <c r="V18" s="18">
        <v>10</v>
      </c>
      <c r="W18" s="18">
        <v>5</v>
      </c>
      <c r="X18" s="18">
        <v>5</v>
      </c>
      <c r="Y18" s="18">
        <v>7</v>
      </c>
      <c r="Z18" s="18">
        <v>6</v>
      </c>
      <c r="AA18" s="18">
        <v>9</v>
      </c>
      <c r="AB18" s="18">
        <v>1</v>
      </c>
      <c r="AC18" s="18">
        <v>0</v>
      </c>
      <c r="AD18" s="10">
        <f t="shared" si="0"/>
        <v>116</v>
      </c>
      <c r="AE18" s="3"/>
    </row>
    <row r="19" spans="1:31" ht="21" customHeight="1" x14ac:dyDescent="0.35">
      <c r="A19" s="11">
        <v>18</v>
      </c>
      <c r="B19" s="11" t="s">
        <v>694</v>
      </c>
      <c r="C19" s="11" t="s">
        <v>695</v>
      </c>
      <c r="D19" s="12" t="s">
        <v>696</v>
      </c>
      <c r="E19" s="19">
        <v>4</v>
      </c>
      <c r="F19" s="19">
        <v>4</v>
      </c>
      <c r="G19" s="19">
        <v>6</v>
      </c>
      <c r="H19" s="19">
        <v>6</v>
      </c>
      <c r="I19" s="19">
        <v>3</v>
      </c>
      <c r="J19" s="19">
        <v>1</v>
      </c>
      <c r="K19" s="19">
        <v>9</v>
      </c>
      <c r="L19" s="19">
        <v>4</v>
      </c>
      <c r="M19" s="19">
        <v>0</v>
      </c>
      <c r="N19" s="19">
        <v>8</v>
      </c>
      <c r="O19" s="19">
        <v>4</v>
      </c>
      <c r="P19" s="19">
        <v>1</v>
      </c>
      <c r="Q19" s="19">
        <v>2</v>
      </c>
      <c r="R19" s="19">
        <v>5</v>
      </c>
      <c r="S19" s="19">
        <v>9</v>
      </c>
      <c r="T19" s="19">
        <v>10</v>
      </c>
      <c r="U19" s="19">
        <v>1</v>
      </c>
      <c r="V19" s="19">
        <v>5</v>
      </c>
      <c r="W19" s="19">
        <v>5</v>
      </c>
      <c r="X19" s="19">
        <v>4</v>
      </c>
      <c r="Y19" s="19">
        <v>7</v>
      </c>
      <c r="Z19" s="19">
        <v>10</v>
      </c>
      <c r="AA19" s="19">
        <v>6</v>
      </c>
      <c r="AB19" s="19">
        <v>7</v>
      </c>
      <c r="AC19" s="19">
        <v>1</v>
      </c>
      <c r="AD19" s="10">
        <f t="shared" si="0"/>
        <v>122</v>
      </c>
      <c r="AE19" s="3"/>
    </row>
    <row r="20" spans="1:31" ht="21" customHeight="1" x14ac:dyDescent="0.35">
      <c r="A20" s="6">
        <v>19</v>
      </c>
      <c r="B20" s="6" t="s">
        <v>697</v>
      </c>
      <c r="C20" s="6" t="s">
        <v>698</v>
      </c>
      <c r="D20" s="7" t="s">
        <v>699</v>
      </c>
      <c r="E20" s="18">
        <v>7</v>
      </c>
      <c r="F20" s="18">
        <v>7</v>
      </c>
      <c r="G20" s="18">
        <v>2</v>
      </c>
      <c r="H20" s="18">
        <v>3</v>
      </c>
      <c r="I20" s="18">
        <v>2</v>
      </c>
      <c r="J20" s="18">
        <v>0</v>
      </c>
      <c r="K20" s="18">
        <v>8</v>
      </c>
      <c r="L20" s="18">
        <v>3</v>
      </c>
      <c r="M20" s="18">
        <v>2</v>
      </c>
      <c r="N20" s="18">
        <v>0</v>
      </c>
      <c r="O20" s="18">
        <v>7</v>
      </c>
      <c r="P20" s="18">
        <v>9</v>
      </c>
      <c r="Q20" s="18">
        <v>2</v>
      </c>
      <c r="R20" s="18">
        <v>6</v>
      </c>
      <c r="S20" s="18">
        <v>7</v>
      </c>
      <c r="T20" s="18">
        <v>5</v>
      </c>
      <c r="U20" s="18">
        <v>1</v>
      </c>
      <c r="V20" s="18">
        <v>2</v>
      </c>
      <c r="W20" s="18">
        <v>9</v>
      </c>
      <c r="X20" s="18">
        <v>5</v>
      </c>
      <c r="Y20" s="18">
        <v>1</v>
      </c>
      <c r="Z20" s="18">
        <v>3</v>
      </c>
      <c r="AA20" s="18">
        <v>9</v>
      </c>
      <c r="AB20" s="18">
        <v>3</v>
      </c>
      <c r="AC20" s="18">
        <v>5</v>
      </c>
      <c r="AD20" s="10">
        <f t="shared" si="0"/>
        <v>108</v>
      </c>
      <c r="AE20" s="3"/>
    </row>
    <row r="21" spans="1:31" ht="21" customHeight="1" x14ac:dyDescent="0.35">
      <c r="A21" s="11">
        <v>20</v>
      </c>
      <c r="B21" s="11" t="s">
        <v>700</v>
      </c>
      <c r="C21" s="11" t="s">
        <v>701</v>
      </c>
      <c r="D21" s="12" t="s">
        <v>702</v>
      </c>
      <c r="E21" s="19">
        <v>7</v>
      </c>
      <c r="F21" s="19">
        <v>2</v>
      </c>
      <c r="G21" s="19">
        <v>0</v>
      </c>
      <c r="H21" s="19">
        <v>0</v>
      </c>
      <c r="I21" s="19">
        <v>2</v>
      </c>
      <c r="J21" s="19">
        <v>6</v>
      </c>
      <c r="K21" s="19">
        <v>2</v>
      </c>
      <c r="L21" s="19">
        <v>0</v>
      </c>
      <c r="M21" s="19">
        <v>2</v>
      </c>
      <c r="N21" s="19">
        <v>7</v>
      </c>
      <c r="O21" s="19">
        <v>4</v>
      </c>
      <c r="P21" s="19">
        <v>6</v>
      </c>
      <c r="Q21" s="19">
        <v>2</v>
      </c>
      <c r="R21" s="19">
        <v>2</v>
      </c>
      <c r="S21" s="19">
        <v>7</v>
      </c>
      <c r="T21" s="19">
        <v>10</v>
      </c>
      <c r="U21" s="19">
        <v>2</v>
      </c>
      <c r="V21" s="19">
        <v>8</v>
      </c>
      <c r="W21" s="19">
        <v>7</v>
      </c>
      <c r="X21" s="19">
        <v>3</v>
      </c>
      <c r="Y21" s="19">
        <v>3</v>
      </c>
      <c r="Z21" s="19">
        <v>0</v>
      </c>
      <c r="AA21" s="19">
        <v>4</v>
      </c>
      <c r="AB21" s="19">
        <v>6</v>
      </c>
      <c r="AC21" s="19">
        <v>9</v>
      </c>
      <c r="AD21" s="10">
        <f t="shared" si="0"/>
        <v>101</v>
      </c>
      <c r="AE21" s="3"/>
    </row>
    <row r="22" spans="1:31" ht="21" customHeight="1" x14ac:dyDescent="0.35">
      <c r="A22" s="6">
        <v>21</v>
      </c>
      <c r="B22" s="6" t="s">
        <v>703</v>
      </c>
      <c r="C22" s="6" t="s">
        <v>704</v>
      </c>
      <c r="D22" s="7" t="s">
        <v>705</v>
      </c>
      <c r="E22" s="18">
        <v>8</v>
      </c>
      <c r="F22" s="18">
        <v>1</v>
      </c>
      <c r="G22" s="18">
        <v>4</v>
      </c>
      <c r="H22" s="18">
        <v>0</v>
      </c>
      <c r="I22" s="18">
        <v>2</v>
      </c>
      <c r="J22" s="18">
        <v>10</v>
      </c>
      <c r="K22" s="18">
        <v>2</v>
      </c>
      <c r="L22" s="18">
        <v>2</v>
      </c>
      <c r="M22" s="18">
        <v>2</v>
      </c>
      <c r="N22" s="18">
        <v>6</v>
      </c>
      <c r="O22" s="18">
        <v>10</v>
      </c>
      <c r="P22" s="18">
        <v>8</v>
      </c>
      <c r="Q22" s="18">
        <v>2</v>
      </c>
      <c r="R22" s="18">
        <v>10</v>
      </c>
      <c r="S22" s="18">
        <v>6</v>
      </c>
      <c r="T22" s="18">
        <v>3</v>
      </c>
      <c r="U22" s="18">
        <v>1</v>
      </c>
      <c r="V22" s="18">
        <v>5</v>
      </c>
      <c r="W22" s="18">
        <v>7</v>
      </c>
      <c r="X22" s="18">
        <v>7</v>
      </c>
      <c r="Y22" s="18">
        <v>7</v>
      </c>
      <c r="Z22" s="18">
        <v>0</v>
      </c>
      <c r="AA22" s="18">
        <v>3</v>
      </c>
      <c r="AB22" s="18">
        <v>8</v>
      </c>
      <c r="AC22" s="18">
        <v>1</v>
      </c>
      <c r="AD22" s="10">
        <f t="shared" si="0"/>
        <v>115</v>
      </c>
      <c r="AE22" s="3"/>
    </row>
    <row r="23" spans="1:31" ht="21" customHeight="1" x14ac:dyDescent="0.35">
      <c r="A23" s="11">
        <v>22</v>
      </c>
      <c r="B23" s="11" t="s">
        <v>706</v>
      </c>
      <c r="C23" s="11" t="s">
        <v>707</v>
      </c>
      <c r="D23" s="12" t="s">
        <v>708</v>
      </c>
      <c r="E23" s="19">
        <v>2</v>
      </c>
      <c r="F23" s="19">
        <v>2</v>
      </c>
      <c r="G23" s="19">
        <v>0</v>
      </c>
      <c r="H23" s="19">
        <v>5</v>
      </c>
      <c r="I23" s="19">
        <v>2</v>
      </c>
      <c r="J23" s="19">
        <v>8</v>
      </c>
      <c r="K23" s="19">
        <v>3</v>
      </c>
      <c r="L23" s="19">
        <v>8</v>
      </c>
      <c r="M23" s="19">
        <v>2</v>
      </c>
      <c r="N23" s="19">
        <v>2</v>
      </c>
      <c r="O23" s="19">
        <v>8</v>
      </c>
      <c r="P23" s="19">
        <v>2</v>
      </c>
      <c r="Q23" s="19">
        <v>2</v>
      </c>
      <c r="R23" s="19">
        <v>0</v>
      </c>
      <c r="S23" s="19">
        <v>5</v>
      </c>
      <c r="T23" s="19">
        <v>6</v>
      </c>
      <c r="U23" s="19">
        <v>9</v>
      </c>
      <c r="V23" s="19">
        <v>2</v>
      </c>
      <c r="W23" s="19">
        <v>0</v>
      </c>
      <c r="X23" s="19">
        <v>2</v>
      </c>
      <c r="Y23" s="19">
        <v>5</v>
      </c>
      <c r="Z23" s="19">
        <v>10</v>
      </c>
      <c r="AA23" s="19">
        <v>4</v>
      </c>
      <c r="AB23" s="19">
        <v>5</v>
      </c>
      <c r="AC23" s="19">
        <v>8</v>
      </c>
      <c r="AD23" s="10">
        <f t="shared" si="0"/>
        <v>102</v>
      </c>
      <c r="AE23" s="3"/>
    </row>
    <row r="24" spans="1:31" ht="21" customHeight="1" x14ac:dyDescent="0.35">
      <c r="A24" s="6">
        <v>23</v>
      </c>
      <c r="B24" s="6" t="s">
        <v>709</v>
      </c>
      <c r="C24" s="6" t="s">
        <v>710</v>
      </c>
      <c r="D24" s="7" t="s">
        <v>711</v>
      </c>
      <c r="E24" s="18">
        <v>2</v>
      </c>
      <c r="F24" s="18">
        <v>2</v>
      </c>
      <c r="G24" s="18">
        <v>8</v>
      </c>
      <c r="H24" s="18">
        <v>5</v>
      </c>
      <c r="I24" s="18">
        <v>6</v>
      </c>
      <c r="J24" s="18">
        <v>7</v>
      </c>
      <c r="K24" s="18">
        <v>7</v>
      </c>
      <c r="L24" s="18">
        <v>9</v>
      </c>
      <c r="M24" s="18">
        <v>2</v>
      </c>
      <c r="N24" s="18">
        <v>7</v>
      </c>
      <c r="O24" s="18">
        <v>6</v>
      </c>
      <c r="P24" s="18">
        <v>1</v>
      </c>
      <c r="Q24" s="18">
        <v>2</v>
      </c>
      <c r="R24" s="18">
        <v>9</v>
      </c>
      <c r="S24" s="18">
        <v>4</v>
      </c>
      <c r="T24" s="18">
        <v>2</v>
      </c>
      <c r="U24" s="18">
        <v>10</v>
      </c>
      <c r="V24" s="18">
        <v>10</v>
      </c>
      <c r="W24" s="18">
        <v>2</v>
      </c>
      <c r="X24" s="18">
        <v>7</v>
      </c>
      <c r="Y24" s="18">
        <v>2</v>
      </c>
      <c r="Z24" s="18">
        <v>4</v>
      </c>
      <c r="AA24" s="18">
        <v>4</v>
      </c>
      <c r="AB24" s="18">
        <v>5</v>
      </c>
      <c r="AC24" s="18">
        <v>4</v>
      </c>
      <c r="AD24" s="10">
        <f t="shared" si="0"/>
        <v>127</v>
      </c>
      <c r="AE24" s="3"/>
    </row>
    <row r="25" spans="1:31" ht="21" customHeight="1" x14ac:dyDescent="0.35">
      <c r="A25" s="11">
        <v>24</v>
      </c>
      <c r="B25" s="11" t="s">
        <v>712</v>
      </c>
      <c r="C25" s="11" t="s">
        <v>713</v>
      </c>
      <c r="D25" s="12" t="s">
        <v>714</v>
      </c>
      <c r="E25" s="19">
        <v>5</v>
      </c>
      <c r="F25" s="19">
        <v>2</v>
      </c>
      <c r="G25" s="19">
        <v>9</v>
      </c>
      <c r="H25" s="19">
        <v>10</v>
      </c>
      <c r="I25" s="19">
        <v>2</v>
      </c>
      <c r="J25" s="19">
        <v>0</v>
      </c>
      <c r="K25" s="19">
        <v>4</v>
      </c>
      <c r="L25" s="19">
        <v>9</v>
      </c>
      <c r="M25" s="19">
        <v>2</v>
      </c>
      <c r="N25" s="19">
        <v>0</v>
      </c>
      <c r="O25" s="19">
        <v>7</v>
      </c>
      <c r="P25" s="19">
        <v>6</v>
      </c>
      <c r="Q25" s="19">
        <v>9</v>
      </c>
      <c r="R25" s="19">
        <v>2</v>
      </c>
      <c r="S25" s="19">
        <v>4</v>
      </c>
      <c r="T25" s="19">
        <v>6</v>
      </c>
      <c r="U25" s="19">
        <v>1</v>
      </c>
      <c r="V25" s="19">
        <v>10</v>
      </c>
      <c r="W25" s="19">
        <v>2</v>
      </c>
      <c r="X25" s="19">
        <v>9</v>
      </c>
      <c r="Y25" s="19">
        <v>9</v>
      </c>
      <c r="Z25" s="19">
        <v>4</v>
      </c>
      <c r="AA25" s="19">
        <v>9</v>
      </c>
      <c r="AB25" s="19">
        <v>4</v>
      </c>
      <c r="AC25" s="19">
        <v>7</v>
      </c>
      <c r="AD25" s="10">
        <f t="shared" si="0"/>
        <v>132</v>
      </c>
      <c r="AE25" s="3"/>
    </row>
    <row r="26" spans="1:31" ht="21" customHeight="1" x14ac:dyDescent="0.35">
      <c r="A26" s="6">
        <v>25</v>
      </c>
      <c r="B26" s="6" t="s">
        <v>715</v>
      </c>
      <c r="C26" s="6" t="s">
        <v>716</v>
      </c>
      <c r="D26" s="7" t="s">
        <v>717</v>
      </c>
      <c r="E26" s="18">
        <v>0</v>
      </c>
      <c r="F26" s="18">
        <v>1</v>
      </c>
      <c r="G26" s="18">
        <v>2</v>
      </c>
      <c r="H26" s="18">
        <v>6</v>
      </c>
      <c r="I26" s="18">
        <v>3</v>
      </c>
      <c r="J26" s="18">
        <v>4</v>
      </c>
      <c r="K26" s="18">
        <v>8</v>
      </c>
      <c r="L26" s="18">
        <v>5</v>
      </c>
      <c r="M26" s="18">
        <v>5</v>
      </c>
      <c r="N26" s="18">
        <v>6</v>
      </c>
      <c r="O26" s="18">
        <v>3</v>
      </c>
      <c r="P26" s="18">
        <v>6</v>
      </c>
      <c r="Q26" s="18">
        <v>0</v>
      </c>
      <c r="R26" s="18">
        <v>8</v>
      </c>
      <c r="S26" s="18">
        <v>9</v>
      </c>
      <c r="T26" s="18">
        <v>5</v>
      </c>
      <c r="U26" s="18">
        <v>9</v>
      </c>
      <c r="V26" s="18">
        <v>4</v>
      </c>
      <c r="W26" s="18">
        <v>5</v>
      </c>
      <c r="X26" s="18">
        <v>10</v>
      </c>
      <c r="Y26" s="18">
        <v>5</v>
      </c>
      <c r="Z26" s="18">
        <v>6</v>
      </c>
      <c r="AA26" s="18">
        <v>0</v>
      </c>
      <c r="AB26" s="18">
        <v>6</v>
      </c>
      <c r="AC26" s="18">
        <v>1</v>
      </c>
      <c r="AD26" s="10">
        <f t="shared" si="0"/>
        <v>117</v>
      </c>
      <c r="AE26" s="3"/>
    </row>
    <row r="27" spans="1:31" ht="21" customHeight="1" x14ac:dyDescent="0.35">
      <c r="A27" s="11">
        <v>26</v>
      </c>
      <c r="B27" s="11" t="s">
        <v>718</v>
      </c>
      <c r="C27" s="11" t="s">
        <v>719</v>
      </c>
      <c r="D27" s="12" t="s">
        <v>720</v>
      </c>
      <c r="E27" s="19">
        <v>7</v>
      </c>
      <c r="F27" s="19">
        <v>0</v>
      </c>
      <c r="G27" s="19">
        <v>9</v>
      </c>
      <c r="H27" s="19">
        <v>9</v>
      </c>
      <c r="I27" s="19">
        <v>0</v>
      </c>
      <c r="J27" s="19">
        <v>0</v>
      </c>
      <c r="K27" s="19">
        <v>9</v>
      </c>
      <c r="L27" s="19">
        <v>0</v>
      </c>
      <c r="M27" s="19">
        <v>2</v>
      </c>
      <c r="N27" s="19">
        <v>5</v>
      </c>
      <c r="O27" s="19">
        <v>1</v>
      </c>
      <c r="P27" s="19">
        <v>5</v>
      </c>
      <c r="Q27" s="19">
        <v>3</v>
      </c>
      <c r="R27" s="19">
        <v>10</v>
      </c>
      <c r="S27" s="19">
        <v>4</v>
      </c>
      <c r="T27" s="19">
        <v>3</v>
      </c>
      <c r="U27" s="19">
        <v>1</v>
      </c>
      <c r="V27" s="19">
        <v>4</v>
      </c>
      <c r="W27" s="19">
        <v>9</v>
      </c>
      <c r="X27" s="19">
        <v>4</v>
      </c>
      <c r="Y27" s="19">
        <v>3</v>
      </c>
      <c r="Z27" s="19">
        <v>7</v>
      </c>
      <c r="AA27" s="19">
        <v>6</v>
      </c>
      <c r="AB27" s="19">
        <v>1</v>
      </c>
      <c r="AC27" s="19">
        <v>0</v>
      </c>
      <c r="AD27" s="10">
        <f t="shared" si="0"/>
        <v>102</v>
      </c>
      <c r="AE27" s="3"/>
    </row>
    <row r="28" spans="1:31" ht="21" customHeight="1" x14ac:dyDescent="0.35">
      <c r="A28" s="6">
        <v>27</v>
      </c>
      <c r="B28" s="6" t="s">
        <v>721</v>
      </c>
      <c r="C28" s="6" t="s">
        <v>722</v>
      </c>
      <c r="D28" s="7" t="s">
        <v>723</v>
      </c>
      <c r="E28" s="18">
        <v>1</v>
      </c>
      <c r="F28" s="18">
        <v>2</v>
      </c>
      <c r="G28" s="18">
        <v>6</v>
      </c>
      <c r="H28" s="18">
        <v>3</v>
      </c>
      <c r="I28" s="18">
        <v>2</v>
      </c>
      <c r="J28" s="18">
        <v>5</v>
      </c>
      <c r="K28" s="18">
        <v>10</v>
      </c>
      <c r="L28" s="18">
        <v>5</v>
      </c>
      <c r="M28" s="18">
        <v>2</v>
      </c>
      <c r="N28" s="18">
        <v>10</v>
      </c>
      <c r="O28" s="18">
        <v>4</v>
      </c>
      <c r="P28" s="18">
        <v>2</v>
      </c>
      <c r="Q28" s="18">
        <v>2</v>
      </c>
      <c r="R28" s="18">
        <v>6</v>
      </c>
      <c r="S28" s="18">
        <v>8</v>
      </c>
      <c r="T28" s="18">
        <v>6</v>
      </c>
      <c r="U28" s="18">
        <v>2</v>
      </c>
      <c r="V28" s="18">
        <v>5</v>
      </c>
      <c r="W28" s="18">
        <v>2</v>
      </c>
      <c r="X28" s="18">
        <v>3</v>
      </c>
      <c r="Y28" s="18">
        <v>5</v>
      </c>
      <c r="Z28" s="18">
        <v>10</v>
      </c>
      <c r="AA28" s="18">
        <v>5</v>
      </c>
      <c r="AB28" s="18">
        <v>9</v>
      </c>
      <c r="AC28" s="18">
        <v>10</v>
      </c>
      <c r="AD28" s="10">
        <f t="shared" si="0"/>
        <v>125</v>
      </c>
      <c r="AE28" s="3"/>
    </row>
    <row r="29" spans="1:31" ht="21" customHeight="1" x14ac:dyDescent="0.35">
      <c r="A29" s="11">
        <v>28</v>
      </c>
      <c r="B29" s="11" t="s">
        <v>724</v>
      </c>
      <c r="C29" s="11" t="s">
        <v>725</v>
      </c>
      <c r="D29" s="12" t="s">
        <v>726</v>
      </c>
      <c r="E29" s="19">
        <v>3</v>
      </c>
      <c r="F29" s="19">
        <v>2</v>
      </c>
      <c r="G29" s="19">
        <v>1</v>
      </c>
      <c r="H29" s="19">
        <v>5</v>
      </c>
      <c r="I29" s="19">
        <v>2</v>
      </c>
      <c r="J29" s="19">
        <v>7</v>
      </c>
      <c r="K29" s="19">
        <v>0</v>
      </c>
      <c r="L29" s="19">
        <v>2</v>
      </c>
      <c r="M29" s="19">
        <v>2</v>
      </c>
      <c r="N29" s="19">
        <v>3</v>
      </c>
      <c r="O29" s="19">
        <v>9</v>
      </c>
      <c r="P29" s="19">
        <v>6</v>
      </c>
      <c r="Q29" s="19">
        <v>2</v>
      </c>
      <c r="R29" s="19">
        <v>8</v>
      </c>
      <c r="S29" s="19">
        <v>5</v>
      </c>
      <c r="T29" s="19">
        <v>7</v>
      </c>
      <c r="U29" s="19">
        <v>2</v>
      </c>
      <c r="V29" s="19">
        <v>3</v>
      </c>
      <c r="W29" s="19">
        <v>2</v>
      </c>
      <c r="X29" s="19">
        <v>3</v>
      </c>
      <c r="Y29" s="19">
        <v>3</v>
      </c>
      <c r="Z29" s="19">
        <v>4</v>
      </c>
      <c r="AA29" s="19">
        <v>6</v>
      </c>
      <c r="AB29" s="19">
        <v>9</v>
      </c>
      <c r="AC29" s="19">
        <v>0</v>
      </c>
      <c r="AD29" s="10">
        <f t="shared" si="0"/>
        <v>96</v>
      </c>
      <c r="AE29" s="3"/>
    </row>
    <row r="30" spans="1:31" ht="21" customHeight="1" x14ac:dyDescent="0.35">
      <c r="A30" s="6">
        <v>29</v>
      </c>
      <c r="B30" s="6" t="s">
        <v>727</v>
      </c>
      <c r="C30" s="6" t="s">
        <v>728</v>
      </c>
      <c r="D30" s="7" t="s">
        <v>729</v>
      </c>
      <c r="E30" s="18">
        <v>4</v>
      </c>
      <c r="F30" s="18">
        <v>5</v>
      </c>
      <c r="G30" s="18">
        <v>1</v>
      </c>
      <c r="H30" s="18">
        <v>7</v>
      </c>
      <c r="I30" s="18">
        <v>4</v>
      </c>
      <c r="J30" s="18">
        <v>4</v>
      </c>
      <c r="K30" s="18">
        <v>6</v>
      </c>
      <c r="L30" s="18">
        <v>1</v>
      </c>
      <c r="M30" s="18">
        <v>10</v>
      </c>
      <c r="N30" s="18">
        <v>10</v>
      </c>
      <c r="O30" s="18">
        <v>3</v>
      </c>
      <c r="P30" s="18">
        <v>6</v>
      </c>
      <c r="Q30" s="18">
        <v>6</v>
      </c>
      <c r="R30" s="18">
        <v>4</v>
      </c>
      <c r="S30" s="18">
        <v>4</v>
      </c>
      <c r="T30" s="18">
        <v>3</v>
      </c>
      <c r="U30" s="18">
        <v>1</v>
      </c>
      <c r="V30" s="18">
        <v>4</v>
      </c>
      <c r="W30" s="18">
        <v>10</v>
      </c>
      <c r="X30" s="18">
        <v>2</v>
      </c>
      <c r="Y30" s="18">
        <v>0</v>
      </c>
      <c r="Z30" s="18">
        <v>7</v>
      </c>
      <c r="AA30" s="18">
        <v>2</v>
      </c>
      <c r="AB30" s="18">
        <v>8</v>
      </c>
      <c r="AC30" s="18">
        <v>1</v>
      </c>
      <c r="AD30" s="10">
        <f t="shared" si="0"/>
        <v>113</v>
      </c>
      <c r="AE30" s="3"/>
    </row>
    <row r="31" spans="1:31" ht="21" customHeight="1" x14ac:dyDescent="0.35">
      <c r="A31" s="11">
        <v>30</v>
      </c>
      <c r="B31" s="11" t="s">
        <v>730</v>
      </c>
      <c r="C31" s="11" t="s">
        <v>731</v>
      </c>
      <c r="D31" s="12" t="s">
        <v>732</v>
      </c>
      <c r="E31" s="19">
        <v>2</v>
      </c>
      <c r="F31" s="19">
        <v>2</v>
      </c>
      <c r="G31" s="19">
        <v>8</v>
      </c>
      <c r="H31" s="19">
        <v>8</v>
      </c>
      <c r="I31" s="19">
        <v>2</v>
      </c>
      <c r="J31" s="19">
        <v>8</v>
      </c>
      <c r="K31" s="19">
        <v>6</v>
      </c>
      <c r="L31" s="19">
        <v>1</v>
      </c>
      <c r="M31" s="19">
        <v>2</v>
      </c>
      <c r="N31" s="19">
        <v>6</v>
      </c>
      <c r="O31" s="19">
        <v>5</v>
      </c>
      <c r="P31" s="19">
        <v>8</v>
      </c>
      <c r="Q31" s="19">
        <v>6</v>
      </c>
      <c r="R31" s="19">
        <v>10</v>
      </c>
      <c r="S31" s="19">
        <v>10</v>
      </c>
      <c r="T31" s="19">
        <v>6</v>
      </c>
      <c r="U31" s="19">
        <v>1</v>
      </c>
      <c r="V31" s="19">
        <v>0</v>
      </c>
      <c r="W31" s="19">
        <v>3</v>
      </c>
      <c r="X31" s="19">
        <v>10</v>
      </c>
      <c r="Y31" s="19">
        <v>8</v>
      </c>
      <c r="Z31" s="19">
        <v>2</v>
      </c>
      <c r="AA31" s="19">
        <v>8</v>
      </c>
      <c r="AB31" s="19">
        <v>4</v>
      </c>
      <c r="AC31" s="19">
        <v>0</v>
      </c>
      <c r="AD31" s="10">
        <f t="shared" si="0"/>
        <v>126</v>
      </c>
      <c r="AE31" s="3"/>
    </row>
    <row r="32" spans="1:31" ht="21" customHeight="1" x14ac:dyDescent="0.35">
      <c r="A32" s="6">
        <v>31</v>
      </c>
      <c r="B32" s="6" t="s">
        <v>742</v>
      </c>
      <c r="C32" s="6" t="s">
        <v>743</v>
      </c>
      <c r="D32" s="7" t="s">
        <v>744</v>
      </c>
      <c r="E32" s="18">
        <v>2</v>
      </c>
      <c r="F32" s="18">
        <v>8</v>
      </c>
      <c r="G32" s="18">
        <v>10</v>
      </c>
      <c r="H32" s="18">
        <v>3</v>
      </c>
      <c r="I32" s="18">
        <v>2</v>
      </c>
      <c r="J32" s="18">
        <v>1</v>
      </c>
      <c r="K32" s="18">
        <v>8</v>
      </c>
      <c r="L32" s="18">
        <v>8</v>
      </c>
      <c r="M32" s="18">
        <v>2</v>
      </c>
      <c r="N32" s="18">
        <v>2</v>
      </c>
      <c r="O32" s="18">
        <v>8</v>
      </c>
      <c r="P32" s="18">
        <v>4</v>
      </c>
      <c r="Q32" s="18">
        <v>2</v>
      </c>
      <c r="R32" s="18">
        <v>0</v>
      </c>
      <c r="S32" s="18">
        <v>1</v>
      </c>
      <c r="T32" s="18">
        <v>9</v>
      </c>
      <c r="U32" s="18">
        <v>10</v>
      </c>
      <c r="V32" s="18">
        <v>2</v>
      </c>
      <c r="W32" s="18">
        <v>3</v>
      </c>
      <c r="X32" s="18">
        <v>8</v>
      </c>
      <c r="Y32" s="18">
        <v>8</v>
      </c>
      <c r="Z32" s="18">
        <v>9</v>
      </c>
      <c r="AA32" s="18">
        <v>3</v>
      </c>
      <c r="AB32" s="18">
        <v>3</v>
      </c>
      <c r="AC32" s="18">
        <v>2</v>
      </c>
      <c r="AD32" s="10">
        <f t="shared" si="0"/>
        <v>118</v>
      </c>
      <c r="AE32" s="3"/>
    </row>
    <row r="33" spans="1:31" ht="21" customHeight="1" x14ac:dyDescent="0.35">
      <c r="A33" s="11">
        <v>32</v>
      </c>
      <c r="B33" s="11" t="s">
        <v>745</v>
      </c>
      <c r="C33" s="11" t="s">
        <v>746</v>
      </c>
      <c r="D33" s="12" t="s">
        <v>747</v>
      </c>
      <c r="E33" s="19">
        <v>9</v>
      </c>
      <c r="F33" s="19">
        <v>0</v>
      </c>
      <c r="G33" s="19">
        <v>10</v>
      </c>
      <c r="H33" s="19">
        <v>9</v>
      </c>
      <c r="I33" s="19">
        <v>8</v>
      </c>
      <c r="J33" s="19">
        <v>1</v>
      </c>
      <c r="K33" s="19">
        <v>9</v>
      </c>
      <c r="L33" s="19">
        <v>0</v>
      </c>
      <c r="M33" s="19">
        <v>6</v>
      </c>
      <c r="N33" s="19">
        <v>4</v>
      </c>
      <c r="O33" s="19">
        <v>1</v>
      </c>
      <c r="P33" s="19">
        <v>8</v>
      </c>
      <c r="Q33" s="19">
        <v>2</v>
      </c>
      <c r="R33" s="19">
        <v>6</v>
      </c>
      <c r="S33" s="19">
        <v>3</v>
      </c>
      <c r="T33" s="19">
        <v>1</v>
      </c>
      <c r="U33" s="19">
        <v>9</v>
      </c>
      <c r="V33" s="19">
        <v>8</v>
      </c>
      <c r="W33" s="19">
        <v>2</v>
      </c>
      <c r="X33" s="19">
        <v>9</v>
      </c>
      <c r="Y33" s="19">
        <v>7</v>
      </c>
      <c r="Z33" s="19">
        <v>1</v>
      </c>
      <c r="AA33" s="19">
        <v>7</v>
      </c>
      <c r="AB33" s="19">
        <v>3</v>
      </c>
      <c r="AC33" s="19">
        <v>6</v>
      </c>
      <c r="AD33" s="10">
        <f t="shared" si="0"/>
        <v>129</v>
      </c>
      <c r="AE33" s="3"/>
    </row>
    <row r="34" spans="1:31" ht="21" customHeight="1" x14ac:dyDescent="0.35">
      <c r="A34" s="6">
        <v>33</v>
      </c>
      <c r="B34" s="6" t="s">
        <v>748</v>
      </c>
      <c r="C34" s="6" t="s">
        <v>749</v>
      </c>
      <c r="D34" s="7" t="s">
        <v>750</v>
      </c>
      <c r="E34" s="18">
        <v>2</v>
      </c>
      <c r="F34" s="18">
        <v>7</v>
      </c>
      <c r="G34" s="18">
        <v>8</v>
      </c>
      <c r="H34" s="18">
        <v>10</v>
      </c>
      <c r="I34" s="18">
        <v>2</v>
      </c>
      <c r="J34" s="18">
        <v>4</v>
      </c>
      <c r="K34" s="18">
        <v>4</v>
      </c>
      <c r="L34" s="18">
        <v>10</v>
      </c>
      <c r="M34" s="18">
        <v>1</v>
      </c>
      <c r="N34" s="18">
        <v>2</v>
      </c>
      <c r="O34" s="18">
        <v>7</v>
      </c>
      <c r="P34" s="18">
        <v>10</v>
      </c>
      <c r="Q34" s="18">
        <v>2</v>
      </c>
      <c r="R34" s="18">
        <v>3</v>
      </c>
      <c r="S34" s="18">
        <v>9</v>
      </c>
      <c r="T34" s="18">
        <v>2</v>
      </c>
      <c r="U34" s="18">
        <v>6</v>
      </c>
      <c r="V34" s="18">
        <v>3</v>
      </c>
      <c r="W34" s="18">
        <v>2</v>
      </c>
      <c r="X34" s="18">
        <v>6</v>
      </c>
      <c r="Y34" s="18">
        <v>0</v>
      </c>
      <c r="Z34" s="18">
        <v>3</v>
      </c>
      <c r="AA34" s="18">
        <v>0</v>
      </c>
      <c r="AB34" s="18">
        <v>8</v>
      </c>
      <c r="AC34" s="18">
        <v>3</v>
      </c>
      <c r="AD34" s="10">
        <f t="shared" si="0"/>
        <v>114</v>
      </c>
      <c r="AE34" s="3"/>
    </row>
    <row r="35" spans="1:31" ht="21" customHeight="1" x14ac:dyDescent="0.35">
      <c r="A35" s="1"/>
      <c r="B35" s="1"/>
      <c r="C35" s="1"/>
      <c r="D35" s="1"/>
      <c r="E35" s="19">
        <v>7</v>
      </c>
      <c r="F35" s="19">
        <v>9</v>
      </c>
      <c r="G35" s="19">
        <v>7</v>
      </c>
      <c r="H35" s="19">
        <v>2</v>
      </c>
      <c r="I35" s="19">
        <v>6</v>
      </c>
      <c r="J35" s="19">
        <v>5</v>
      </c>
      <c r="K35" s="19">
        <v>4</v>
      </c>
      <c r="L35" s="19">
        <v>9</v>
      </c>
      <c r="M35" s="19">
        <v>5</v>
      </c>
      <c r="N35" s="19">
        <v>1</v>
      </c>
      <c r="O35" s="19">
        <v>2</v>
      </c>
      <c r="P35" s="19">
        <v>1</v>
      </c>
      <c r="Q35" s="19">
        <v>3</v>
      </c>
      <c r="R35" s="19">
        <v>9</v>
      </c>
      <c r="S35" s="19">
        <v>2</v>
      </c>
      <c r="T35" s="19">
        <v>0</v>
      </c>
      <c r="U35" s="19">
        <v>6</v>
      </c>
      <c r="V35" s="19">
        <v>2</v>
      </c>
      <c r="W35" s="19">
        <v>8</v>
      </c>
      <c r="X35" s="19">
        <v>6</v>
      </c>
      <c r="Y35" s="19">
        <v>6</v>
      </c>
      <c r="Z35" s="19">
        <v>4</v>
      </c>
      <c r="AA35" s="19">
        <v>4</v>
      </c>
      <c r="AB35" s="19">
        <v>10</v>
      </c>
      <c r="AC35" s="19">
        <v>1</v>
      </c>
      <c r="AD35" s="10">
        <f t="shared" si="0"/>
        <v>119</v>
      </c>
      <c r="AE35" s="3"/>
    </row>
    <row r="36" spans="1:31" ht="21" customHeight="1" x14ac:dyDescent="0.35">
      <c r="A36" s="1"/>
      <c r="B36" s="1"/>
      <c r="C36" s="1"/>
      <c r="D36" s="1"/>
      <c r="E36" s="18">
        <v>9</v>
      </c>
      <c r="F36" s="18">
        <v>8</v>
      </c>
      <c r="G36" s="18">
        <v>1</v>
      </c>
      <c r="H36" s="18">
        <v>10</v>
      </c>
      <c r="I36" s="18">
        <v>0</v>
      </c>
      <c r="J36" s="18">
        <v>0</v>
      </c>
      <c r="K36" s="18">
        <v>8</v>
      </c>
      <c r="L36" s="18">
        <v>8</v>
      </c>
      <c r="M36" s="18">
        <v>7</v>
      </c>
      <c r="N36" s="18">
        <v>7</v>
      </c>
      <c r="O36" s="18">
        <v>2</v>
      </c>
      <c r="P36" s="18">
        <v>6</v>
      </c>
      <c r="Q36" s="18">
        <v>4</v>
      </c>
      <c r="R36" s="18">
        <v>4</v>
      </c>
      <c r="S36" s="18">
        <v>0</v>
      </c>
      <c r="T36" s="18">
        <v>8</v>
      </c>
      <c r="U36" s="18">
        <v>1</v>
      </c>
      <c r="V36" s="18">
        <v>2</v>
      </c>
      <c r="W36" s="18">
        <v>10</v>
      </c>
      <c r="X36" s="18">
        <v>4</v>
      </c>
      <c r="Y36" s="18">
        <v>5</v>
      </c>
      <c r="Z36" s="18">
        <v>4</v>
      </c>
      <c r="AA36" s="18">
        <v>2</v>
      </c>
      <c r="AB36" s="18">
        <v>1</v>
      </c>
      <c r="AC36" s="18">
        <v>4</v>
      </c>
      <c r="AD36" s="10">
        <v>10</v>
      </c>
      <c r="AE36" s="3"/>
    </row>
    <row r="37" spans="1:31" ht="21" customHeight="1" x14ac:dyDescent="0.35">
      <c r="A37" s="1"/>
      <c r="B37" s="1"/>
      <c r="C37" s="1"/>
      <c r="D37" s="1"/>
      <c r="E37" s="19">
        <v>10</v>
      </c>
      <c r="F37" s="19">
        <v>1</v>
      </c>
      <c r="G37" s="19">
        <v>1</v>
      </c>
      <c r="H37" s="19">
        <v>3</v>
      </c>
      <c r="I37" s="19">
        <v>8</v>
      </c>
      <c r="J37" s="19">
        <v>2</v>
      </c>
      <c r="K37" s="19">
        <v>0</v>
      </c>
      <c r="L37" s="19">
        <v>9</v>
      </c>
      <c r="M37" s="19">
        <v>4</v>
      </c>
      <c r="N37" s="19">
        <v>2</v>
      </c>
      <c r="O37" s="19">
        <v>4</v>
      </c>
      <c r="P37" s="19">
        <v>5</v>
      </c>
      <c r="Q37" s="19">
        <v>7</v>
      </c>
      <c r="R37" s="19">
        <v>9</v>
      </c>
      <c r="S37" s="19">
        <v>7</v>
      </c>
      <c r="T37" s="19">
        <v>7</v>
      </c>
      <c r="U37" s="19">
        <v>7</v>
      </c>
      <c r="V37" s="19">
        <v>5</v>
      </c>
      <c r="W37" s="19">
        <v>0</v>
      </c>
      <c r="X37" s="19">
        <v>3</v>
      </c>
      <c r="Y37" s="19">
        <v>5</v>
      </c>
      <c r="Z37" s="19">
        <v>1</v>
      </c>
      <c r="AA37" s="19">
        <v>9</v>
      </c>
      <c r="AB37" s="19">
        <v>10</v>
      </c>
      <c r="AC37" s="19">
        <v>8</v>
      </c>
      <c r="AD37" s="10">
        <v>6</v>
      </c>
    </row>
  </sheetData>
  <autoFilter ref="A1:AE37" xr:uid="{00000000-0009-0000-0000-000010000000}"/>
  <conditionalFormatting sqref="B1:D1">
    <cfRule type="cellIs" dxfId="3" priority="2" operator="equal">
      <formula>"Present"</formula>
    </cfRule>
    <cfRule type="cellIs" dxfId="2" priority="3" operator="equal">
      <formula>"Absent"</formula>
    </cfRule>
  </conditionalFormatting>
  <conditionalFormatting sqref="E2:AD37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25" right="0.25" top="0.5" bottom="0.5" header="0.511811023622047" footer="0.511811023622047"/>
  <pageSetup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  <pageSetUpPr fitToPage="1"/>
  </sheetPr>
  <dimension ref="A1:E36"/>
  <sheetViews>
    <sheetView showGridLines="0"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155</v>
      </c>
    </row>
    <row r="2" spans="1:5" ht="21" customHeight="1" x14ac:dyDescent="0.35">
      <c r="A2" s="6">
        <v>1</v>
      </c>
      <c r="B2" s="6" t="s">
        <v>514</v>
      </c>
      <c r="C2" s="6" t="s">
        <v>515</v>
      </c>
      <c r="D2" s="7" t="s">
        <v>516</v>
      </c>
      <c r="E2" s="9">
        <f>IF(OR(COUNTIF('Attendance 10 MALES'!$D$2:$D$38,D2)=0,COUNTIF('Participation 10 MALES'!$D$2:$D$38,D2)=0),"CHECK ID",IFERROR(VLOOKUP(D2,'Attendance 10 MALES'!$D$2:$AE$38,28,FALSE())+VLOOKUP(D2,'Participation 10 MALES'!$D$2:$AD$38,27,FALSE()),"CHECK ID"))</f>
        <v>232</v>
      </c>
    </row>
    <row r="3" spans="1:5" ht="21" customHeight="1" x14ac:dyDescent="0.35">
      <c r="A3" s="11">
        <v>2</v>
      </c>
      <c r="B3" s="11" t="s">
        <v>517</v>
      </c>
      <c r="C3" s="11" t="s">
        <v>518</v>
      </c>
      <c r="D3" s="12" t="s">
        <v>519</v>
      </c>
      <c r="E3" s="9">
        <f>IF(OR(COUNTIF('Attendance 10 MALES'!$D$2:$D$38,D3)=0,COUNTIF('Participation 10 MALES'!$D$2:$D$38,D3)=0),"CHECK ID",IFERROR(VLOOKUP(D3,'Attendance 10 MALES'!$D$2:$AE$38,28,FALSE())+VLOOKUP(D3,'Participation 10 MALES'!$D$2:$AD$38,27,FALSE()),"CHECK ID"))</f>
        <v>113</v>
      </c>
    </row>
    <row r="4" spans="1:5" ht="21" customHeight="1" x14ac:dyDescent="0.35">
      <c r="A4" s="6">
        <v>3</v>
      </c>
      <c r="B4" s="6" t="s">
        <v>520</v>
      </c>
      <c r="C4" s="6" t="s">
        <v>521</v>
      </c>
      <c r="D4" s="7" t="s">
        <v>522</v>
      </c>
      <c r="E4" s="9">
        <f>IF(OR(COUNTIF('Attendance 10 MALES'!$D$2:$D$38,D4)=0,COUNTIF('Participation 10 MALES'!$D$2:$D$38,D4)=0),"CHECK ID",IFERROR(VLOOKUP(D4,'Attendance 10 MALES'!$D$2:$AE$38,28,FALSE())+VLOOKUP(D4,'Participation 10 MALES'!$D$2:$AD$38,27,FALSE()),"CHECK ID"))</f>
        <v>227</v>
      </c>
    </row>
    <row r="5" spans="1:5" ht="21" customHeight="1" x14ac:dyDescent="0.35">
      <c r="A5" s="11">
        <v>4</v>
      </c>
      <c r="B5" s="11" t="s">
        <v>523</v>
      </c>
      <c r="C5" s="11" t="s">
        <v>524</v>
      </c>
      <c r="D5" s="12" t="s">
        <v>525</v>
      </c>
      <c r="E5" s="9">
        <f>IF(OR(COUNTIF('Attendance 10 MALES'!$D$2:$D$38,D5)=0,COUNTIF('Participation 10 MALES'!$D$2:$D$38,D5)=0),"CHECK ID",IFERROR(VLOOKUP(D5,'Attendance 10 MALES'!$D$2:$AE$38,28,FALSE())+VLOOKUP(D5,'Participation 10 MALES'!$D$2:$AD$38,27,FALSE()),"CHECK ID"))</f>
        <v>196</v>
      </c>
    </row>
    <row r="6" spans="1:5" ht="21" customHeight="1" x14ac:dyDescent="0.35">
      <c r="A6" s="6">
        <v>5</v>
      </c>
      <c r="B6" s="6" t="s">
        <v>526</v>
      </c>
      <c r="C6" s="6" t="s">
        <v>527</v>
      </c>
      <c r="D6" s="7" t="s">
        <v>528</v>
      </c>
      <c r="E6" s="9">
        <f>IF(OR(COUNTIF('Attendance 10 MALES'!$D$2:$D$38,D6)=0,COUNTIF('Participation 10 MALES'!$D$2:$D$38,D6)=0),"CHECK ID",IFERROR(VLOOKUP(D6,'Attendance 10 MALES'!$D$2:$AE$38,28,FALSE())+VLOOKUP(D6,'Participation 10 MALES'!$D$2:$AD$38,27,FALSE()),"CHECK ID"))</f>
        <v>144</v>
      </c>
    </row>
    <row r="7" spans="1:5" ht="21" customHeight="1" x14ac:dyDescent="0.35">
      <c r="A7" s="11">
        <v>6</v>
      </c>
      <c r="B7" s="11" t="s">
        <v>529</v>
      </c>
      <c r="C7" s="11" t="s">
        <v>530</v>
      </c>
      <c r="D7" s="12" t="s">
        <v>531</v>
      </c>
      <c r="E7" s="9">
        <f>IF(OR(COUNTIF('Attendance 10 MALES'!$D$2:$D$38,D7)=0,COUNTIF('Participation 10 MALES'!$D$2:$D$38,D7)=0),"CHECK ID",IFERROR(VLOOKUP(D7,'Attendance 10 MALES'!$D$2:$AE$38,28,FALSE())+VLOOKUP(D7,'Participation 10 MALES'!$D$2:$AD$38,27,FALSE()),"CHECK ID"))</f>
        <v>264</v>
      </c>
    </row>
    <row r="8" spans="1:5" ht="21" customHeight="1" x14ac:dyDescent="0.35">
      <c r="A8" s="6">
        <v>7</v>
      </c>
      <c r="B8" s="6" t="s">
        <v>532</v>
      </c>
      <c r="C8" s="6" t="s">
        <v>533</v>
      </c>
      <c r="D8" s="7" t="s">
        <v>534</v>
      </c>
      <c r="E8" s="9">
        <f>IF(OR(COUNTIF('Attendance 10 MALES'!$D$2:$D$38,D8)=0,COUNTIF('Participation 10 MALES'!$D$2:$D$38,D8)=0),"CHECK ID",IFERROR(VLOOKUP(D8,'Attendance 10 MALES'!$D$2:$AE$38,28,FALSE())+VLOOKUP(D8,'Participation 10 MALES'!$D$2:$AD$38,27,FALSE()),"CHECK ID"))</f>
        <v>176</v>
      </c>
    </row>
    <row r="9" spans="1:5" ht="21" customHeight="1" x14ac:dyDescent="0.35">
      <c r="A9" s="11">
        <v>8</v>
      </c>
      <c r="B9" s="11" t="s">
        <v>535</v>
      </c>
      <c r="C9" s="11" t="s">
        <v>536</v>
      </c>
      <c r="D9" s="12" t="s">
        <v>537</v>
      </c>
      <c r="E9" s="9">
        <f>IF(OR(COUNTIF('Attendance 10 MALES'!$D$2:$D$38,D9)=0,COUNTIF('Participation 10 MALES'!$D$2:$D$38,D9)=0),"CHECK ID",IFERROR(VLOOKUP(D9,'Attendance 10 MALES'!$D$2:$AE$38,28,FALSE())+VLOOKUP(D9,'Participation 10 MALES'!$D$2:$AD$38,27,FALSE()),"CHECK ID"))</f>
        <v>195</v>
      </c>
    </row>
    <row r="10" spans="1:5" ht="21" customHeight="1" x14ac:dyDescent="0.35">
      <c r="A10" s="6">
        <v>9</v>
      </c>
      <c r="B10" s="6" t="s">
        <v>538</v>
      </c>
      <c r="C10" s="6" t="s">
        <v>539</v>
      </c>
      <c r="D10" s="7" t="s">
        <v>540</v>
      </c>
      <c r="E10" s="9">
        <f>IF(OR(COUNTIF('Attendance 10 MALES'!$D$2:$D$38,D10)=0,COUNTIF('Participation 10 MALES'!$D$2:$D$38,D10)=0),"CHECK ID",IFERROR(VLOOKUP(D10,'Attendance 10 MALES'!$D$2:$AE$38,28,FALSE())+VLOOKUP(D10,'Participation 10 MALES'!$D$2:$AD$38,27,FALSE()),"CHECK ID"))</f>
        <v>210</v>
      </c>
    </row>
    <row r="11" spans="1:5" ht="21" customHeight="1" x14ac:dyDescent="0.35">
      <c r="A11" s="11">
        <v>10</v>
      </c>
      <c r="B11" s="11" t="s">
        <v>541</v>
      </c>
      <c r="C11" s="11" t="s">
        <v>542</v>
      </c>
      <c r="D11" s="12" t="s">
        <v>543</v>
      </c>
      <c r="E11" s="9">
        <f>IF(OR(COUNTIF('Attendance 10 MALES'!$D$2:$D$38,D11)=0,COUNTIF('Participation 10 MALES'!$D$2:$D$38,D11)=0),"CHECK ID",IFERROR(VLOOKUP(D11,'Attendance 10 MALES'!$D$2:$AE$38,28,FALSE())+VLOOKUP(D11,'Participation 10 MALES'!$D$2:$AD$38,27,FALSE()),"CHECK ID"))</f>
        <v>193</v>
      </c>
    </row>
    <row r="12" spans="1:5" ht="21" customHeight="1" x14ac:dyDescent="0.35">
      <c r="A12" s="6">
        <v>11</v>
      </c>
      <c r="B12" s="6" t="s">
        <v>544</v>
      </c>
      <c r="C12" s="6" t="s">
        <v>545</v>
      </c>
      <c r="D12" s="7" t="s">
        <v>546</v>
      </c>
      <c r="E12" s="9">
        <f>IF(OR(COUNTIF('Attendance 10 MALES'!$D$2:$D$38,D12)=0,COUNTIF('Participation 10 MALES'!$D$2:$D$38,D12)=0),"CHECK ID",IFERROR(VLOOKUP(D12,'Attendance 10 MALES'!$D$2:$AE$38,28,FALSE())+VLOOKUP(D12,'Participation 10 MALES'!$D$2:$AD$38,27,FALSE()),"CHECK ID"))</f>
        <v>218</v>
      </c>
    </row>
    <row r="13" spans="1:5" ht="21" customHeight="1" x14ac:dyDescent="0.35">
      <c r="A13" s="11">
        <v>12</v>
      </c>
      <c r="B13" s="11" t="s">
        <v>547</v>
      </c>
      <c r="C13" s="11" t="s">
        <v>548</v>
      </c>
      <c r="D13" s="12" t="s">
        <v>549</v>
      </c>
      <c r="E13" s="9">
        <f>IF(OR(COUNTIF('Attendance 10 MALES'!$D$2:$D$38,D13)=0,COUNTIF('Participation 10 MALES'!$D$2:$D$38,D13)=0),"CHECK ID",IFERROR(VLOOKUP(D13,'Attendance 10 MALES'!$D$2:$AE$38,28,FALSE())+VLOOKUP(D13,'Participation 10 MALES'!$D$2:$AD$38,27,FALSE()),"CHECK ID"))</f>
        <v>127</v>
      </c>
    </row>
    <row r="14" spans="1:5" ht="21" customHeight="1" x14ac:dyDescent="0.35">
      <c r="A14" s="6">
        <v>13</v>
      </c>
      <c r="B14" s="6" t="s">
        <v>550</v>
      </c>
      <c r="C14" s="6" t="s">
        <v>551</v>
      </c>
      <c r="D14" s="7" t="s">
        <v>552</v>
      </c>
      <c r="E14" s="9">
        <f>IF(OR(COUNTIF('Attendance 10 MALES'!$D$2:$D$38,D14)=0,COUNTIF('Participation 10 MALES'!$D$2:$D$38,D14)=0),"CHECK ID",IFERROR(VLOOKUP(D14,'Attendance 10 MALES'!$D$2:$AE$38,28,FALSE())+VLOOKUP(D14,'Participation 10 MALES'!$D$2:$AD$38,27,FALSE()),"CHECK ID"))</f>
        <v>185</v>
      </c>
    </row>
    <row r="15" spans="1:5" ht="21" customHeight="1" x14ac:dyDescent="0.35">
      <c r="A15" s="11">
        <v>14</v>
      </c>
      <c r="B15" s="11" t="s">
        <v>553</v>
      </c>
      <c r="C15" s="11" t="s">
        <v>554</v>
      </c>
      <c r="D15" s="12" t="s">
        <v>555</v>
      </c>
      <c r="E15" s="9">
        <f>IF(OR(COUNTIF('Attendance 10 MALES'!$D$2:$D$38,D15)=0,COUNTIF('Participation 10 MALES'!$D$2:$D$38,D15)=0),"CHECK ID",IFERROR(VLOOKUP(D15,'Attendance 10 MALES'!$D$2:$AE$38,28,FALSE())+VLOOKUP(D15,'Participation 10 MALES'!$D$2:$AD$38,27,FALSE()),"CHECK ID"))</f>
        <v>239</v>
      </c>
    </row>
    <row r="16" spans="1:5" ht="21" customHeight="1" x14ac:dyDescent="0.35">
      <c r="A16" s="6">
        <v>15</v>
      </c>
      <c r="B16" s="6" t="s">
        <v>556</v>
      </c>
      <c r="C16" s="6" t="s">
        <v>557</v>
      </c>
      <c r="D16" s="7" t="s">
        <v>558</v>
      </c>
      <c r="E16" s="9">
        <f>IF(OR(COUNTIF('Attendance 10 MALES'!$D$2:$D$38,D16)=0,COUNTIF('Participation 10 MALES'!$D$2:$D$38,D16)=0),"CHECK ID",IFERROR(VLOOKUP(D16,'Attendance 10 MALES'!$D$2:$AE$38,28,FALSE())+VLOOKUP(D16,'Participation 10 MALES'!$D$2:$AD$38,27,FALSE()),"CHECK ID"))</f>
        <v>167</v>
      </c>
    </row>
    <row r="17" spans="1:5" ht="21" customHeight="1" x14ac:dyDescent="0.35">
      <c r="A17" s="11">
        <v>16</v>
      </c>
      <c r="B17" s="11" t="s">
        <v>559</v>
      </c>
      <c r="C17" s="11" t="s">
        <v>560</v>
      </c>
      <c r="D17" s="12" t="s">
        <v>561</v>
      </c>
      <c r="E17" s="9">
        <f>IF(OR(COUNTIF('Attendance 10 MALES'!$D$2:$D$38,D17)=0,COUNTIF('Participation 10 MALES'!$D$2:$D$38,D17)=0),"CHECK ID",IFERROR(VLOOKUP(D17,'Attendance 10 MALES'!$D$2:$AE$38,28,FALSE())+VLOOKUP(D17,'Participation 10 MALES'!$D$2:$AD$38,27,FALSE()),"CHECK ID"))</f>
        <v>142</v>
      </c>
    </row>
    <row r="18" spans="1:5" ht="21" customHeight="1" x14ac:dyDescent="0.35">
      <c r="A18" s="6">
        <v>17</v>
      </c>
      <c r="B18" s="6" t="s">
        <v>562</v>
      </c>
      <c r="C18" s="6" t="s">
        <v>563</v>
      </c>
      <c r="D18" s="7" t="s">
        <v>564</v>
      </c>
      <c r="E18" s="9">
        <f>IF(OR(COUNTIF('Attendance 10 MALES'!$D$2:$D$38,D18)=0,COUNTIF('Participation 10 MALES'!$D$2:$D$38,D18)=0),"CHECK ID",IFERROR(VLOOKUP(D18,'Attendance 10 MALES'!$D$2:$AE$38,28,FALSE())+VLOOKUP(D18,'Participation 10 MALES'!$D$2:$AD$38,27,FALSE()),"CHECK ID"))</f>
        <v>208</v>
      </c>
    </row>
    <row r="19" spans="1:5" ht="21" customHeight="1" x14ac:dyDescent="0.35">
      <c r="A19" s="11">
        <v>18</v>
      </c>
      <c r="B19" s="11" t="s">
        <v>565</v>
      </c>
      <c r="C19" s="11" t="s">
        <v>566</v>
      </c>
      <c r="D19" s="12" t="s">
        <v>567</v>
      </c>
      <c r="E19" s="9">
        <f>IF(OR(COUNTIF('Attendance 10 MALES'!$D$2:$D$38,D19)=0,COUNTIF('Participation 10 MALES'!$D$2:$D$38,D19)=0),"CHECK ID",IFERROR(VLOOKUP(D19,'Attendance 10 MALES'!$D$2:$AE$38,28,FALSE())+VLOOKUP(D19,'Participation 10 MALES'!$D$2:$AD$38,27,FALSE()),"CHECK ID"))</f>
        <v>190</v>
      </c>
    </row>
    <row r="20" spans="1:5" ht="21" customHeight="1" x14ac:dyDescent="0.35">
      <c r="A20" s="6">
        <v>19</v>
      </c>
      <c r="B20" s="6" t="s">
        <v>568</v>
      </c>
      <c r="C20" s="6" t="s">
        <v>569</v>
      </c>
      <c r="D20" s="7" t="s">
        <v>570</v>
      </c>
      <c r="E20" s="9">
        <f>IF(OR(COUNTIF('Attendance 10 MALES'!$D$2:$D$38,D20)=0,COUNTIF('Participation 10 MALES'!$D$2:$D$38,D20)=0),"CHECK ID",IFERROR(VLOOKUP(D20,'Attendance 10 MALES'!$D$2:$AE$38,28,FALSE())+VLOOKUP(D20,'Participation 10 MALES'!$D$2:$AD$38,27,FALSE()),"CHECK ID"))</f>
        <v>236</v>
      </c>
    </row>
    <row r="21" spans="1:5" ht="21" customHeight="1" x14ac:dyDescent="0.35">
      <c r="A21" s="11">
        <v>20</v>
      </c>
      <c r="B21" s="11" t="s">
        <v>571</v>
      </c>
      <c r="C21" s="11" t="s">
        <v>572</v>
      </c>
      <c r="D21" s="12" t="s">
        <v>573</v>
      </c>
      <c r="E21" s="9">
        <f>IF(OR(COUNTIF('Attendance 10 MALES'!$D$2:$D$38,D21)=0,COUNTIF('Participation 10 MALES'!$D$2:$D$38,D21)=0),"CHECK ID",IFERROR(VLOOKUP(D21,'Attendance 10 MALES'!$D$2:$AE$38,28,FALSE())+VLOOKUP(D21,'Participation 10 MALES'!$D$2:$AD$38,27,FALSE()),"CHECK ID"))</f>
        <v>232</v>
      </c>
    </row>
    <row r="22" spans="1:5" ht="21" customHeight="1" x14ac:dyDescent="0.35">
      <c r="A22" s="6">
        <v>21</v>
      </c>
      <c r="B22" s="6" t="s">
        <v>574</v>
      </c>
      <c r="C22" s="6" t="s">
        <v>575</v>
      </c>
      <c r="D22" s="7" t="s">
        <v>576</v>
      </c>
      <c r="E22" s="9">
        <f>IF(OR(COUNTIF('Attendance 10 MALES'!$D$2:$D$38,D22)=0,COUNTIF('Participation 10 MALES'!$D$2:$D$38,D22)=0),"CHECK ID",IFERROR(VLOOKUP(D22,'Attendance 10 MALES'!$D$2:$AE$38,28,FALSE())+VLOOKUP(D22,'Participation 10 MALES'!$D$2:$AD$38,27,FALSE()),"CHECK ID"))</f>
        <v>205</v>
      </c>
    </row>
    <row r="23" spans="1:5" ht="21" customHeight="1" x14ac:dyDescent="0.35">
      <c r="A23" s="11">
        <v>22</v>
      </c>
      <c r="B23" s="11" t="s">
        <v>577</v>
      </c>
      <c r="C23" s="11" t="s">
        <v>578</v>
      </c>
      <c r="D23" s="12" t="s">
        <v>579</v>
      </c>
      <c r="E23" s="9">
        <f>IF(OR(COUNTIF('Attendance 10 MALES'!$D$2:$D$38,D23)=0,COUNTIF('Participation 10 MALES'!$D$2:$D$38,D23)=0),"CHECK ID",IFERROR(VLOOKUP(D23,'Attendance 10 MALES'!$D$2:$AE$38,28,FALSE())+VLOOKUP(D23,'Participation 10 MALES'!$D$2:$AD$38,27,FALSE()),"CHECK ID"))</f>
        <v>132</v>
      </c>
    </row>
    <row r="24" spans="1:5" ht="21" customHeight="1" x14ac:dyDescent="0.35">
      <c r="A24" s="6">
        <v>23</v>
      </c>
      <c r="B24" s="6" t="s">
        <v>580</v>
      </c>
      <c r="C24" s="6" t="s">
        <v>581</v>
      </c>
      <c r="D24" s="7" t="s">
        <v>582</v>
      </c>
      <c r="E24" s="9">
        <f>IF(OR(COUNTIF('Attendance 10 MALES'!$D$2:$D$38,D24)=0,COUNTIF('Participation 10 MALES'!$D$2:$D$38,D24)=0),"CHECK ID",IFERROR(VLOOKUP(D24,'Attendance 10 MALES'!$D$2:$AE$38,28,FALSE())+VLOOKUP(D24,'Participation 10 MALES'!$D$2:$AD$38,27,FALSE()),"CHECK ID"))</f>
        <v>195</v>
      </c>
    </row>
    <row r="25" spans="1:5" ht="21" customHeight="1" x14ac:dyDescent="0.35">
      <c r="A25" s="11">
        <v>24</v>
      </c>
      <c r="B25" s="11" t="s">
        <v>583</v>
      </c>
      <c r="C25" s="11" t="s">
        <v>584</v>
      </c>
      <c r="D25" s="12" t="s">
        <v>585</v>
      </c>
      <c r="E25" s="9">
        <f>IF(OR(COUNTIF('Attendance 10 MALES'!$D$2:$D$38,D25)=0,COUNTIF('Participation 10 MALES'!$D$2:$D$38,D25)=0),"CHECK ID",IFERROR(VLOOKUP(D25,'Attendance 10 MALES'!$D$2:$AE$38,28,FALSE())+VLOOKUP(D25,'Participation 10 MALES'!$D$2:$AD$38,27,FALSE()),"CHECK ID"))</f>
        <v>197</v>
      </c>
    </row>
    <row r="26" spans="1:5" ht="21" customHeight="1" x14ac:dyDescent="0.35">
      <c r="A26" s="6">
        <v>25</v>
      </c>
      <c r="B26" s="6" t="s">
        <v>586</v>
      </c>
      <c r="C26" s="6" t="s">
        <v>587</v>
      </c>
      <c r="D26" s="7" t="s">
        <v>588</v>
      </c>
      <c r="E26" s="9">
        <f>IF(OR(COUNTIF('Attendance 10 MALES'!$D$2:$D$38,D26)=0,COUNTIF('Participation 10 MALES'!$D$2:$D$38,D26)=0),"CHECK ID",IFERROR(VLOOKUP(D26,'Attendance 10 MALES'!$D$2:$AE$38,28,FALSE())+VLOOKUP(D26,'Participation 10 MALES'!$D$2:$AD$38,27,FALSE()),"CHECK ID"))</f>
        <v>175</v>
      </c>
    </row>
    <row r="27" spans="1:5" ht="21" customHeight="1" x14ac:dyDescent="0.35">
      <c r="A27" s="11">
        <v>26</v>
      </c>
      <c r="B27" s="11" t="s">
        <v>589</v>
      </c>
      <c r="C27" s="11" t="s">
        <v>590</v>
      </c>
      <c r="D27" s="12" t="s">
        <v>591</v>
      </c>
      <c r="E27" s="9">
        <f>IF(OR(COUNTIF('Attendance 10 MALES'!$D$2:$D$38,D27)=0,COUNTIF('Participation 10 MALES'!$D$2:$D$38,D27)=0),"CHECK ID",IFERROR(VLOOKUP(D27,'Attendance 10 MALES'!$D$2:$AE$38,28,FALSE())+VLOOKUP(D27,'Participation 10 MALES'!$D$2:$AD$38,27,FALSE()),"CHECK ID"))</f>
        <v>173</v>
      </c>
    </row>
    <row r="28" spans="1:5" ht="21" customHeight="1" x14ac:dyDescent="0.35">
      <c r="A28" s="6">
        <v>27</v>
      </c>
      <c r="B28" s="6" t="s">
        <v>592</v>
      </c>
      <c r="C28" s="6" t="s">
        <v>593</v>
      </c>
      <c r="D28" s="7" t="s">
        <v>594</v>
      </c>
      <c r="E28" s="9">
        <f>IF(OR(COUNTIF('Attendance 10 MALES'!$D$2:$D$38,D28)=0,COUNTIF('Participation 10 MALES'!$D$2:$D$38,D28)=0),"CHECK ID",IFERROR(VLOOKUP(D28,'Attendance 10 MALES'!$D$2:$AE$38,28,FALSE())+VLOOKUP(D28,'Participation 10 MALES'!$D$2:$AD$38,27,FALSE()),"CHECK ID"))</f>
        <v>203</v>
      </c>
    </row>
    <row r="29" spans="1:5" ht="21" customHeight="1" x14ac:dyDescent="0.35">
      <c r="A29" s="11">
        <v>28</v>
      </c>
      <c r="B29" s="11" t="s">
        <v>595</v>
      </c>
      <c r="C29" s="11" t="s">
        <v>596</v>
      </c>
      <c r="D29" s="12" t="s">
        <v>597</v>
      </c>
      <c r="E29" s="9">
        <f>IF(OR(COUNTIF('Attendance 10 MALES'!$D$2:$D$38,D29)=0,COUNTIF('Participation 10 MALES'!$D$2:$D$38,D29)=0),"CHECK ID",IFERROR(VLOOKUP(D29,'Attendance 10 MALES'!$D$2:$AE$38,28,FALSE())+VLOOKUP(D29,'Participation 10 MALES'!$D$2:$AD$38,27,FALSE()),"CHECK ID"))</f>
        <v>238</v>
      </c>
    </row>
    <row r="30" spans="1:5" ht="21" customHeight="1" x14ac:dyDescent="0.35">
      <c r="A30" s="6">
        <v>29</v>
      </c>
      <c r="B30" s="6" t="s">
        <v>598</v>
      </c>
      <c r="C30" s="6" t="s">
        <v>599</v>
      </c>
      <c r="D30" s="7" t="s">
        <v>600</v>
      </c>
      <c r="E30" s="9">
        <f>IF(OR(COUNTIF('Attendance 10 MALES'!$D$2:$D$38,D30)=0,COUNTIF('Participation 10 MALES'!$D$2:$D$38,D30)=0),"CHECK ID",IFERROR(VLOOKUP(D30,'Attendance 10 MALES'!$D$2:$AE$38,28,FALSE())+VLOOKUP(D30,'Participation 10 MALES'!$D$2:$AD$38,27,FALSE()),"CHECK ID"))</f>
        <v>211</v>
      </c>
    </row>
    <row r="31" spans="1:5" ht="21" customHeight="1" x14ac:dyDescent="0.35">
      <c r="A31" s="11">
        <v>30</v>
      </c>
      <c r="B31" s="11" t="s">
        <v>601</v>
      </c>
      <c r="C31" s="11" t="s">
        <v>602</v>
      </c>
      <c r="D31" s="12" t="s">
        <v>603</v>
      </c>
      <c r="E31" s="9">
        <f>IF(OR(COUNTIF('Attendance 10 MALES'!$D$2:$D$38,D31)=0,COUNTIF('Participation 10 MALES'!$D$2:$D$38,D31)=0),"CHECK ID",IFERROR(VLOOKUP(D31,'Attendance 10 MALES'!$D$2:$AE$38,28,FALSE())+VLOOKUP(D31,'Participation 10 MALES'!$D$2:$AD$38,27,FALSE()),"CHECK ID"))</f>
        <v>163</v>
      </c>
    </row>
    <row r="32" spans="1:5" ht="21" customHeight="1" x14ac:dyDescent="0.35">
      <c r="A32" s="6">
        <v>31</v>
      </c>
      <c r="B32" s="6" t="s">
        <v>604</v>
      </c>
      <c r="C32" s="6" t="s">
        <v>605</v>
      </c>
      <c r="D32" s="7" t="s">
        <v>606</v>
      </c>
      <c r="E32" s="9">
        <f>IF(OR(COUNTIF('Attendance 10 MALES'!$D$2:$D$38,D32)=0,COUNTIF('Participation 10 MALES'!$D$2:$D$38,D32)=0),"CHECK ID",IFERROR(VLOOKUP(D32,'Attendance 10 MALES'!$D$2:$AE$38,28,FALSE())+VLOOKUP(D32,'Participation 10 MALES'!$D$2:$AD$38,27,FALSE()),"CHECK ID"))</f>
        <v>240</v>
      </c>
    </row>
    <row r="33" spans="1:5" ht="21" customHeight="1" x14ac:dyDescent="0.35">
      <c r="A33" s="11">
        <v>32</v>
      </c>
      <c r="B33" s="11" t="s">
        <v>607</v>
      </c>
      <c r="C33" s="11" t="s">
        <v>608</v>
      </c>
      <c r="D33" s="12" t="s">
        <v>609</v>
      </c>
      <c r="E33" s="9">
        <f>IF(OR(COUNTIF('Attendance 10 MALES'!$D$2:$D$38,D33)=0,COUNTIF('Participation 10 MALES'!$D$2:$D$38,D33)=0),"CHECK ID",IFERROR(VLOOKUP(D33,'Attendance 10 MALES'!$D$2:$AE$38,28,FALSE())+VLOOKUP(D33,'Participation 10 MALES'!$D$2:$AD$38,27,FALSE()),"CHECK ID"))</f>
        <v>136</v>
      </c>
    </row>
    <row r="34" spans="1:5" ht="21" customHeight="1" x14ac:dyDescent="0.35">
      <c r="A34" s="6">
        <v>33</v>
      </c>
      <c r="B34" s="6" t="s">
        <v>610</v>
      </c>
      <c r="C34" s="6" t="s">
        <v>611</v>
      </c>
      <c r="D34" s="7" t="s">
        <v>612</v>
      </c>
      <c r="E34" s="9">
        <f>IF(OR(COUNTIF('Attendance 10 MALES'!$D$2:$D$38,D34)=0,COUNTIF('Participation 10 MALES'!$D$2:$D$38,D34)=0),"CHECK ID",IFERROR(VLOOKUP(D34,'Attendance 10 MALES'!$D$2:$AE$38,28,FALSE())+VLOOKUP(D34,'Participation 10 MALES'!$D$2:$AD$38,27,FALSE()),"CHECK ID"))</f>
        <v>215</v>
      </c>
    </row>
    <row r="35" spans="1:5" ht="21" customHeight="1" x14ac:dyDescent="0.35">
      <c r="A35" s="11">
        <v>34</v>
      </c>
      <c r="B35" s="11" t="s">
        <v>613</v>
      </c>
      <c r="C35" s="11" t="s">
        <v>614</v>
      </c>
      <c r="D35" s="12" t="s">
        <v>615</v>
      </c>
      <c r="E35" s="9">
        <f>IF(OR(COUNTIF('Attendance 10 MALES'!$D$2:$D$38,D35)=0,COUNTIF('Participation 10 MALES'!$D$2:$D$38,D35)=0),"CHECK ID",IFERROR(VLOOKUP(D35,'Attendance 10 MALES'!$D$2:$AE$38,28,FALSE())+VLOOKUP(D35,'Participation 10 MALES'!$D$2:$AD$38,27,FALSE()),"CHECK ID"))</f>
        <v>164</v>
      </c>
    </row>
    <row r="36" spans="1:5" ht="21" customHeight="1" x14ac:dyDescent="0.35">
      <c r="A36" s="6">
        <v>35</v>
      </c>
      <c r="B36" s="6" t="s">
        <v>616</v>
      </c>
      <c r="C36" s="6" t="s">
        <v>617</v>
      </c>
      <c r="D36" s="7" t="s">
        <v>618</v>
      </c>
      <c r="E36" s="9">
        <f>IF(OR(COUNTIF('Attendance 10 MALES'!$D$2:$D$38,D36)=0,COUNTIF('Participation 10 MALES'!$D$2:$D$38,D36)=0),"CHECK ID",IFERROR(VLOOKUP(D36,'Attendance 10 MALES'!$D$2:$AE$38,28,FALSE())+VLOOKUP(D36,'Participation 10 MALES'!$D$2:$AD$38,27,FALSE()),"CHECK ID"))</f>
        <v>205</v>
      </c>
    </row>
  </sheetData>
  <autoFilter ref="A1:E36" xr:uid="{00000000-0009-0000-0000-00000B000000}"/>
  <conditionalFormatting sqref="B1:D1">
    <cfRule type="cellIs" dxfId="33" priority="2" operator="equal">
      <formula>"Present"</formula>
    </cfRule>
    <cfRule type="cellIs" dxfId="32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  <pageSetUpPr fitToPage="1"/>
  </sheetPr>
  <dimension ref="A1:E36"/>
  <sheetViews>
    <sheetView showGridLines="0" zoomScale="115" zoomScaleNormal="11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155</v>
      </c>
    </row>
    <row r="2" spans="1:5" ht="21" customHeight="1" x14ac:dyDescent="0.35">
      <c r="A2" s="6">
        <v>1</v>
      </c>
      <c r="B2" s="6" t="s">
        <v>30</v>
      </c>
      <c r="C2" s="6" t="s">
        <v>31</v>
      </c>
      <c r="D2" s="7" t="s">
        <v>32</v>
      </c>
      <c r="E2" s="9">
        <f>IF(OR(COUNTIF('Attendance 11 MALES'!$D$2:$D$41,D2)=0,COUNTIF('Participation 11 MALES'!$D$2:$D$42,D2)=0),"CHECK ID",IFERROR(VLOOKUP(D2,'Attendance 11 MALES'!$D$2:$AE$41,28,FALSE())+VLOOKUP(D2,'Participation 11 MALES'!$D$2:$AD$42,27,FALSE()),"CHECK ID"))</f>
        <v>132</v>
      </c>
    </row>
    <row r="3" spans="1:5" ht="21" customHeight="1" x14ac:dyDescent="0.35">
      <c r="A3" s="11">
        <v>2</v>
      </c>
      <c r="B3" s="11" t="s">
        <v>33</v>
      </c>
      <c r="C3" s="11" t="s">
        <v>34</v>
      </c>
      <c r="D3" s="12" t="s">
        <v>35</v>
      </c>
      <c r="E3" s="9">
        <f>IF(OR(COUNTIF('Attendance 11 MALES'!$D$2:$D$41,D3)=0,COUNTIF('Participation 11 MALES'!$D$2:$D$42,D3)=0),"CHECK ID",IFERROR(VLOOKUP(D3,'Attendance 11 MALES'!$D$2:$AE$41,28,FALSE())+VLOOKUP(D3,'Participation 11 MALES'!$D$2:$AD$42,27,FALSE()),"CHECK ID"))</f>
        <v>181</v>
      </c>
    </row>
    <row r="4" spans="1:5" ht="21" customHeight="1" x14ac:dyDescent="0.35">
      <c r="A4" s="6">
        <v>3</v>
      </c>
      <c r="B4" s="6" t="s">
        <v>36</v>
      </c>
      <c r="C4" s="6" t="s">
        <v>37</v>
      </c>
      <c r="D4" s="7" t="s">
        <v>38</v>
      </c>
      <c r="E4" s="9">
        <f>IF(OR(COUNTIF('Attendance 11 MALES'!$D$2:$D$41,D4)=0,COUNTIF('Participation 11 MALES'!$D$2:$D$42,D4)=0),"CHECK ID",IFERROR(VLOOKUP(D4,'Attendance 11 MALES'!$D$2:$AE$41,28,FALSE())+VLOOKUP(D4,'Participation 11 MALES'!$D$2:$AD$42,27,FALSE()),"CHECK ID"))</f>
        <v>145</v>
      </c>
    </row>
    <row r="5" spans="1:5" ht="21" customHeight="1" x14ac:dyDescent="0.35">
      <c r="A5" s="11">
        <v>4</v>
      </c>
      <c r="B5" s="11" t="s">
        <v>39</v>
      </c>
      <c r="C5" s="11" t="s">
        <v>40</v>
      </c>
      <c r="D5" s="12" t="s">
        <v>41</v>
      </c>
      <c r="E5" s="9">
        <f>IF(OR(COUNTIF('Attendance 11 MALES'!$D$2:$D$41,D5)=0,COUNTIF('Participation 11 MALES'!$D$2:$D$42,D5)=0),"CHECK ID",IFERROR(VLOOKUP(D5,'Attendance 11 MALES'!$D$2:$AE$41,28,FALSE())+VLOOKUP(D5,'Participation 11 MALES'!$D$2:$AD$42,27,FALSE()),"CHECK ID"))</f>
        <v>82</v>
      </c>
    </row>
    <row r="6" spans="1:5" ht="21" customHeight="1" x14ac:dyDescent="0.35">
      <c r="A6" s="6">
        <v>5</v>
      </c>
      <c r="B6" s="6" t="s">
        <v>42</v>
      </c>
      <c r="C6" s="6" t="s">
        <v>43</v>
      </c>
      <c r="D6" s="7" t="s">
        <v>44</v>
      </c>
      <c r="E6" s="9">
        <f>IF(OR(COUNTIF('Attendance 11 MALES'!$D$2:$D$41,D6)=0,COUNTIF('Participation 11 MALES'!$D$2:$D$42,D6)=0),"CHECK ID",IFERROR(VLOOKUP(D6,'Attendance 11 MALES'!$D$2:$AE$41,28,FALSE())+VLOOKUP(D6,'Participation 11 MALES'!$D$2:$AD$42,27,FALSE()),"CHECK ID"))</f>
        <v>147</v>
      </c>
    </row>
    <row r="7" spans="1:5" ht="21" customHeight="1" x14ac:dyDescent="0.35">
      <c r="A7" s="11">
        <v>6</v>
      </c>
      <c r="B7" s="11" t="s">
        <v>45</v>
      </c>
      <c r="C7" s="11" t="s">
        <v>46</v>
      </c>
      <c r="D7" s="12" t="s">
        <v>47</v>
      </c>
      <c r="E7" s="9">
        <f>IF(OR(COUNTIF('Attendance 11 MALES'!$D$2:$D$41,D7)=0,COUNTIF('Participation 11 MALES'!$D$2:$D$42,D7)=0),"CHECK ID",IFERROR(VLOOKUP(D7,'Attendance 11 MALES'!$D$2:$AE$41,28,FALSE())+VLOOKUP(D7,'Participation 11 MALES'!$D$2:$AD$42,27,FALSE()),"CHECK ID"))</f>
        <v>160</v>
      </c>
    </row>
    <row r="8" spans="1:5" ht="21" customHeight="1" x14ac:dyDescent="0.35">
      <c r="A8" s="6">
        <v>7</v>
      </c>
      <c r="B8" s="6" t="s">
        <v>48</v>
      </c>
      <c r="C8" s="6" t="s">
        <v>49</v>
      </c>
      <c r="D8" s="7" t="s">
        <v>50</v>
      </c>
      <c r="E8" s="9">
        <f>IF(OR(COUNTIF('Attendance 11 MALES'!$D$2:$D$41,D8)=0,COUNTIF('Participation 11 MALES'!$D$2:$D$42,D8)=0),"CHECK ID",IFERROR(VLOOKUP(D8,'Attendance 11 MALES'!$D$2:$AE$41,28,FALSE())+VLOOKUP(D8,'Participation 11 MALES'!$D$2:$AD$42,27,FALSE()),"CHECK ID"))</f>
        <v>155</v>
      </c>
    </row>
    <row r="9" spans="1:5" ht="21" customHeight="1" x14ac:dyDescent="0.35">
      <c r="A9" s="11">
        <v>8</v>
      </c>
      <c r="B9" s="11" t="s">
        <v>51</v>
      </c>
      <c r="C9" s="11" t="s">
        <v>52</v>
      </c>
      <c r="D9" s="12" t="s">
        <v>53</v>
      </c>
      <c r="E9" s="9">
        <f>IF(OR(COUNTIF('Attendance 11 MALES'!$D$2:$D$41,D9)=0,COUNTIF('Participation 11 MALES'!$D$2:$D$42,D9)=0),"CHECK ID",IFERROR(VLOOKUP(D9,'Attendance 11 MALES'!$D$2:$AE$41,28,FALSE())+VLOOKUP(D9,'Participation 11 MALES'!$D$2:$AD$42,27,FALSE()),"CHECK ID"))</f>
        <v>170</v>
      </c>
    </row>
    <row r="10" spans="1:5" ht="21" customHeight="1" x14ac:dyDescent="0.35">
      <c r="A10" s="6">
        <v>9</v>
      </c>
      <c r="B10" s="6" t="s">
        <v>54</v>
      </c>
      <c r="C10" s="6" t="s">
        <v>55</v>
      </c>
      <c r="D10" s="7" t="s">
        <v>56</v>
      </c>
      <c r="E10" s="9">
        <f>IF(OR(COUNTIF('Attendance 11 MALES'!$D$2:$D$41,D10)=0,COUNTIF('Participation 11 MALES'!$D$2:$D$42,D10)=0),"CHECK ID",IFERROR(VLOOKUP(D10,'Attendance 11 MALES'!$D$2:$AE$41,28,FALSE())+VLOOKUP(D10,'Participation 11 MALES'!$D$2:$AD$42,27,FALSE()),"CHECK ID"))</f>
        <v>167</v>
      </c>
    </row>
    <row r="11" spans="1:5" ht="21" customHeight="1" x14ac:dyDescent="0.35">
      <c r="A11" s="11">
        <v>10</v>
      </c>
      <c r="B11" s="11" t="s">
        <v>57</v>
      </c>
      <c r="C11" s="11" t="s">
        <v>58</v>
      </c>
      <c r="D11" s="12" t="s">
        <v>59</v>
      </c>
      <c r="E11" s="9">
        <f>IF(OR(COUNTIF('Attendance 11 MALES'!$D$2:$D$41,D11)=0,COUNTIF('Participation 11 MALES'!$D$2:$D$42,D11)=0),"CHECK ID",IFERROR(VLOOKUP(D11,'Attendance 11 MALES'!$D$2:$AE$41,28,FALSE())+VLOOKUP(D11,'Participation 11 MALES'!$D$2:$AD$42,27,FALSE()),"CHECK ID"))</f>
        <v>209</v>
      </c>
    </row>
    <row r="12" spans="1:5" ht="21" customHeight="1" x14ac:dyDescent="0.35">
      <c r="A12" s="6">
        <v>11</v>
      </c>
      <c r="B12" s="6" t="s">
        <v>60</v>
      </c>
      <c r="C12" s="6" t="s">
        <v>61</v>
      </c>
      <c r="D12" s="7" t="s">
        <v>62</v>
      </c>
      <c r="E12" s="9">
        <f>IF(OR(COUNTIF('Attendance 11 MALES'!$D$2:$D$41,D12)=0,COUNTIF('Participation 11 MALES'!$D$2:$D$42,D12)=0),"CHECK ID",IFERROR(VLOOKUP(D12,'Attendance 11 MALES'!$D$2:$AE$41,28,FALSE())+VLOOKUP(D12,'Participation 11 MALES'!$D$2:$AD$42,27,FALSE()),"CHECK ID"))</f>
        <v>171</v>
      </c>
    </row>
    <row r="13" spans="1:5" ht="21" customHeight="1" x14ac:dyDescent="0.35">
      <c r="A13" s="11">
        <v>12</v>
      </c>
      <c r="B13" s="11" t="s">
        <v>63</v>
      </c>
      <c r="C13" s="11" t="s">
        <v>64</v>
      </c>
      <c r="D13" s="12" t="s">
        <v>65</v>
      </c>
      <c r="E13" s="9">
        <f>IF(OR(COUNTIF('Attendance 11 MALES'!$D$2:$D$41,D13)=0,COUNTIF('Participation 11 MALES'!$D$2:$D$42,D13)=0),"CHECK ID",IFERROR(VLOOKUP(D13,'Attendance 11 MALES'!$D$2:$AE$41,28,FALSE())+VLOOKUP(D13,'Participation 11 MALES'!$D$2:$AD$42,27,FALSE()),"CHECK ID"))</f>
        <v>169</v>
      </c>
    </row>
    <row r="14" spans="1:5" ht="21" customHeight="1" x14ac:dyDescent="0.35">
      <c r="A14" s="6">
        <v>13</v>
      </c>
      <c r="B14" s="6" t="s">
        <v>66</v>
      </c>
      <c r="C14" s="6" t="s">
        <v>67</v>
      </c>
      <c r="D14" s="7" t="s">
        <v>68</v>
      </c>
      <c r="E14" s="9">
        <f>IF(OR(COUNTIF('Attendance 11 MALES'!$D$2:$D$41,D14)=0,COUNTIF('Participation 11 MALES'!$D$2:$D$42,D14)=0),"CHECK ID",IFERROR(VLOOKUP(D14,'Attendance 11 MALES'!$D$2:$AE$41,28,FALSE())+VLOOKUP(D14,'Participation 11 MALES'!$D$2:$AD$42,27,FALSE()),"CHECK ID"))</f>
        <v>145</v>
      </c>
    </row>
    <row r="15" spans="1:5" ht="21" customHeight="1" x14ac:dyDescent="0.35">
      <c r="A15" s="11">
        <v>14</v>
      </c>
      <c r="B15" s="11" t="s">
        <v>69</v>
      </c>
      <c r="C15" s="11" t="s">
        <v>70</v>
      </c>
      <c r="D15" s="12" t="s">
        <v>71</v>
      </c>
      <c r="E15" s="9">
        <f>IF(OR(COUNTIF('Attendance 11 MALES'!$D$2:$D$41,D15)=0,COUNTIF('Participation 11 MALES'!$D$2:$D$42,D15)=0),"CHECK ID",IFERROR(VLOOKUP(D15,'Attendance 11 MALES'!$D$2:$AE$41,28,FALSE())+VLOOKUP(D15,'Participation 11 MALES'!$D$2:$AD$42,27,FALSE()),"CHECK ID"))</f>
        <v>141</v>
      </c>
    </row>
    <row r="16" spans="1:5" ht="21" customHeight="1" x14ac:dyDescent="0.35">
      <c r="A16" s="6">
        <v>15</v>
      </c>
      <c r="B16" s="6" t="s">
        <v>72</v>
      </c>
      <c r="C16" s="6" t="s">
        <v>73</v>
      </c>
      <c r="D16" s="7" t="s">
        <v>74</v>
      </c>
      <c r="E16" s="9">
        <f>IF(OR(COUNTIF('Attendance 11 MALES'!$D$2:$D$41,D16)=0,COUNTIF('Participation 11 MALES'!$D$2:$D$42,D16)=0),"CHECK ID",IFERROR(VLOOKUP(D16,'Attendance 11 MALES'!$D$2:$AE$41,28,FALSE())+VLOOKUP(D16,'Participation 11 MALES'!$D$2:$AD$42,27,FALSE()),"CHECK ID"))</f>
        <v>188</v>
      </c>
    </row>
    <row r="17" spans="1:5" ht="21" customHeight="1" x14ac:dyDescent="0.35">
      <c r="A17" s="11">
        <v>16</v>
      </c>
      <c r="B17" s="11" t="s">
        <v>75</v>
      </c>
      <c r="C17" s="11" t="s">
        <v>76</v>
      </c>
      <c r="D17" s="12" t="s">
        <v>77</v>
      </c>
      <c r="E17" s="9">
        <f>IF(OR(COUNTIF('Attendance 11 MALES'!$D$2:$D$41,D17)=0,COUNTIF('Participation 11 MALES'!$D$2:$D$42,D17)=0),"CHECK ID",IFERROR(VLOOKUP(D17,'Attendance 11 MALES'!$D$2:$AE$41,28,FALSE())+VLOOKUP(D17,'Participation 11 MALES'!$D$2:$AD$42,27,FALSE()),"CHECK ID"))</f>
        <v>167</v>
      </c>
    </row>
    <row r="18" spans="1:5" ht="21" customHeight="1" x14ac:dyDescent="0.35">
      <c r="A18" s="6">
        <v>17</v>
      </c>
      <c r="B18" s="6" t="s">
        <v>78</v>
      </c>
      <c r="C18" s="6" t="s">
        <v>79</v>
      </c>
      <c r="D18" s="7" t="s">
        <v>80</v>
      </c>
      <c r="E18" s="9">
        <f>IF(OR(COUNTIF('Attendance 11 MALES'!$D$2:$D$41,D18)=0,COUNTIF('Participation 11 MALES'!$D$2:$D$42,D18)=0),"CHECK ID",IFERROR(VLOOKUP(D18,'Attendance 11 MALES'!$D$2:$AE$41,28,FALSE())+VLOOKUP(D18,'Participation 11 MALES'!$D$2:$AD$42,27,FALSE()),"CHECK ID"))</f>
        <v>171</v>
      </c>
    </row>
    <row r="19" spans="1:5" ht="21" customHeight="1" x14ac:dyDescent="0.35">
      <c r="A19" s="11">
        <v>18</v>
      </c>
      <c r="B19" s="11" t="s">
        <v>81</v>
      </c>
      <c r="C19" s="11" t="s">
        <v>82</v>
      </c>
      <c r="D19" s="12" t="s">
        <v>83</v>
      </c>
      <c r="E19" s="9">
        <f>IF(OR(COUNTIF('Attendance 11 MALES'!$D$2:$D$41,D19)=0,COUNTIF('Participation 11 MALES'!$D$2:$D$42,D19)=0),"CHECK ID",IFERROR(VLOOKUP(D19,'Attendance 11 MALES'!$D$2:$AE$41,28,FALSE())+VLOOKUP(D19,'Participation 11 MALES'!$D$2:$AD$42,27,FALSE()),"CHECK ID"))</f>
        <v>133</v>
      </c>
    </row>
    <row r="20" spans="1:5" ht="21" customHeight="1" x14ac:dyDescent="0.35">
      <c r="A20" s="6">
        <v>19</v>
      </c>
      <c r="B20" s="6" t="s">
        <v>84</v>
      </c>
      <c r="C20" s="6" t="s">
        <v>85</v>
      </c>
      <c r="D20" s="7" t="s">
        <v>86</v>
      </c>
      <c r="E20" s="9">
        <f>IF(OR(COUNTIF('Attendance 11 MALES'!$D$2:$D$41,D20)=0,COUNTIF('Participation 11 MALES'!$D$2:$D$42,D20)=0),"CHECK ID",IFERROR(VLOOKUP(D20,'Attendance 11 MALES'!$D$2:$AE$41,28,FALSE())+VLOOKUP(D20,'Participation 11 MALES'!$D$2:$AD$42,27,FALSE()),"CHECK ID"))</f>
        <v>168</v>
      </c>
    </row>
    <row r="21" spans="1:5" ht="21" customHeight="1" x14ac:dyDescent="0.35">
      <c r="A21" s="11">
        <v>20</v>
      </c>
      <c r="B21" s="11" t="s">
        <v>87</v>
      </c>
      <c r="C21" s="11" t="s">
        <v>88</v>
      </c>
      <c r="D21" s="12" t="s">
        <v>89</v>
      </c>
      <c r="E21" s="9">
        <f>IF(OR(COUNTIF('Attendance 11 MALES'!$D$2:$D$41,D21)=0,COUNTIF('Participation 11 MALES'!$D$2:$D$42,D21)=0),"CHECK ID",IFERROR(VLOOKUP(D21,'Attendance 11 MALES'!$D$2:$AE$41,28,FALSE())+VLOOKUP(D21,'Participation 11 MALES'!$D$2:$AD$42,27,FALSE()),"CHECK ID"))</f>
        <v>169</v>
      </c>
    </row>
    <row r="22" spans="1:5" ht="21" customHeight="1" x14ac:dyDescent="0.35">
      <c r="A22" s="6">
        <v>21</v>
      </c>
      <c r="B22" s="6" t="s">
        <v>90</v>
      </c>
      <c r="C22" s="6" t="s">
        <v>91</v>
      </c>
      <c r="D22" s="7" t="s">
        <v>92</v>
      </c>
      <c r="E22" s="9">
        <f>IF(OR(COUNTIF('Attendance 11 MALES'!$D$2:$D$41,D22)=0,COUNTIF('Participation 11 MALES'!$D$2:$D$42,D22)=0),"CHECK ID",IFERROR(VLOOKUP(D22,'Attendance 11 MALES'!$D$2:$AE$41,28,FALSE())+VLOOKUP(D22,'Participation 11 MALES'!$D$2:$AD$42,27,FALSE()),"CHECK ID"))</f>
        <v>147</v>
      </c>
    </row>
    <row r="23" spans="1:5" ht="21" customHeight="1" x14ac:dyDescent="0.35">
      <c r="A23" s="11">
        <v>22</v>
      </c>
      <c r="B23" s="11" t="s">
        <v>93</v>
      </c>
      <c r="C23" s="11" t="s">
        <v>94</v>
      </c>
      <c r="D23" s="12" t="s">
        <v>95</v>
      </c>
      <c r="E23" s="9">
        <f>IF(OR(COUNTIF('Attendance 11 MALES'!$D$2:$D$41,D23)=0,COUNTIF('Participation 11 MALES'!$D$2:$D$42,D23)=0),"CHECK ID",IFERROR(VLOOKUP(D23,'Attendance 11 MALES'!$D$2:$AE$41,28,FALSE())+VLOOKUP(D23,'Participation 11 MALES'!$D$2:$AD$42,27,FALSE()),"CHECK ID"))</f>
        <v>156</v>
      </c>
    </row>
    <row r="24" spans="1:5" ht="21" customHeight="1" x14ac:dyDescent="0.35">
      <c r="A24" s="6">
        <v>23</v>
      </c>
      <c r="B24" s="6" t="s">
        <v>96</v>
      </c>
      <c r="C24" s="6" t="s">
        <v>97</v>
      </c>
      <c r="D24" s="7" t="s">
        <v>98</v>
      </c>
      <c r="E24" s="9">
        <f>IF(OR(COUNTIF('Attendance 11 MALES'!$D$2:$D$41,D24)=0,COUNTIF('Participation 11 MALES'!$D$2:$D$42,D24)=0),"CHECK ID",IFERROR(VLOOKUP(D24,'Attendance 11 MALES'!$D$2:$AE$41,28,FALSE())+VLOOKUP(D24,'Participation 11 MALES'!$D$2:$AD$42,27,FALSE()),"CHECK ID"))</f>
        <v>158</v>
      </c>
    </row>
    <row r="25" spans="1:5" ht="21" customHeight="1" x14ac:dyDescent="0.35">
      <c r="A25" s="11">
        <v>24</v>
      </c>
      <c r="B25" s="11" t="s">
        <v>99</v>
      </c>
      <c r="C25" s="11" t="s">
        <v>100</v>
      </c>
      <c r="D25" s="12" t="s">
        <v>101</v>
      </c>
      <c r="E25" s="9">
        <f>IF(OR(COUNTIF('Attendance 11 MALES'!$D$2:$D$41,D25)=0,COUNTIF('Participation 11 MALES'!$D$2:$D$42,D25)=0),"CHECK ID",IFERROR(VLOOKUP(D25,'Attendance 11 MALES'!$D$2:$AE$41,28,FALSE())+VLOOKUP(D25,'Participation 11 MALES'!$D$2:$AD$42,27,FALSE()),"CHECK ID"))</f>
        <v>157</v>
      </c>
    </row>
    <row r="26" spans="1:5" ht="21" customHeight="1" x14ac:dyDescent="0.35">
      <c r="A26" s="6">
        <v>25</v>
      </c>
      <c r="B26" s="6" t="s">
        <v>102</v>
      </c>
      <c r="C26" s="6" t="s">
        <v>103</v>
      </c>
      <c r="D26" s="7" t="s">
        <v>104</v>
      </c>
      <c r="E26" s="9">
        <f>IF(OR(COUNTIF('Attendance 11 MALES'!$D$2:$D$41,D26)=0,COUNTIF('Participation 11 MALES'!$D$2:$D$42,D26)=0),"CHECK ID",IFERROR(VLOOKUP(D26,'Attendance 11 MALES'!$D$2:$AE$41,28,FALSE())+VLOOKUP(D26,'Participation 11 MALES'!$D$2:$AD$42,27,FALSE()),"CHECK ID"))</f>
        <v>177</v>
      </c>
    </row>
    <row r="27" spans="1:5" ht="21" customHeight="1" x14ac:dyDescent="0.35">
      <c r="A27" s="11">
        <v>26</v>
      </c>
      <c r="B27" s="11" t="s">
        <v>105</v>
      </c>
      <c r="C27" s="11" t="s">
        <v>106</v>
      </c>
      <c r="D27" s="12" t="s">
        <v>107</v>
      </c>
      <c r="E27" s="9">
        <f>IF(OR(COUNTIF('Attendance 11 MALES'!$D$2:$D$41,D27)=0,COUNTIF('Participation 11 MALES'!$D$2:$D$42,D27)=0),"CHECK ID",IFERROR(VLOOKUP(D27,'Attendance 11 MALES'!$D$2:$AE$41,28,FALSE())+VLOOKUP(D27,'Participation 11 MALES'!$D$2:$AD$42,27,FALSE()),"CHECK ID"))</f>
        <v>170</v>
      </c>
    </row>
    <row r="28" spans="1:5" ht="21" customHeight="1" x14ac:dyDescent="0.35">
      <c r="A28" s="6">
        <v>27</v>
      </c>
      <c r="B28" s="6" t="s">
        <v>108</v>
      </c>
      <c r="C28" s="6" t="s">
        <v>109</v>
      </c>
      <c r="D28" s="7" t="s">
        <v>110</v>
      </c>
      <c r="E28" s="9">
        <f>IF(OR(COUNTIF('Attendance 11 MALES'!$D$2:$D$41,D28)=0,COUNTIF('Participation 11 MALES'!$D$2:$D$42,D28)=0),"CHECK ID",IFERROR(VLOOKUP(D28,'Attendance 11 MALES'!$D$2:$AE$41,28,FALSE())+VLOOKUP(D28,'Participation 11 MALES'!$D$2:$AD$42,27,FALSE()),"CHECK ID"))</f>
        <v>204</v>
      </c>
    </row>
    <row r="29" spans="1:5" ht="21" customHeight="1" x14ac:dyDescent="0.35">
      <c r="A29" s="11">
        <v>28</v>
      </c>
      <c r="B29" s="11" t="s">
        <v>111</v>
      </c>
      <c r="C29" s="11" t="s">
        <v>112</v>
      </c>
      <c r="D29" s="12" t="s">
        <v>113</v>
      </c>
      <c r="E29" s="9">
        <f>IF(OR(COUNTIF('Attendance 11 MALES'!$D$2:$D$41,D29)=0,COUNTIF('Participation 11 MALES'!$D$2:$D$42,D29)=0),"CHECK ID",IFERROR(VLOOKUP(D29,'Attendance 11 MALES'!$D$2:$AE$41,28,FALSE())+VLOOKUP(D29,'Participation 11 MALES'!$D$2:$AD$42,27,FALSE()),"CHECK ID"))</f>
        <v>115</v>
      </c>
    </row>
    <row r="30" spans="1:5" ht="21" customHeight="1" x14ac:dyDescent="0.35">
      <c r="A30" s="6">
        <v>29</v>
      </c>
      <c r="B30" s="6" t="s">
        <v>114</v>
      </c>
      <c r="C30" s="6" t="s">
        <v>115</v>
      </c>
      <c r="D30" s="7" t="s">
        <v>116</v>
      </c>
      <c r="E30" s="9">
        <f>IF(OR(COUNTIF('Attendance 11 MALES'!$D$2:$D$41,D30)=0,COUNTIF('Participation 11 MALES'!$D$2:$D$42,D30)=0),"CHECK ID",IFERROR(VLOOKUP(D30,'Attendance 11 MALES'!$D$2:$AE$41,28,FALSE())+VLOOKUP(D30,'Participation 11 MALES'!$D$2:$AD$42,27,FALSE()),"CHECK ID"))</f>
        <v>153</v>
      </c>
    </row>
    <row r="31" spans="1:5" ht="21" customHeight="1" x14ac:dyDescent="0.35">
      <c r="A31" s="11">
        <v>30</v>
      </c>
      <c r="B31" s="11" t="s">
        <v>117</v>
      </c>
      <c r="C31" s="11" t="s">
        <v>118</v>
      </c>
      <c r="D31" s="12" t="s">
        <v>119</v>
      </c>
      <c r="E31" s="9">
        <f>IF(OR(COUNTIF('Attendance 11 MALES'!$D$2:$D$41,D31)=0,COUNTIF('Participation 11 MALES'!$D$2:$D$42,D31)=0),"CHECK ID",IFERROR(VLOOKUP(D31,'Attendance 11 MALES'!$D$2:$AE$41,28,FALSE())+VLOOKUP(D31,'Participation 11 MALES'!$D$2:$AD$42,27,FALSE()),"CHECK ID"))</f>
        <v>183</v>
      </c>
    </row>
    <row r="32" spans="1:5" ht="21" customHeight="1" x14ac:dyDescent="0.35">
      <c r="A32" s="6">
        <v>31</v>
      </c>
      <c r="B32" s="6" t="s">
        <v>120</v>
      </c>
      <c r="C32" s="6" t="s">
        <v>121</v>
      </c>
      <c r="D32" s="7" t="s">
        <v>122</v>
      </c>
      <c r="E32" s="9">
        <f>IF(OR(COUNTIF('Attendance 11 MALES'!$D$2:$D$41,D32)=0,COUNTIF('Participation 11 MALES'!$D$2:$D$42,D32)=0),"CHECK ID",IFERROR(VLOOKUP(D32,'Attendance 11 MALES'!$D$2:$AE$41,28,FALSE())+VLOOKUP(D32,'Participation 11 MALES'!$D$2:$AD$42,27,FALSE()),"CHECK ID"))</f>
        <v>149</v>
      </c>
    </row>
    <row r="33" spans="1:5" ht="21" customHeight="1" x14ac:dyDescent="0.35">
      <c r="A33" s="11">
        <v>32</v>
      </c>
      <c r="B33" s="11" t="s">
        <v>123</v>
      </c>
      <c r="C33" s="11" t="s">
        <v>124</v>
      </c>
      <c r="D33" s="12" t="s">
        <v>125</v>
      </c>
      <c r="E33" s="9">
        <f>IF(OR(COUNTIF('Attendance 11 MALES'!$D$2:$D$41,D33)=0,COUNTIF('Participation 11 MALES'!$D$2:$D$42,D33)=0),"CHECK ID",IFERROR(VLOOKUP(D33,'Attendance 11 MALES'!$D$2:$AE$41,28,FALSE())+VLOOKUP(D33,'Participation 11 MALES'!$D$2:$AD$42,27,FALSE()),"CHECK ID"))</f>
        <v>116</v>
      </c>
    </row>
    <row r="34" spans="1:5" ht="21" customHeight="1" x14ac:dyDescent="0.35">
      <c r="A34" s="6">
        <v>33</v>
      </c>
      <c r="B34" s="6" t="s">
        <v>126</v>
      </c>
      <c r="C34" s="6" t="s">
        <v>127</v>
      </c>
      <c r="D34" s="7" t="s">
        <v>128</v>
      </c>
      <c r="E34" s="9">
        <f>IF(OR(COUNTIF('Attendance 11 MALES'!$D$2:$D$41,D34)=0,COUNTIF('Participation 11 MALES'!$D$2:$D$42,D34)=0),"CHECK ID",IFERROR(VLOOKUP(D34,'Attendance 11 MALES'!$D$2:$AE$41,28,FALSE())+VLOOKUP(D34,'Participation 11 MALES'!$D$2:$AD$42,27,FALSE()),"CHECK ID"))</f>
        <v>175</v>
      </c>
    </row>
    <row r="35" spans="1:5" ht="21" customHeight="1" x14ac:dyDescent="0.35">
      <c r="A35" s="11">
        <v>34</v>
      </c>
      <c r="B35" s="11" t="s">
        <v>129</v>
      </c>
      <c r="C35" s="11" t="s">
        <v>130</v>
      </c>
      <c r="D35" s="12" t="s">
        <v>131</v>
      </c>
      <c r="E35" s="9">
        <f>IF(OR(COUNTIF('Attendance 11 MALES'!$D$2:$D$41,D35)=0,COUNTIF('Participation 11 MALES'!$D$2:$D$42,D35)=0),"CHECK ID",IFERROR(VLOOKUP(D35,'Attendance 11 MALES'!$D$2:$AE$41,28,FALSE())+VLOOKUP(D35,'Participation 11 MALES'!$D$2:$AD$42,27,FALSE()),"CHECK ID"))</f>
        <v>140</v>
      </c>
    </row>
    <row r="36" spans="1:5" ht="21" customHeight="1" x14ac:dyDescent="0.35">
      <c r="A36" s="6">
        <v>35</v>
      </c>
      <c r="B36" s="6" t="s">
        <v>132</v>
      </c>
      <c r="C36" s="6" t="s">
        <v>133</v>
      </c>
      <c r="D36" s="7" t="s">
        <v>134</v>
      </c>
      <c r="E36" s="9">
        <f>IF(OR(COUNTIF('Attendance 11 MALES'!$D$2:$D$41,D36)=0,COUNTIF('Participation 11 MALES'!$D$2:$D$42,D36)=0),"CHECK ID",IFERROR(VLOOKUP(D36,'Attendance 11 MALES'!$D$2:$AE$41,28,FALSE())+VLOOKUP(D36,'Participation 11 MALES'!$D$2:$AD$42,27,FALSE()),"CHECK ID"))</f>
        <v>82</v>
      </c>
    </row>
  </sheetData>
  <autoFilter ref="A1:E36" xr:uid="{00000000-0009-0000-0000-00000E000000}"/>
  <conditionalFormatting sqref="B1:E1">
    <cfRule type="cellIs" dxfId="16" priority="2" operator="equal">
      <formula>"Present"</formula>
    </cfRule>
    <cfRule type="cellIs" dxfId="15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D7D31"/>
    <pageSetUpPr fitToPage="1"/>
  </sheetPr>
  <dimension ref="A1:H31"/>
  <sheetViews>
    <sheetView showGridLines="0" tabSelected="1"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6" sqref="I6"/>
    </sheetView>
  </sheetViews>
  <sheetFormatPr defaultColWidth="8.6328125" defaultRowHeight="15" customHeight="1" x14ac:dyDescent="0.35"/>
  <cols>
    <col min="1" max="1" width="8" customWidth="1"/>
    <col min="2" max="2" width="24" customWidth="1"/>
    <col min="3" max="4" width="16" customWidth="1"/>
    <col min="5" max="5" width="20" customWidth="1"/>
    <col min="6" max="8" width="16" customWidth="1"/>
  </cols>
  <sheetData>
    <row r="1" spans="1:5" ht="3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155</v>
      </c>
    </row>
    <row r="2" spans="1:5" ht="21" customHeight="1" x14ac:dyDescent="0.35">
      <c r="A2" s="6">
        <v>1</v>
      </c>
      <c r="B2" s="6" t="s">
        <v>643</v>
      </c>
      <c r="C2" s="6" t="s">
        <v>644</v>
      </c>
      <c r="D2" s="7" t="s">
        <v>645</v>
      </c>
      <c r="E2" s="9">
        <f>IF(OR(COUNTIF('Attendance 12 MALES'!$D$2:$D$34,D2)=0,COUNTIF('Participation 12 MALES'!$D$2:$D$34,D2)=0),"CHECK ID",IFERROR(VLOOKUP(D2,'Attendance 12 MALES'!$D$2:$AE$34,28,FALSE())+VLOOKUP(D2,'Participation 12 MALES'!$D$2:$AD$34,27,FALSE()),"CHECK ID"))</f>
        <v>131</v>
      </c>
    </row>
    <row r="3" spans="1:5" ht="21" customHeight="1" x14ac:dyDescent="0.35">
      <c r="A3" s="11">
        <v>2</v>
      </c>
      <c r="B3" s="11" t="s">
        <v>646</v>
      </c>
      <c r="C3" s="11" t="s">
        <v>647</v>
      </c>
      <c r="D3" s="12" t="s">
        <v>648</v>
      </c>
      <c r="E3" s="9">
        <f>IF(OR(COUNTIF('Attendance 12 MALES'!$D$2:$D$34,D3)=0,COUNTIF('Participation 12 MALES'!$D$2:$D$34,D3)=0),"CHECK ID",IFERROR(VLOOKUP(D3,'Attendance 12 MALES'!$D$2:$AE$34,28,FALSE())+VLOOKUP(D3,'Participation 12 MALES'!$D$2:$AD$34,27,FALSE()),"CHECK ID"))</f>
        <v>178</v>
      </c>
    </row>
    <row r="4" spans="1:5" ht="21" customHeight="1" x14ac:dyDescent="0.35">
      <c r="A4" s="6">
        <v>3</v>
      </c>
      <c r="B4" s="6" t="s">
        <v>649</v>
      </c>
      <c r="C4" s="6" t="s">
        <v>650</v>
      </c>
      <c r="D4" s="7" t="s">
        <v>651</v>
      </c>
      <c r="E4" s="9">
        <f>IF(OR(COUNTIF('Attendance 12 MALES'!$D$2:$D$34,D4)=0,COUNTIF('Participation 12 MALES'!$D$2:$D$34,D4)=0),"CHECK ID",IFERROR(VLOOKUP(D4,'Attendance 12 MALES'!$D$2:$AE$34,28,FALSE())+VLOOKUP(D4,'Participation 12 MALES'!$D$2:$AD$34,27,FALSE()),"CHECK ID"))</f>
        <v>100</v>
      </c>
    </row>
    <row r="5" spans="1:5" ht="21" customHeight="1" x14ac:dyDescent="0.35">
      <c r="A5" s="11">
        <v>4</v>
      </c>
      <c r="B5" s="11" t="s">
        <v>652</v>
      </c>
      <c r="C5" s="11" t="s">
        <v>653</v>
      </c>
      <c r="D5" s="12" t="s">
        <v>654</v>
      </c>
      <c r="E5" s="9">
        <f>IF(OR(COUNTIF('Attendance 12 MALES'!$D$2:$D$34,D5)=0,COUNTIF('Participation 12 MALES'!$D$2:$D$34,D5)=0),"CHECK ID",IFERROR(VLOOKUP(D5,'Attendance 12 MALES'!$D$2:$AE$34,28,FALSE())+VLOOKUP(D5,'Participation 12 MALES'!$D$2:$AD$34,27,FALSE()),"CHECK ID"))</f>
        <v>111</v>
      </c>
    </row>
    <row r="6" spans="1:5" ht="21" customHeight="1" x14ac:dyDescent="0.35">
      <c r="A6" s="6">
        <v>5</v>
      </c>
      <c r="B6" s="6" t="s">
        <v>655</v>
      </c>
      <c r="C6" s="6" t="s">
        <v>656</v>
      </c>
      <c r="D6" s="7" t="s">
        <v>657</v>
      </c>
      <c r="E6" s="9">
        <f>IF(OR(COUNTIF('Attendance 12 MALES'!$D$2:$D$34,D6)=0,COUNTIF('Participation 12 MALES'!$D$2:$D$34,D6)=0),"CHECK ID",IFERROR(VLOOKUP(D6,'Attendance 12 MALES'!$D$2:$AE$34,28,FALSE())+VLOOKUP(D6,'Participation 12 MALES'!$D$2:$AD$34,27,FALSE()),"CHECK ID"))</f>
        <v>142</v>
      </c>
    </row>
    <row r="7" spans="1:5" ht="21" customHeight="1" x14ac:dyDescent="0.35">
      <c r="A7" s="11">
        <v>6</v>
      </c>
      <c r="B7" s="11" t="s">
        <v>658</v>
      </c>
      <c r="C7" s="11" t="s">
        <v>659</v>
      </c>
      <c r="D7" s="12" t="s">
        <v>660</v>
      </c>
      <c r="E7" s="9">
        <f>IF(OR(COUNTIF('Attendance 12 MALES'!$D$2:$D$34,D7)=0,COUNTIF('Participation 12 MALES'!$D$2:$D$34,D7)=0),"CHECK ID",IFERROR(VLOOKUP(D7,'Attendance 12 MALES'!$D$2:$AE$34,28,FALSE())+VLOOKUP(D7,'Participation 12 MALES'!$D$2:$AD$34,27,FALSE()),"CHECK ID"))</f>
        <v>179</v>
      </c>
    </row>
    <row r="8" spans="1:5" ht="21" customHeight="1" x14ac:dyDescent="0.35">
      <c r="A8" s="6">
        <v>7</v>
      </c>
      <c r="B8" s="6" t="s">
        <v>661</v>
      </c>
      <c r="C8" s="6" t="s">
        <v>662</v>
      </c>
      <c r="D8" s="7" t="s">
        <v>663</v>
      </c>
      <c r="E8" s="9">
        <f>IF(OR(COUNTIF('Attendance 12 MALES'!$D$2:$D$34,D8)=0,COUNTIF('Participation 12 MALES'!$D$2:$D$34,D8)=0),"CHECK ID",IFERROR(VLOOKUP(D8,'Attendance 12 MALES'!$D$2:$AE$34,28,FALSE())+VLOOKUP(D8,'Participation 12 MALES'!$D$2:$AD$34,27,FALSE()),"CHECK ID"))</f>
        <v>193</v>
      </c>
    </row>
    <row r="9" spans="1:5" ht="21" customHeight="1" x14ac:dyDescent="0.35">
      <c r="A9" s="11">
        <v>8</v>
      </c>
      <c r="B9" s="11" t="s">
        <v>664</v>
      </c>
      <c r="C9" s="11" t="s">
        <v>665</v>
      </c>
      <c r="D9" s="12" t="s">
        <v>666</v>
      </c>
      <c r="E9" s="9">
        <f>IF(OR(COUNTIF('Attendance 12 MALES'!$D$2:$D$34,D9)=0,COUNTIF('Participation 12 MALES'!$D$2:$D$34,D9)=0),"CHECK ID",IFERROR(VLOOKUP(D9,'Attendance 12 MALES'!$D$2:$AE$34,28,FALSE())+VLOOKUP(D9,'Participation 12 MALES'!$D$2:$AD$34,27,FALSE()),"CHECK ID"))</f>
        <v>187</v>
      </c>
    </row>
    <row r="10" spans="1:5" ht="21" customHeight="1" x14ac:dyDescent="0.35">
      <c r="A10" s="6">
        <v>9</v>
      </c>
      <c r="B10" s="6" t="s">
        <v>667</v>
      </c>
      <c r="C10" s="6" t="s">
        <v>668</v>
      </c>
      <c r="D10" s="7" t="s">
        <v>669</v>
      </c>
      <c r="E10" s="9">
        <f>IF(OR(COUNTIF('Attendance 12 MALES'!$D$2:$D$34,D10)=0,COUNTIF('Participation 12 MALES'!$D$2:$D$34,D10)=0),"CHECK ID",IFERROR(VLOOKUP(D10,'Attendance 12 MALES'!$D$2:$AE$34,28,FALSE())+VLOOKUP(D10,'Participation 12 MALES'!$D$2:$AD$34,27,FALSE()),"CHECK ID"))</f>
        <v>133</v>
      </c>
    </row>
    <row r="11" spans="1:5" ht="21" customHeight="1" x14ac:dyDescent="0.35">
      <c r="A11" s="11">
        <v>10</v>
      </c>
      <c r="B11" s="11" t="s">
        <v>670</v>
      </c>
      <c r="C11" s="11" t="s">
        <v>671</v>
      </c>
      <c r="D11" s="12" t="s">
        <v>672</v>
      </c>
      <c r="E11" s="9">
        <f>IF(OR(COUNTIF('Attendance 12 MALES'!$D$2:$D$34,D11)=0,COUNTIF('Participation 12 MALES'!$D$2:$D$34,D11)=0),"CHECK ID",IFERROR(VLOOKUP(D11,'Attendance 12 MALES'!$D$2:$AE$34,28,FALSE())+VLOOKUP(D11,'Participation 12 MALES'!$D$2:$AD$34,27,FALSE()),"CHECK ID"))</f>
        <v>65</v>
      </c>
    </row>
    <row r="12" spans="1:5" ht="21" customHeight="1" x14ac:dyDescent="0.35">
      <c r="A12" s="6">
        <v>11</v>
      </c>
      <c r="B12" s="6" t="s">
        <v>673</v>
      </c>
      <c r="C12" s="6" t="s">
        <v>674</v>
      </c>
      <c r="D12" s="7" t="s">
        <v>675</v>
      </c>
      <c r="E12" s="9">
        <f>IF(OR(COUNTIF('Attendance 12 MALES'!$D$2:$D$34,D12)=0,COUNTIF('Participation 12 MALES'!$D$2:$D$34,D12)=0),"CHECK ID",IFERROR(VLOOKUP(D12,'Attendance 12 MALES'!$D$2:$AE$34,28,FALSE())+VLOOKUP(D12,'Participation 12 MALES'!$D$2:$AD$34,27,FALSE()),"CHECK ID"))</f>
        <v>137</v>
      </c>
    </row>
    <row r="13" spans="1:5" ht="21" customHeight="1" x14ac:dyDescent="0.35">
      <c r="A13" s="11">
        <v>12</v>
      </c>
      <c r="B13" s="11" t="s">
        <v>676</v>
      </c>
      <c r="C13" s="11" t="s">
        <v>677</v>
      </c>
      <c r="D13" s="12" t="s">
        <v>678</v>
      </c>
      <c r="E13" s="9">
        <f>IF(OR(COUNTIF('Attendance 12 MALES'!$D$2:$D$34,D13)=0,COUNTIF('Participation 12 MALES'!$D$2:$D$34,D13)=0),"CHECK ID",IFERROR(VLOOKUP(D13,'Attendance 12 MALES'!$D$2:$AE$34,28,FALSE())+VLOOKUP(D13,'Participation 12 MALES'!$D$2:$AD$34,27,FALSE()),"CHECK ID"))</f>
        <v>163</v>
      </c>
    </row>
    <row r="14" spans="1:5" ht="21" customHeight="1" x14ac:dyDescent="0.35">
      <c r="A14" s="6">
        <v>13</v>
      </c>
      <c r="B14" s="6" t="s">
        <v>679</v>
      </c>
      <c r="C14" s="6" t="s">
        <v>680</v>
      </c>
      <c r="D14" s="7" t="s">
        <v>681</v>
      </c>
      <c r="E14" s="9">
        <f>IF(OR(COUNTIF('Attendance 12 MALES'!$D$2:$D$34,D14)=0,COUNTIF('Participation 12 MALES'!$D$2:$D$34,D14)=0),"CHECK ID",IFERROR(VLOOKUP(D14,'Attendance 12 MALES'!$D$2:$AE$34,28,FALSE())+VLOOKUP(D14,'Participation 12 MALES'!$D$2:$AD$34,27,FALSE()),"CHECK ID"))</f>
        <v>175</v>
      </c>
    </row>
    <row r="15" spans="1:5" ht="21" customHeight="1" x14ac:dyDescent="0.35">
      <c r="A15" s="11">
        <v>14</v>
      </c>
      <c r="B15" s="11" t="s">
        <v>682</v>
      </c>
      <c r="C15" s="11" t="s">
        <v>683</v>
      </c>
      <c r="D15" s="12" t="s">
        <v>684</v>
      </c>
      <c r="E15" s="9">
        <f>IF(OR(COUNTIF('Attendance 12 MALES'!$D$2:$D$34,D15)=0,COUNTIF('Participation 12 MALES'!$D$2:$D$34,D15)=0),"CHECK ID",IFERROR(VLOOKUP(D15,'Attendance 12 MALES'!$D$2:$AE$34,28,FALSE())+VLOOKUP(D15,'Participation 12 MALES'!$D$2:$AD$34,27,FALSE()),"CHECK ID"))</f>
        <v>163</v>
      </c>
    </row>
    <row r="16" spans="1:5" ht="21" customHeight="1" x14ac:dyDescent="0.35">
      <c r="A16" s="6">
        <v>15</v>
      </c>
      <c r="B16" s="6" t="s">
        <v>685</v>
      </c>
      <c r="C16" s="6" t="s">
        <v>686</v>
      </c>
      <c r="D16" s="7" t="s">
        <v>687</v>
      </c>
      <c r="E16" s="9">
        <f>IF(OR(COUNTIF('Attendance 12 MALES'!$D$2:$D$34,D16)=0,COUNTIF('Participation 12 MALES'!$D$2:$D$34,D16)=0),"CHECK ID",IFERROR(VLOOKUP(D16,'Attendance 12 MALES'!$D$2:$AE$34,28,FALSE())+VLOOKUP(D16,'Participation 12 MALES'!$D$2:$AD$34,27,FALSE()),"CHECK ID"))</f>
        <v>187</v>
      </c>
    </row>
    <row r="17" spans="1:8" ht="21" customHeight="1" x14ac:dyDescent="0.35">
      <c r="A17" s="11">
        <v>16</v>
      </c>
      <c r="B17" s="11" t="s">
        <v>688</v>
      </c>
      <c r="C17" s="11" t="s">
        <v>689</v>
      </c>
      <c r="D17" s="12" t="s">
        <v>690</v>
      </c>
      <c r="E17" s="9">
        <f>IF(OR(COUNTIF('Attendance 12 MALES'!$D$2:$D$34,D17)=0,COUNTIF('Participation 12 MALES'!$D$2:$D$34,D17)=0),"CHECK ID",IFERROR(VLOOKUP(D17,'Attendance 12 MALES'!$D$2:$AE$34,28,FALSE())+VLOOKUP(D17,'Participation 12 MALES'!$D$2:$AD$34,27,FALSE()),"CHECK ID"))</f>
        <v>122</v>
      </c>
    </row>
    <row r="18" spans="1:8" ht="21" customHeight="1" x14ac:dyDescent="0.35">
      <c r="A18" s="6">
        <v>17</v>
      </c>
      <c r="B18" s="6" t="s">
        <v>691</v>
      </c>
      <c r="C18" s="6" t="s">
        <v>692</v>
      </c>
      <c r="D18" s="7" t="s">
        <v>693</v>
      </c>
      <c r="E18" s="9">
        <f>IF(OR(COUNTIF('Attendance 12 MALES'!$D$2:$D$34,D18)=0,COUNTIF('Participation 12 MALES'!$D$2:$D$34,D18)=0),"CHECK ID",IFERROR(VLOOKUP(D18,'Attendance 12 MALES'!$D$2:$AE$34,28,FALSE())+VLOOKUP(D18,'Participation 12 MALES'!$D$2:$AD$34,27,FALSE()),"CHECK ID"))</f>
        <v>196</v>
      </c>
      <c r="H18" s="8" t="s">
        <v>751</v>
      </c>
    </row>
    <row r="19" spans="1:8" ht="21" customHeight="1" x14ac:dyDescent="0.35">
      <c r="A19" s="11">
        <v>18</v>
      </c>
      <c r="B19" s="11" t="s">
        <v>694</v>
      </c>
      <c r="C19" s="11" t="s">
        <v>695</v>
      </c>
      <c r="D19" s="12" t="s">
        <v>696</v>
      </c>
      <c r="E19" s="9">
        <f>IF(OR(COUNTIF('Attendance 12 MALES'!$D$2:$D$34,D19)=0,COUNTIF('Participation 12 MALES'!$D$2:$D$34,D19)=0),"CHECK ID",IFERROR(VLOOKUP(D19,'Attendance 12 MALES'!$D$2:$AE$34,28,FALSE())+VLOOKUP(D19,'Participation 12 MALES'!$D$2:$AD$34,27,FALSE()),"CHECK ID"))</f>
        <v>167</v>
      </c>
    </row>
    <row r="20" spans="1:8" ht="21" customHeight="1" x14ac:dyDescent="0.35">
      <c r="A20" s="6">
        <v>19</v>
      </c>
      <c r="B20" s="6" t="s">
        <v>697</v>
      </c>
      <c r="C20" s="6" t="s">
        <v>698</v>
      </c>
      <c r="D20" s="7" t="s">
        <v>699</v>
      </c>
      <c r="E20" s="9">
        <f>IF(OR(COUNTIF('Attendance 12 MALES'!$D$2:$D$34,D20)=0,COUNTIF('Participation 12 MALES'!$D$2:$D$34,D20)=0),"CHECK ID",IFERROR(VLOOKUP(D20,'Attendance 12 MALES'!$D$2:$AE$34,28,FALSE())+VLOOKUP(D20,'Participation 12 MALES'!$D$2:$AD$34,27,FALSE()),"CHECK ID"))</f>
        <v>178</v>
      </c>
    </row>
    <row r="21" spans="1:8" ht="21" customHeight="1" x14ac:dyDescent="0.35">
      <c r="A21" s="11">
        <v>20</v>
      </c>
      <c r="B21" s="11" t="s">
        <v>700</v>
      </c>
      <c r="C21" s="11" t="s">
        <v>701</v>
      </c>
      <c r="D21" s="12" t="s">
        <v>702</v>
      </c>
      <c r="E21" s="9">
        <f>IF(OR(COUNTIF('Attendance 12 MALES'!$D$2:$D$34,D21)=0,COUNTIF('Participation 12 MALES'!$D$2:$D$34,D21)=0),"CHECK ID",IFERROR(VLOOKUP(D21,'Attendance 12 MALES'!$D$2:$AE$34,28,FALSE())+VLOOKUP(D21,'Participation 12 MALES'!$D$2:$AD$34,27,FALSE()),"CHECK ID"))</f>
        <v>156</v>
      </c>
    </row>
    <row r="22" spans="1:8" ht="21" customHeight="1" x14ac:dyDescent="0.35">
      <c r="A22" s="6">
        <v>21</v>
      </c>
      <c r="B22" s="6" t="s">
        <v>703</v>
      </c>
      <c r="C22" s="6" t="s">
        <v>704</v>
      </c>
      <c r="D22" s="7" t="s">
        <v>705</v>
      </c>
      <c r="E22" s="9">
        <f>IF(OR(COUNTIF('Attendance 12 MALES'!$D$2:$D$34,D22)=0,COUNTIF('Participation 12 MALES'!$D$2:$D$34,D22)=0),"CHECK ID",IFERROR(VLOOKUP(D22,'Attendance 12 MALES'!$D$2:$AE$34,28,FALSE())+VLOOKUP(D22,'Participation 12 MALES'!$D$2:$AD$34,27,FALSE()),"CHECK ID"))</f>
        <v>135</v>
      </c>
    </row>
    <row r="23" spans="1:8" ht="21" customHeight="1" x14ac:dyDescent="0.35">
      <c r="A23" s="11">
        <v>22</v>
      </c>
      <c r="B23" s="11" t="s">
        <v>706</v>
      </c>
      <c r="C23" s="11" t="s">
        <v>707</v>
      </c>
      <c r="D23" s="12" t="s">
        <v>708</v>
      </c>
      <c r="E23" s="9">
        <f>IF(OR(COUNTIF('Attendance 12 MALES'!$D$2:$D$34,D23)=0,COUNTIF('Participation 12 MALES'!$D$2:$D$34,D23)=0),"CHECK ID",IFERROR(VLOOKUP(D23,'Attendance 12 MALES'!$D$2:$AE$34,28,FALSE())+VLOOKUP(D23,'Participation 12 MALES'!$D$2:$AD$34,27,FALSE()),"CHECK ID"))</f>
        <v>162</v>
      </c>
    </row>
    <row r="24" spans="1:8" ht="21" customHeight="1" x14ac:dyDescent="0.35">
      <c r="A24" s="6">
        <v>23</v>
      </c>
      <c r="B24" s="6" t="s">
        <v>709</v>
      </c>
      <c r="C24" s="6" t="s">
        <v>710</v>
      </c>
      <c r="D24" s="7" t="s">
        <v>711</v>
      </c>
      <c r="E24" s="9">
        <f>IF(OR(COUNTIF('Attendance 12 MALES'!$D$2:$D$34,D24)=0,COUNTIF('Participation 12 MALES'!$D$2:$D$34,D24)=0),"CHECK ID",IFERROR(VLOOKUP(D24,'Attendance 12 MALES'!$D$2:$AE$34,28,FALSE())+VLOOKUP(D24,'Participation 12 MALES'!$D$2:$AD$34,27,FALSE()),"CHECK ID"))</f>
        <v>207</v>
      </c>
    </row>
    <row r="25" spans="1:8" ht="21" customHeight="1" x14ac:dyDescent="0.35">
      <c r="A25" s="11">
        <v>24</v>
      </c>
      <c r="B25" s="11" t="s">
        <v>712</v>
      </c>
      <c r="C25" s="11" t="s">
        <v>713</v>
      </c>
      <c r="D25" s="12" t="s">
        <v>714</v>
      </c>
      <c r="E25" s="9">
        <f>IF(OR(COUNTIF('Attendance 12 MALES'!$D$2:$D$34,D25)=0,COUNTIF('Participation 12 MALES'!$D$2:$D$34,D25)=0),"CHECK ID",IFERROR(VLOOKUP(D25,'Attendance 12 MALES'!$D$2:$AE$34,28,FALSE())+VLOOKUP(D25,'Participation 12 MALES'!$D$2:$AD$34,27,FALSE()),"CHECK ID"))</f>
        <v>227</v>
      </c>
    </row>
    <row r="26" spans="1:8" ht="21" customHeight="1" x14ac:dyDescent="0.35">
      <c r="A26" s="6">
        <v>25</v>
      </c>
      <c r="B26" s="6" t="s">
        <v>715</v>
      </c>
      <c r="C26" s="6" t="s">
        <v>716</v>
      </c>
      <c r="D26" s="7" t="s">
        <v>717</v>
      </c>
      <c r="E26" s="9">
        <f>IF(OR(COUNTIF('Attendance 12 MALES'!$D$2:$D$34,D26)=0,COUNTIF('Participation 12 MALES'!$D$2:$D$34,D26)=0),"CHECK ID",IFERROR(VLOOKUP(D26,'Attendance 12 MALES'!$D$2:$AE$34,28,FALSE())+VLOOKUP(D26,'Participation 12 MALES'!$D$2:$AD$34,27,FALSE()),"CHECK ID"))</f>
        <v>112</v>
      </c>
    </row>
    <row r="27" spans="1:8" ht="21" customHeight="1" x14ac:dyDescent="0.35">
      <c r="A27" s="11">
        <v>26</v>
      </c>
      <c r="B27" s="11" t="s">
        <v>718</v>
      </c>
      <c r="C27" s="11" t="s">
        <v>719</v>
      </c>
      <c r="D27" s="12" t="s">
        <v>720</v>
      </c>
      <c r="E27" s="9">
        <f>IF(OR(COUNTIF('Attendance 12 MALES'!$D$2:$D$34,D27)=0,COUNTIF('Participation 12 MALES'!$D$2:$D$34,D27)=0),"CHECK ID",IFERROR(VLOOKUP(D27,'Attendance 12 MALES'!$D$2:$AE$34,28,FALSE())+VLOOKUP(D27,'Participation 12 MALES'!$D$2:$AD$34,27,FALSE()),"CHECK ID"))</f>
        <v>112</v>
      </c>
    </row>
    <row r="28" spans="1:8" ht="21" customHeight="1" x14ac:dyDescent="0.35">
      <c r="A28" s="6">
        <v>27</v>
      </c>
      <c r="B28" s="6" t="s">
        <v>721</v>
      </c>
      <c r="C28" s="6" t="s">
        <v>722</v>
      </c>
      <c r="D28" s="7" t="s">
        <v>723</v>
      </c>
      <c r="E28" s="9">
        <f>IF(OR(COUNTIF('Attendance 12 MALES'!$D$2:$D$34,D28)=0,COUNTIF('Participation 12 MALES'!$D$2:$D$34,D28)=0),"CHECK ID",IFERROR(VLOOKUP(D28,'Attendance 12 MALES'!$D$2:$AE$34,28,FALSE())+VLOOKUP(D28,'Participation 12 MALES'!$D$2:$AD$34,27,FALSE()),"CHECK ID"))</f>
        <v>215</v>
      </c>
    </row>
    <row r="29" spans="1:8" ht="21" customHeight="1" x14ac:dyDescent="0.35">
      <c r="A29" s="11">
        <v>28</v>
      </c>
      <c r="B29" s="11" t="s">
        <v>724</v>
      </c>
      <c r="C29" s="11" t="s">
        <v>725</v>
      </c>
      <c r="D29" s="12" t="s">
        <v>726</v>
      </c>
      <c r="E29" s="9">
        <f>IF(OR(COUNTIF('Attendance 12 MALES'!$D$2:$D$34,D29)=0,COUNTIF('Participation 12 MALES'!$D$2:$D$34,D29)=0),"CHECK ID",IFERROR(VLOOKUP(D29,'Attendance 12 MALES'!$D$2:$AE$34,28,FALSE())+VLOOKUP(D29,'Participation 12 MALES'!$D$2:$AD$34,27,FALSE()),"CHECK ID"))</f>
        <v>166</v>
      </c>
    </row>
    <row r="30" spans="1:8" ht="21" customHeight="1" x14ac:dyDescent="0.35">
      <c r="A30" s="6">
        <v>29</v>
      </c>
      <c r="B30" s="6" t="s">
        <v>727</v>
      </c>
      <c r="C30" s="6" t="s">
        <v>728</v>
      </c>
      <c r="D30" s="7" t="s">
        <v>729</v>
      </c>
      <c r="E30" s="9">
        <f>IF(OR(COUNTIF('Attendance 12 MALES'!$D$2:$D$34,D30)=0,COUNTIF('Participation 12 MALES'!$D$2:$D$34,D30)=0),"CHECK ID",IFERROR(VLOOKUP(D30,'Attendance 12 MALES'!$D$2:$AE$34,28,FALSE())+VLOOKUP(D30,'Participation 12 MALES'!$D$2:$AD$34,27,FALSE()),"CHECK ID"))</f>
        <v>88</v>
      </c>
    </row>
    <row r="31" spans="1:8" ht="21" customHeight="1" x14ac:dyDescent="0.35">
      <c r="A31" s="11">
        <v>30</v>
      </c>
      <c r="B31" s="11" t="s">
        <v>730</v>
      </c>
      <c r="C31" s="11" t="s">
        <v>731</v>
      </c>
      <c r="D31" s="12" t="s">
        <v>732</v>
      </c>
      <c r="E31" s="9">
        <f>IF(OR(COUNTIF('Attendance 12 MALES'!$D$2:$D$34,D31)=0,COUNTIF('Participation 12 MALES'!$D$2:$D$34,D31)=0),"CHECK ID",IFERROR(VLOOKUP(D31,'Attendance 12 MALES'!$D$2:$AE$34,28,FALSE())+VLOOKUP(D31,'Participation 12 MALES'!$D$2:$AD$34,27,FALSE()),"CHECK ID"))</f>
        <v>91</v>
      </c>
    </row>
  </sheetData>
  <autoFilter ref="A1:H31" xr:uid="{00000000-0009-0000-0000-000011000000}"/>
  <conditionalFormatting sqref="B1:E1">
    <cfRule type="cellIs" dxfId="1" priority="2" operator="equal">
      <formula>"Present"</formula>
    </cfRule>
    <cfRule type="cellIs" dxfId="0" priority="3" operator="equal">
      <formula>"Absent"</formula>
    </cfRule>
  </conditionalFormatting>
  <pageMargins left="0.25" right="0.25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Attendance 10 FEMALES</vt:lpstr>
      <vt:lpstr>Attendance 11 FEMALES</vt:lpstr>
      <vt:lpstr>Attendance 12 FEMALES</vt:lpstr>
      <vt:lpstr>Attendance 10 MALES</vt:lpstr>
      <vt:lpstr>Attendance 11 MALES</vt:lpstr>
      <vt:lpstr>Attendance 12 MALES</vt:lpstr>
      <vt:lpstr>Participation 10 FEMALES</vt:lpstr>
      <vt:lpstr>Participation 11 FEMALES</vt:lpstr>
      <vt:lpstr>Participation 12 FEMALES</vt:lpstr>
      <vt:lpstr>General Information 10 FEMALE</vt:lpstr>
      <vt:lpstr>General Information 11 FEMALE</vt:lpstr>
      <vt:lpstr>General Information 12 FEMALE</vt:lpstr>
      <vt:lpstr>Participation 10 MALES</vt:lpstr>
      <vt:lpstr>Participation 11 MALES</vt:lpstr>
      <vt:lpstr>Participation 12 MALES</vt:lpstr>
      <vt:lpstr>General Information 10 MALES</vt:lpstr>
      <vt:lpstr>General Information 11 MALES</vt:lpstr>
      <vt:lpstr>General Information 12 MALES</vt:lpstr>
      <vt:lpstr>'Attendance 10 FEMALES'!Print_Titles</vt:lpstr>
      <vt:lpstr>'Attendance 10 MALES'!Print_Titles</vt:lpstr>
      <vt:lpstr>'Attendance 11 FEMALES'!Print_Titles</vt:lpstr>
      <vt:lpstr>'Attendance 11 MALES'!Print_Titles</vt:lpstr>
      <vt:lpstr>'Attendance 12 FEMALES'!Print_Titles</vt:lpstr>
      <vt:lpstr>'Attendance 12 MALES'!Print_Titles</vt:lpstr>
      <vt:lpstr>'General Information 10 FEMALE'!Print_Titles</vt:lpstr>
      <vt:lpstr>'General Information 10 MALES'!Print_Titles</vt:lpstr>
      <vt:lpstr>'General Information 11 FEMALE'!Print_Titles</vt:lpstr>
      <vt:lpstr>'General Information 11 MALES'!Print_Titles</vt:lpstr>
      <vt:lpstr>'General Information 12 FEMALE'!Print_Titles</vt:lpstr>
      <vt:lpstr>'General Information 12 MALES'!Print_Titles</vt:lpstr>
      <vt:lpstr>'Participation 10 FEMALES'!Print_Titles</vt:lpstr>
      <vt:lpstr>'Participation 10 MALES'!Print_Titles</vt:lpstr>
      <vt:lpstr>'Participation 11 FEMALES'!Print_Titles</vt:lpstr>
      <vt:lpstr>'Participation 11 MALES'!Print_Titles</vt:lpstr>
      <vt:lpstr>'Participation 12 FEMALES'!Print_Titles</vt:lpstr>
      <vt:lpstr>'Participation 12 MALES'!Print_Titles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Aljashi, Basma A</dc:creator>
  <cp:lastModifiedBy>Basma Aljashi</cp:lastModifiedBy>
  <cp:revision>0</cp:revision>
  <dcterms:created xsi:type="dcterms:W3CDTF">2025-10-16T07:39:58Z</dcterms:created>
  <dcterms:modified xsi:type="dcterms:W3CDTF">2026-10-20T17:25:48Z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76ec7a-5c1c-40d8-b713-034aac8a6cec_ActionId">
    <vt:lpwstr>143b0121-6e02-49d0-84d7-40c09b405c34</vt:lpwstr>
  </property>
  <property fmtid="{D5CDD505-2E9C-101B-9397-08002B2CF9AE}" pid="3" name="MSIP_Label_b176ec7a-5c1c-40d8-b713-034aac8a6cec_Application">
    <vt:lpwstr>Microsoft Azure Information Protection</vt:lpwstr>
  </property>
  <property fmtid="{D5CDD505-2E9C-101B-9397-08002B2CF9AE}" pid="4" name="MSIP_Label_b176ec7a-5c1c-40d8-b713-034aac8a6cec_Enabled">
    <vt:lpwstr>True</vt:lpwstr>
  </property>
  <property fmtid="{D5CDD505-2E9C-101B-9397-08002B2CF9AE}" pid="5" name="MSIP_Label_b176ec7a-5c1c-40d8-b713-034aac8a6cec_Extended_MSFT_Method">
    <vt:lpwstr>Automatic</vt:lpwstr>
  </property>
  <property fmtid="{D5CDD505-2E9C-101B-9397-08002B2CF9AE}" pid="6" name="MSIP_Label_b176ec7a-5c1c-40d8-b713-034aac8a6cec_Name">
    <vt:lpwstr>Company General Use</vt:lpwstr>
  </property>
  <property fmtid="{D5CDD505-2E9C-101B-9397-08002B2CF9AE}" pid="7" name="MSIP_Label_b176ec7a-5c1c-40d8-b713-034aac8a6cec_Owner">
    <vt:lpwstr>ALJASHBA@aramco.com</vt:lpwstr>
  </property>
  <property fmtid="{D5CDD505-2E9C-101B-9397-08002B2CF9AE}" pid="8" name="MSIP_Label_b176ec7a-5c1c-40d8-b713-034aac8a6cec_SetDate">
    <vt:lpwstr>2025-10-16T07:40:10.0888311Z</vt:lpwstr>
  </property>
  <property fmtid="{D5CDD505-2E9C-101B-9397-08002B2CF9AE}" pid="9" name="MSIP_Label_b176ec7a-5c1c-40d8-b713-034aac8a6cec_SiteId">
    <vt:lpwstr>5a1e0c10-68b1-4667-974b-f394ba989c51</vt:lpwstr>
  </property>
  <property fmtid="{D5CDD505-2E9C-101B-9397-08002B2CF9AE}" pid="10" name="Sensitivity">
    <vt:lpwstr>Company General Use</vt:lpwstr>
  </property>
</Properties>
</file>