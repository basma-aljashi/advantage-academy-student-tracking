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3"/>
  </bookViews>
  <sheets>
    <sheet name="Attendance 10 FEMALES" sheetId="1" state="visible" r:id="rId3"/>
    <sheet name="Attendance 11 FEMALES" sheetId="2" state="visible" r:id="rId4"/>
    <sheet name="Attendance 12 FEMALES" sheetId="3" state="visible" r:id="rId5"/>
    <sheet name="Attendance 10 MALES" sheetId="4" state="visible" r:id="rId6"/>
    <sheet name="Attendance 11 MALES" sheetId="5" state="visible" r:id="rId7"/>
    <sheet name="Attendance 12 MALES" sheetId="6" state="visible" r:id="rId8"/>
    <sheet name="Participation 10 FEMALES" sheetId="7" state="visible" r:id="rId9"/>
    <sheet name="Participation 11 FEMALES" sheetId="8" state="visible" r:id="rId10"/>
    <sheet name="Participation 12 FEMALES" sheetId="9" state="visible" r:id="rId11"/>
    <sheet name="Participation 10 MALES" sheetId="10" state="visible" r:id="rId12"/>
    <sheet name="Participation 11 MALES" sheetId="11" state="visible" r:id="rId13"/>
    <sheet name="Participation 12 MALES" sheetId="12" state="visible" r:id="rId14"/>
    <sheet name="General Information 10 FEMALE" sheetId="13" state="visible" r:id="rId15"/>
    <sheet name="General Information 11 FEMALE" sheetId="14" state="visible" r:id="rId16"/>
    <sheet name="General Information 12 FEMALE" sheetId="15" state="visible" r:id="rId17"/>
    <sheet name="General Information 10 MALES" sheetId="16" state="visible" r:id="rId18"/>
    <sheet name="General Information 11 MALES" sheetId="17" state="visible" r:id="rId19"/>
    <sheet name="General Information 12 MALES" sheetId="18" state="visible" r:id="rId20"/>
  </sheets>
  <definedNames>
    <definedName function="false" hidden="false" localSheetId="0" name="_xlnm.Print_Titles" vbProcedure="false">'Attendance 10 FEMALES'!$1:$1</definedName>
    <definedName function="false" hidden="true" localSheetId="0" name="_xlnm._FilterDatabase" vbProcedure="false">'Attendance 10 FEMALES'!$A$1:$AE$46</definedName>
    <definedName function="false" hidden="false" localSheetId="3" name="_xlnm.Print_Titles" vbProcedure="false">'Attendance 10 MALES'!$1:$1</definedName>
    <definedName function="false" hidden="true" localSheetId="3" name="_xlnm._FilterDatabase" vbProcedure="false">'Attendance 10 MALES'!$A$1:$AE$38</definedName>
    <definedName function="false" hidden="false" localSheetId="1" name="_xlnm.Print_Titles" vbProcedure="false">'Attendance 11 FEMALES'!$1:$1</definedName>
    <definedName function="false" hidden="true" localSheetId="1" name="_xlnm._FilterDatabase" vbProcedure="false">'Attendance 11 FEMALES'!$A$1:$AE$42</definedName>
    <definedName function="false" hidden="false" localSheetId="4" name="_xlnm.Print_Titles" vbProcedure="false">'Attendance 11 MALES'!$1:$1</definedName>
    <definedName function="false" hidden="true" localSheetId="4" name="_xlnm._FilterDatabase" vbProcedure="false">'Attendance 11 MALES'!$A$1:$AE$42</definedName>
    <definedName function="false" hidden="false" localSheetId="2" name="_xlnm.Print_Titles" vbProcedure="false">'Attendance 12 FEMALES'!$1:$1</definedName>
    <definedName function="false" hidden="true" localSheetId="2" name="_xlnm._FilterDatabase" vbProcedure="false">'Attendance 12 FEMALES'!$A$1:$AE$37</definedName>
    <definedName function="false" hidden="false" localSheetId="5" name="_xlnm.Print_Titles" vbProcedure="false">'Attendance 12 MALES'!$1:$1</definedName>
    <definedName function="false" hidden="true" localSheetId="5" name="_xlnm._FilterDatabase" vbProcedure="false">'Attendance 12 MALES'!$A$1:$AE$34</definedName>
    <definedName function="false" hidden="false" localSheetId="12" name="_xlnm.Print_Titles" vbProcedure="false">'General Information 10 FEMALE'!$1:$1</definedName>
    <definedName function="false" hidden="true" localSheetId="12" name="_xlnm._FilterDatabase" vbProcedure="false">'General Information 10 FEMALE'!$A$1:$E$36</definedName>
    <definedName function="false" hidden="false" localSheetId="15" name="_xlnm.Print_Titles" vbProcedure="false">'General Information 10 MALES'!$1:$1</definedName>
    <definedName function="false" hidden="true" localSheetId="15" name="_xlnm._FilterDatabase" vbProcedure="false">'General Information 10 MALES'!$A$1:$E$36</definedName>
    <definedName function="false" hidden="false" localSheetId="13" name="_xlnm.Print_Titles" vbProcedure="false">'General Information 11 FEMALE'!$1:$1</definedName>
    <definedName function="false" hidden="true" localSheetId="13" name="_xlnm._FilterDatabase" vbProcedure="false">'General Information 11 FEMALE'!$A$1:$E$40</definedName>
    <definedName function="false" hidden="false" localSheetId="16" name="_xlnm.Print_Titles" vbProcedure="false">'General Information 11 MALES'!$1:$1</definedName>
    <definedName function="false" hidden="true" localSheetId="16" name="_xlnm._FilterDatabase" vbProcedure="false">'General Information 11 MALES'!$A$1:$E$36</definedName>
    <definedName function="false" hidden="false" localSheetId="14" name="_xlnm.Print_Titles" vbProcedure="false">'General Information 12 FEMALE'!$1:$1</definedName>
    <definedName function="false" hidden="true" localSheetId="14" name="_xlnm._FilterDatabase" vbProcedure="false">'General Information 12 FEMALE'!$A$1:$E$34</definedName>
    <definedName function="false" hidden="false" localSheetId="17" name="_xlnm.Print_Titles" vbProcedure="false">'General Information 12 MALES'!$1:$1</definedName>
    <definedName function="false" hidden="true" localSheetId="17" name="_xlnm._FilterDatabase" vbProcedure="false">'General Information 12 MALES'!$A$1:$E$31</definedName>
    <definedName function="false" hidden="false" localSheetId="6" name="_xlnm.Print_Titles" vbProcedure="false">'Participation 10 FEMALES'!$1:$1</definedName>
    <definedName function="false" hidden="true" localSheetId="6" name="_xlnm._FilterDatabase" vbProcedure="false">'Participation 10 FEMALES'!$A$1:$AD$37</definedName>
    <definedName function="false" hidden="false" localSheetId="9" name="_xlnm.Print_Titles" vbProcedure="false">'Participation 10 MALES'!$1:$1</definedName>
    <definedName function="false" hidden="true" localSheetId="9" name="_xlnm._FilterDatabase" vbProcedure="false">'Participation 10 MALES'!$A$1:$AD$39</definedName>
    <definedName function="false" hidden="false" localSheetId="7" name="_xlnm.Print_Titles" vbProcedure="false">'Participation 11 FEMALES'!$1:$1</definedName>
    <definedName function="false" hidden="true" localSheetId="7" name="_xlnm._FilterDatabase" vbProcedure="false">'Participation 11 FEMALES'!$A$1:$AD$42</definedName>
    <definedName function="false" hidden="false" localSheetId="10" name="_xlnm.Print_Titles" vbProcedure="false">'Participation 11 MALES'!$1:$1</definedName>
    <definedName function="false" hidden="true" localSheetId="10" name="_xlnm._FilterDatabase" vbProcedure="false">'Participation 11 MALES'!$A$1:$AD$43</definedName>
    <definedName function="false" hidden="false" localSheetId="8" name="_xlnm.Print_Titles" vbProcedure="false">'Participation 12 FEMALES'!$1:$1</definedName>
    <definedName function="false" hidden="true" localSheetId="8" name="_xlnm._FilterDatabase" vbProcedure="false">'Participation 12 FEMALES'!$A$1:$AD$38</definedName>
    <definedName function="false" hidden="false" localSheetId="11" name="_xlnm.Print_Titles" vbProcedure="false">'Participation 12 MALES'!$1:$1</definedName>
    <definedName function="false" hidden="true" localSheetId="11" name="_xlnm._FilterDatabase" vbProcedure="false">'Participation 12 MALES'!$A$1:$AD$37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<sst xmlns="http://schemas.openxmlformats.org/spreadsheetml/2006/main" count="7785" uniqueCount="752">
  <si>
    <t xml:space="preserve">SN</t>
  </si>
  <si>
    <t xml:space="preserve">Name (English)</t>
  </si>
  <si>
    <t xml:space="preserve">Name (Arabic)</t>
  </si>
  <si>
    <t xml:space="preserve">Academic ID</t>
  </si>
  <si>
    <t xml:space="preserve">Total Absent</t>
  </si>
  <si>
    <t xml:space="preserve">Total Attendence</t>
  </si>
  <si>
    <t xml:space="preserve">Total Points</t>
  </si>
  <si>
    <t xml:space="preserve">Maryam Nasser Khalid Yousef</t>
  </si>
  <si>
    <t xml:space="preserve">مريم ناصر خالد يوسف</t>
  </si>
  <si>
    <t xml:space="preserve">331072239</t>
  </si>
  <si>
    <t xml:space="preserve">Present</t>
  </si>
  <si>
    <t xml:space="preserve">Absent</t>
  </si>
  <si>
    <t xml:space="preserve">Amal Fahad Majed Marwan</t>
  </si>
  <si>
    <t xml:space="preserve">أمل فهد ماجد مروان</t>
  </si>
  <si>
    <t xml:space="preserve">368255186</t>
  </si>
  <si>
    <t xml:space="preserve">Aljoharah Hussam Sultan Waleed</t>
  </si>
  <si>
    <t xml:space="preserve">الجوهرة حسام سلطان وليد</t>
  </si>
  <si>
    <t xml:space="preserve">405438133</t>
  </si>
  <si>
    <t xml:space="preserve">Leen Ahmed Hussein Nawaf</t>
  </si>
  <si>
    <t xml:space="preserve">لين أحمد حسين نواف</t>
  </si>
  <si>
    <t xml:space="preserve">442621080</t>
  </si>
  <si>
    <t xml:space="preserve">Ghina Omar Rayan Yazeed</t>
  </si>
  <si>
    <t xml:space="preserve">غنى عمر ريان يزيد</t>
  </si>
  <si>
    <t xml:space="preserve">479804027</t>
  </si>
  <si>
    <t xml:space="preserve">Hatoon Saif Mansour Ibrahim</t>
  </si>
  <si>
    <t xml:space="preserve">هتون سيف منصور إبراهيم</t>
  </si>
  <si>
    <t xml:space="preserve">516986974</t>
  </si>
  <si>
    <t xml:space="preserve">Wafa Abdullah Iyad Bassam</t>
  </si>
  <si>
    <t xml:space="preserve">وفاء عبدالله إياد بسام</t>
  </si>
  <si>
    <t xml:space="preserve">554169921</t>
  </si>
  <si>
    <t xml:space="preserve">Amani Saad Nayef Hamad</t>
  </si>
  <si>
    <t xml:space="preserve">أماني سعد نايف حمد</t>
  </si>
  <si>
    <t xml:space="preserve">591352868</t>
  </si>
  <si>
    <t xml:space="preserve">Excused absence</t>
  </si>
  <si>
    <t xml:space="preserve">Moudi Hamed Hamad Tamim</t>
  </si>
  <si>
    <t xml:space="preserve">موضي حامد حمد تميم</t>
  </si>
  <si>
    <t xml:space="preserve">628535815</t>
  </si>
  <si>
    <t xml:space="preserve">Layan Ziyad Adnan Omar</t>
  </si>
  <si>
    <t xml:space="preserve">ليان زياد عدنان عمر</t>
  </si>
  <si>
    <t xml:space="preserve">665718762</t>
  </si>
  <si>
    <t xml:space="preserve">Rawan Rayan Rakan Fawaz</t>
  </si>
  <si>
    <t xml:space="preserve">روان ريان راكان فواز</t>
  </si>
  <si>
    <t xml:space="preserve">702901709</t>
  </si>
  <si>
    <t xml:space="preserve">Sarah Faisal Mohannad Yousef</t>
  </si>
  <si>
    <t xml:space="preserve">سارة فيصل مهند يوسف</t>
  </si>
  <si>
    <t xml:space="preserve">740084656</t>
  </si>
  <si>
    <t xml:space="preserve">Lina Yasser Iyad Fahad</t>
  </si>
  <si>
    <t xml:space="preserve">لينا ياسر إياد فهد</t>
  </si>
  <si>
    <t xml:space="preserve">777267603</t>
  </si>
  <si>
    <t xml:space="preserve">Layan Waleed Saif Saud</t>
  </si>
  <si>
    <t xml:space="preserve">ليان وليد سيف سعود</t>
  </si>
  <si>
    <t xml:space="preserve">814450550</t>
  </si>
  <si>
    <t xml:space="preserve">Lama Faisal Sultan Abdulrahman</t>
  </si>
  <si>
    <t xml:space="preserve">لمى فيصل سلطان عبدالرحمن</t>
  </si>
  <si>
    <t xml:space="preserve">851633497</t>
  </si>
  <si>
    <t xml:space="preserve">Isra Abdulmalik Turki Hassan</t>
  </si>
  <si>
    <t xml:space="preserve">إسراء عبدالملك تركي حسن</t>
  </si>
  <si>
    <t xml:space="preserve">888816444</t>
  </si>
  <si>
    <t xml:space="preserve">Reem Bassam Ziyad Iyad</t>
  </si>
  <si>
    <t xml:space="preserve">ريم بسام زياد إياد</t>
  </si>
  <si>
    <t xml:space="preserve">925999391</t>
  </si>
  <si>
    <t xml:space="preserve">Amirah Tamim Mohannad Ayman</t>
  </si>
  <si>
    <t xml:space="preserve">أميرة تميم مهند أيمن</t>
  </si>
  <si>
    <t xml:space="preserve">963182338</t>
  </si>
  <si>
    <t xml:space="preserve">Amani Hussein Saqr Fahad</t>
  </si>
  <si>
    <t xml:space="preserve">أماني حسين صقر فهد</t>
  </si>
  <si>
    <t xml:space="preserve">000365285</t>
  </si>
  <si>
    <t xml:space="preserve">Alanoud Hussein Mazen Waleed</t>
  </si>
  <si>
    <t xml:space="preserve">العنود حسين مازن وليد</t>
  </si>
  <si>
    <t xml:space="preserve">037548232</t>
  </si>
  <si>
    <t xml:space="preserve">Reham Abdullah Ahmed Yasser</t>
  </si>
  <si>
    <t xml:space="preserve">ريهام عبدالله أحمد ياسر</t>
  </si>
  <si>
    <t xml:space="preserve">074731179</t>
  </si>
  <si>
    <t xml:space="preserve">Asmaa Ali Mazen Anas</t>
  </si>
  <si>
    <t xml:space="preserve">أسماء علي مازن أنس</t>
  </si>
  <si>
    <t xml:space="preserve">111914126</t>
  </si>
  <si>
    <t xml:space="preserve">Asmaa Hamed Khalid Nayef</t>
  </si>
  <si>
    <t xml:space="preserve">أسماء حامد خالد نايف</t>
  </si>
  <si>
    <t xml:space="preserve">149097073</t>
  </si>
  <si>
    <t xml:space="preserve">Sujood Saleh Tariq Yasser</t>
  </si>
  <si>
    <t xml:space="preserve">سجود صالح طارق ياسر</t>
  </si>
  <si>
    <t xml:space="preserve">186280020</t>
  </si>
  <si>
    <t xml:space="preserve">Aljoharah Anas Abdulmajid Saad</t>
  </si>
  <si>
    <t xml:space="preserve">الجوهرة أنس عبدالمجيد سعد</t>
  </si>
  <si>
    <t xml:space="preserve">223462967</t>
  </si>
  <si>
    <t xml:space="preserve">Reema Khalid Saud Salem</t>
  </si>
  <si>
    <t xml:space="preserve">ريما خالد سعود سالم</t>
  </si>
  <si>
    <t xml:space="preserve">260645914</t>
  </si>
  <si>
    <t xml:space="preserve">Lana Anas Rashid Khalid</t>
  </si>
  <si>
    <t xml:space="preserve">لانا أنس راشد خالد</t>
  </si>
  <si>
    <t xml:space="preserve">297828861</t>
  </si>
  <si>
    <t xml:space="preserve">Asmaa Khalid Bassam Saqr</t>
  </si>
  <si>
    <t xml:space="preserve">أسماء خالد بسام صقر</t>
  </si>
  <si>
    <t xml:space="preserve">335011808</t>
  </si>
  <si>
    <t xml:space="preserve">Noura Ali Faisal Muath</t>
  </si>
  <si>
    <t xml:space="preserve">نورة علي فيصل معاذ</t>
  </si>
  <si>
    <t xml:space="preserve">372194755</t>
  </si>
  <si>
    <t xml:space="preserve">Hessa Saif Fawaz Basheer</t>
  </si>
  <si>
    <t xml:space="preserve">حصة سيف فواز بشير</t>
  </si>
  <si>
    <t xml:space="preserve">409377702</t>
  </si>
  <si>
    <t xml:space="preserve">Shaden Tariq Abdulmajid Fawaz</t>
  </si>
  <si>
    <t xml:space="preserve">شادن طارق عبدالمجيد فواز</t>
  </si>
  <si>
    <t xml:space="preserve">446560649</t>
  </si>
  <si>
    <t xml:space="preserve">Dana Jaber Hussein Marzouq</t>
  </si>
  <si>
    <t xml:space="preserve">دانه جابر حسين مرزوق</t>
  </si>
  <si>
    <t xml:space="preserve">483743596</t>
  </si>
  <si>
    <t xml:space="preserve">Lama Muath Abdullah Mohannad</t>
  </si>
  <si>
    <t xml:space="preserve">لمى معاذ عبدالله مهند</t>
  </si>
  <si>
    <t xml:space="preserve">520926543</t>
  </si>
  <si>
    <t xml:space="preserve">Sujood Turki Ziyad Jaber</t>
  </si>
  <si>
    <t xml:space="preserve">سجود تركي زياد جابر</t>
  </si>
  <si>
    <t xml:space="preserve">558109490</t>
  </si>
  <si>
    <t xml:space="preserve">Leen Adnan Mohammed Waleed</t>
  </si>
  <si>
    <t xml:space="preserve">لين عدنان محمد وليد</t>
  </si>
  <si>
    <t xml:space="preserve">595292437</t>
  </si>
  <si>
    <t xml:space="preserve">Noura Rayan Abdulaziz Rakan</t>
  </si>
  <si>
    <t xml:space="preserve">نورة ريان عبدالعزيز راكان</t>
  </si>
  <si>
    <t xml:space="preserve">632475384</t>
  </si>
  <si>
    <t xml:space="preserve">Maryam Mansour Ayman Tariq</t>
  </si>
  <si>
    <t xml:space="preserve">مريم منصور أيمن طارق</t>
  </si>
  <si>
    <t xml:space="preserve">669658331</t>
  </si>
  <si>
    <t xml:space="preserve">Lana Rashid Abdulaziz Muath</t>
  </si>
  <si>
    <t xml:space="preserve">لانا راشد عبدالعزيز معاذ</t>
  </si>
  <si>
    <t xml:space="preserve">706841278</t>
  </si>
  <si>
    <r>
      <rPr>
        <sz val="10"/>
        <rFont val="Lohit Devanagari"/>
        <family val="2"/>
      </rPr>
      <t xml:space="preserve">إضافة جديدة من </t>
    </r>
    <r>
      <rPr>
        <sz val="10"/>
        <rFont val="Calibri"/>
        <family val="0"/>
        <charset val="1"/>
      </rPr>
      <t xml:space="preserve">8 </t>
    </r>
    <r>
      <rPr>
        <sz val="10"/>
        <rFont val="Lohit Devanagari"/>
        <family val="2"/>
      </rPr>
      <t xml:space="preserve">ديسمبر </t>
    </r>
  </si>
  <si>
    <t xml:space="preserve">There is no data</t>
  </si>
  <si>
    <t xml:space="preserve">First Online Session (Special Case)</t>
  </si>
  <si>
    <t xml:space="preserve">The point where I stopped</t>
  </si>
  <si>
    <t xml:space="preserve">Reema Rayan Nawaf Abdullah</t>
  </si>
  <si>
    <t xml:space="preserve">ريما ريان نواف عبدالله</t>
  </si>
  <si>
    <t xml:space="preserve">333072239</t>
  </si>
  <si>
    <t xml:space="preserve">Reema Jaber Abdullah Mazen</t>
  </si>
  <si>
    <t xml:space="preserve">ريما جابر عبدالله مازن</t>
  </si>
  <si>
    <t xml:space="preserve">370255186</t>
  </si>
  <si>
    <t xml:space="preserve">Ghada Nayef Yazeed Marwan</t>
  </si>
  <si>
    <t xml:space="preserve">غادة نايف يزيد مروان</t>
  </si>
  <si>
    <t xml:space="preserve">407438133</t>
  </si>
  <si>
    <t xml:space="preserve">Raghad Faisal Anas Yousef</t>
  </si>
  <si>
    <t xml:space="preserve">رغد فيصل أنس يوسف</t>
  </si>
  <si>
    <t xml:space="preserve">444621080</t>
  </si>
  <si>
    <t xml:space="preserve">Atheer Hussam Majed Ali</t>
  </si>
  <si>
    <t xml:space="preserve">أثير حسام ماجد علي</t>
  </si>
  <si>
    <t xml:space="preserve">481804027</t>
  </si>
  <si>
    <t xml:space="preserve">Wadha Hussein Mazen Abdulmalik</t>
  </si>
  <si>
    <t xml:space="preserve">وضحى حسين مازن عبدالملك</t>
  </si>
  <si>
    <t xml:space="preserve">518986974</t>
  </si>
  <si>
    <t xml:space="preserve">Jana Abdullah Badr Ziyad</t>
  </si>
  <si>
    <t xml:space="preserve">جنى عبدالله بدر زياد</t>
  </si>
  <si>
    <t xml:space="preserve">556169921</t>
  </si>
  <si>
    <t xml:space="preserve">Afnan Saleh Abdulrahman Badr</t>
  </si>
  <si>
    <t xml:space="preserve">أفنان صالح عبدالرحمن بدر</t>
  </si>
  <si>
    <t xml:space="preserve">593352868</t>
  </si>
  <si>
    <t xml:space="preserve">Haneen Marwan Mansour Hadi</t>
  </si>
  <si>
    <t xml:space="preserve">حنين مروان منصور هادي</t>
  </si>
  <si>
    <t xml:space="preserve">630535815</t>
  </si>
  <si>
    <t xml:space="preserve">Fatimah Saleh Saud Ali</t>
  </si>
  <si>
    <t xml:space="preserve">فاطمة صالح سعود علي</t>
  </si>
  <si>
    <t xml:space="preserve">667718762</t>
  </si>
  <si>
    <t xml:space="preserve">Fatimah Basheer Nayef Faris</t>
  </si>
  <si>
    <t xml:space="preserve">فاطمة بشير نايف فارس</t>
  </si>
  <si>
    <t xml:space="preserve">704901709</t>
  </si>
  <si>
    <t xml:space="preserve">Mashael Rami Marwan Basheer</t>
  </si>
  <si>
    <t xml:space="preserve">مشاعل رامي مروان بشير</t>
  </si>
  <si>
    <t xml:space="preserve">742084656</t>
  </si>
  <si>
    <t xml:space="preserve">Leen Marwan Muath Fahad</t>
  </si>
  <si>
    <t xml:space="preserve">لين مروان معاذ فهد</t>
  </si>
  <si>
    <t xml:space="preserve">779267603</t>
  </si>
  <si>
    <t xml:space="preserve">Nouf Mishari Hazem Abdulrahman</t>
  </si>
  <si>
    <t xml:space="preserve">نوف مشاري حازم عبدالرحمن</t>
  </si>
  <si>
    <t xml:space="preserve">816450550</t>
  </si>
  <si>
    <t xml:space="preserve">Raghad Basheer Ibrahim Hamed</t>
  </si>
  <si>
    <t xml:space="preserve">رغد بشير إبراهيم حامد</t>
  </si>
  <si>
    <t xml:space="preserve">853633497</t>
  </si>
  <si>
    <t xml:space="preserve">Amirah Fawaz Ali Hamad</t>
  </si>
  <si>
    <t xml:space="preserve">أميرة فواز علي حمد</t>
  </si>
  <si>
    <t xml:space="preserve">890816444</t>
  </si>
  <si>
    <t xml:space="preserve">Njoud Mazen Abdulrahman Mohannad</t>
  </si>
  <si>
    <t xml:space="preserve">نجود مازن عبدالرحمن مهند</t>
  </si>
  <si>
    <t xml:space="preserve">927999391</t>
  </si>
  <si>
    <t xml:space="preserve">Sujood Marzouq Yousef Adnan</t>
  </si>
  <si>
    <t xml:space="preserve">سجود مرزوق يوسف عدنان</t>
  </si>
  <si>
    <t xml:space="preserve">965182338</t>
  </si>
  <si>
    <t xml:space="preserve">Alanoud Anas Marzouq Jassim</t>
  </si>
  <si>
    <t xml:space="preserve">العنود أنس مرزوق جاسم</t>
  </si>
  <si>
    <t xml:space="preserve">002365285</t>
  </si>
  <si>
    <t xml:space="preserve">Basmah Saad Mazen Basheer</t>
  </si>
  <si>
    <t xml:space="preserve">بسمة سعد مازن بشير</t>
  </si>
  <si>
    <t xml:space="preserve">039548232</t>
  </si>
  <si>
    <t xml:space="preserve">Tala Jaber Saad Hazem</t>
  </si>
  <si>
    <t xml:space="preserve">تالا جابر سعد حازم</t>
  </si>
  <si>
    <t xml:space="preserve">076731179</t>
  </si>
  <si>
    <t xml:space="preserve">Njoud Khalid Salem Nayef</t>
  </si>
  <si>
    <t xml:space="preserve">نجود خالد سالم نايف</t>
  </si>
  <si>
    <t xml:space="preserve">113914126</t>
  </si>
  <si>
    <t xml:space="preserve">Hoor Mohammed Hamad Nayef</t>
  </si>
  <si>
    <t xml:space="preserve">حور محمد حمد نايف</t>
  </si>
  <si>
    <t xml:space="preserve">151097073</t>
  </si>
  <si>
    <t xml:space="preserve">Hind Nayef Mazen Ibrahim</t>
  </si>
  <si>
    <t xml:space="preserve">هند نايف مازن إبراهيم</t>
  </si>
  <si>
    <t xml:space="preserve">188280020</t>
  </si>
  <si>
    <t xml:space="preserve">Atheer Tamim Abdulmalik Ayman</t>
  </si>
  <si>
    <t xml:space="preserve">أثير تميم عبدالملك أيمن</t>
  </si>
  <si>
    <t xml:space="preserve">225462967</t>
  </si>
  <si>
    <t xml:space="preserve">Arwa Ahmed Abdulmalik Saif</t>
  </si>
  <si>
    <t xml:space="preserve">أروى أحمد عبدالملك سيف</t>
  </si>
  <si>
    <t xml:space="preserve">262645914</t>
  </si>
  <si>
    <t xml:space="preserve">Shaden Hamad Rayan Abdulrahman</t>
  </si>
  <si>
    <t xml:space="preserve">شادن حمد ريان عبدالرحمن</t>
  </si>
  <si>
    <t xml:space="preserve">299828861</t>
  </si>
  <si>
    <t xml:space="preserve">Abeer Yazeed Saud Jaber</t>
  </si>
  <si>
    <t xml:space="preserve">عبير يزيد سعود جابر</t>
  </si>
  <si>
    <t xml:space="preserve">337011808</t>
  </si>
  <si>
    <t xml:space="preserve">Hatoon Mohammed Muath Hussein</t>
  </si>
  <si>
    <t xml:space="preserve">هتون محمد معاذ حسين</t>
  </si>
  <si>
    <t xml:space="preserve">374194755</t>
  </si>
  <si>
    <t xml:space="preserve">Ghala Saud Anas Nayef</t>
  </si>
  <si>
    <t xml:space="preserve">غلا سعود أنس نايف</t>
  </si>
  <si>
    <t xml:space="preserve">411377702</t>
  </si>
  <si>
    <t xml:space="preserve">Atheer Rakan Rami Faris</t>
  </si>
  <si>
    <t xml:space="preserve">أثير راكان رامي فارس</t>
  </si>
  <si>
    <t xml:space="preserve">448560649</t>
  </si>
  <si>
    <t xml:space="preserve">Samar Fahad Ahmed Jihad</t>
  </si>
  <si>
    <t xml:space="preserve">سمر فهد أحمد جهاد</t>
  </si>
  <si>
    <t xml:space="preserve">485743596</t>
  </si>
  <si>
    <t xml:space="preserve">Najla Saleh Bandar Fahad</t>
  </si>
  <si>
    <t xml:space="preserve">نجلاء صالح بندر فهد</t>
  </si>
  <si>
    <t xml:space="preserve">522926543</t>
  </si>
  <si>
    <t xml:space="preserve">Jana Anas Hazem Rashid</t>
  </si>
  <si>
    <t xml:space="preserve">جنى أنس حازم راشد</t>
  </si>
  <si>
    <t xml:space="preserve">560109490</t>
  </si>
  <si>
    <t xml:space="preserve">Fatimah Saud Bassam Mohannad</t>
  </si>
  <si>
    <t xml:space="preserve">فاطمة سعود بسام مهند</t>
  </si>
  <si>
    <t xml:space="preserve">597292437</t>
  </si>
  <si>
    <t xml:space="preserve">Saja Majed Thamer Mohannad</t>
  </si>
  <si>
    <t xml:space="preserve">سجى ماجد ثامر مهند</t>
  </si>
  <si>
    <t xml:space="preserve">634475384</t>
  </si>
  <si>
    <t xml:space="preserve">Amirah Bandar Mazen Hazem</t>
  </si>
  <si>
    <t xml:space="preserve">أميرة بندر مازن حازم</t>
  </si>
  <si>
    <t xml:space="preserve">671658331</t>
  </si>
  <si>
    <t xml:space="preserve">Haya Hussam Salman Saud</t>
  </si>
  <si>
    <t xml:space="preserve">هيا حسام سلمان سعود</t>
  </si>
  <si>
    <t xml:space="preserve">708841278</t>
  </si>
  <si>
    <t xml:space="preserve">Haya Saleh Rakan Rayan</t>
  </si>
  <si>
    <t xml:space="preserve">هيا صالح راكان ريان</t>
  </si>
  <si>
    <t xml:space="preserve">746024225</t>
  </si>
  <si>
    <t xml:space="preserve">Isra Abdulaziz Mishari Ayman</t>
  </si>
  <si>
    <t xml:space="preserve">إسراء عبدالعزيز مشاري أيمن</t>
  </si>
  <si>
    <t xml:space="preserve">783207172</t>
  </si>
  <si>
    <r>
      <rPr>
        <sz val="10"/>
        <rFont val="Lohit Devanagari"/>
        <family val="2"/>
      </rPr>
      <t xml:space="preserve">إضافة جديدة من تاريخ </t>
    </r>
    <r>
      <rPr>
        <sz val="10"/>
        <rFont val="Calibri"/>
        <family val="0"/>
        <charset val="1"/>
      </rPr>
      <t xml:space="preserve">12 </t>
    </r>
    <r>
      <rPr>
        <sz val="10"/>
        <rFont val="Lohit Devanagari"/>
        <family val="2"/>
      </rPr>
      <t xml:space="preserve">ديسمبر </t>
    </r>
  </si>
  <si>
    <t xml:space="preserve">Isra Hassan Salem Ayman</t>
  </si>
  <si>
    <t xml:space="preserve">إسراء حسن سالم أيمن</t>
  </si>
  <si>
    <t xml:space="preserve">335072239</t>
  </si>
  <si>
    <t xml:space="preserve">Maha Faisal Saud Hussein</t>
  </si>
  <si>
    <t xml:space="preserve">مها فيصل سعود حسين</t>
  </si>
  <si>
    <t xml:space="preserve">372255186</t>
  </si>
  <si>
    <t xml:space="preserve">Haneen Faris Bassam Tariq</t>
  </si>
  <si>
    <t xml:space="preserve">حنين فارس بسام طارق</t>
  </si>
  <si>
    <t xml:space="preserve">409438133</t>
  </si>
  <si>
    <t xml:space="preserve">Hoor Muath Mohannad Badr</t>
  </si>
  <si>
    <t xml:space="preserve">حور معاذ مهند بدر</t>
  </si>
  <si>
    <t xml:space="preserve">446621080</t>
  </si>
  <si>
    <t xml:space="preserve">Lana Hassan Saad Abdulmalik</t>
  </si>
  <si>
    <t xml:space="preserve">لانا حسن سعد عبدالملك</t>
  </si>
  <si>
    <t xml:space="preserve">483804027</t>
  </si>
  <si>
    <t xml:space="preserve">Muneerah Saqr Abdullah Saad</t>
  </si>
  <si>
    <t xml:space="preserve">منيرة صقر عبدالله سعد</t>
  </si>
  <si>
    <t xml:space="preserve">520986974</t>
  </si>
  <si>
    <t xml:space="preserve">Mashael Hamad Tariq Yousef</t>
  </si>
  <si>
    <t xml:space="preserve">مشاعل حمد طارق يوسف</t>
  </si>
  <si>
    <t xml:space="preserve">558169921</t>
  </si>
  <si>
    <t xml:space="preserve">Maha Salman Hazem Saad</t>
  </si>
  <si>
    <t xml:space="preserve">مها سلمان حازم سعد</t>
  </si>
  <si>
    <t xml:space="preserve">595352868</t>
  </si>
  <si>
    <t xml:space="preserve">Ghala Thamer Ayman Tariq</t>
  </si>
  <si>
    <t xml:space="preserve">غلا ثامر أيمن طارق</t>
  </si>
  <si>
    <t xml:space="preserve">632535815</t>
  </si>
  <si>
    <t xml:space="preserve">Dima Muath Fawaz Hamed</t>
  </si>
  <si>
    <t xml:space="preserve">ديما معاذ فواز حامد</t>
  </si>
  <si>
    <t xml:space="preserve">669718762</t>
  </si>
  <si>
    <t xml:space="preserve">Latifah Yazeed Adnan Mohammed</t>
  </si>
  <si>
    <t xml:space="preserve">لطيفة يزيد عدنان محمد</t>
  </si>
  <si>
    <t xml:space="preserve">706901709</t>
  </si>
  <si>
    <t xml:space="preserve">Asmaa Mohannad Mansour Ayman</t>
  </si>
  <si>
    <t xml:space="preserve">أسماء مهند منصور أيمن</t>
  </si>
  <si>
    <t xml:space="preserve">744084656</t>
  </si>
  <si>
    <t xml:space="preserve">Rawan Adnan Mohammed Salem</t>
  </si>
  <si>
    <t xml:space="preserve">روان عدنان محمد سالم</t>
  </si>
  <si>
    <t xml:space="preserve">781267603</t>
  </si>
  <si>
    <t xml:space="preserve">Saja Tariq Abdulrahman Hassan</t>
  </si>
  <si>
    <t xml:space="preserve">سجى طارق عبدالرحمن حسن</t>
  </si>
  <si>
    <t xml:space="preserve">818450550</t>
  </si>
  <si>
    <t xml:space="preserve">Wadha Turki Ibrahim Salman</t>
  </si>
  <si>
    <t xml:space="preserve">وضحى تركي إبراهيم سلمان</t>
  </si>
  <si>
    <t xml:space="preserve">855633497</t>
  </si>
  <si>
    <t xml:space="preserve">Raghad Badr Jihad Tamim</t>
  </si>
  <si>
    <t xml:space="preserve">رغد بدر جهاد تميم</t>
  </si>
  <si>
    <t xml:space="preserve">892816444</t>
  </si>
  <si>
    <t xml:space="preserve">Rawan Adel Abdulrahman Majed</t>
  </si>
  <si>
    <t xml:space="preserve">روان عادل عبدالرحمن ماجد</t>
  </si>
  <si>
    <t xml:space="preserve">929999391</t>
  </si>
  <si>
    <t xml:space="preserve">Dana Nasser Yasser Fahad</t>
  </si>
  <si>
    <t xml:space="preserve">دانه ناصر ياسر فهد</t>
  </si>
  <si>
    <t xml:space="preserve">967182338</t>
  </si>
  <si>
    <t xml:space="preserve">Mashael Rayan Hazem Abdulmalik</t>
  </si>
  <si>
    <t xml:space="preserve">مشاعل ريان حازم عبدالملك</t>
  </si>
  <si>
    <t xml:space="preserve">004365285</t>
  </si>
  <si>
    <t xml:space="preserve">Amirah Abdulmalik Mohannad Ahmed</t>
  </si>
  <si>
    <t xml:space="preserve">أميرة عبدالملك مهند أحمد</t>
  </si>
  <si>
    <t xml:space="preserve">041548232</t>
  </si>
  <si>
    <t xml:space="preserve">Shatha Nawaf Faisal Adnan</t>
  </si>
  <si>
    <t xml:space="preserve">شذى نواف فيصل عدنان</t>
  </si>
  <si>
    <t xml:space="preserve">078731179</t>
  </si>
  <si>
    <t xml:space="preserve">Wafa Nayef Bandar Sami</t>
  </si>
  <si>
    <t xml:space="preserve">وفاء نايف بندر سامي</t>
  </si>
  <si>
    <t xml:space="preserve">115914126</t>
  </si>
  <si>
    <t xml:space="preserve">Lama Marwan Hazem Jaber</t>
  </si>
  <si>
    <t xml:space="preserve">لمى مروان حازم جابر</t>
  </si>
  <si>
    <t xml:space="preserve">153097073</t>
  </si>
  <si>
    <t xml:space="preserve">Maha Hassan Rashid Sultan</t>
  </si>
  <si>
    <t xml:space="preserve">مها حسن راشد سلطان</t>
  </si>
  <si>
    <t xml:space="preserve">190280020</t>
  </si>
  <si>
    <t xml:space="preserve">Njoud Abdulmalik Salem Mishari</t>
  </si>
  <si>
    <t xml:space="preserve">نجود عبدالملك سالم مشاري</t>
  </si>
  <si>
    <t xml:space="preserve">227462967</t>
  </si>
  <si>
    <t xml:space="preserve">Wadha Sultan Hassan Fawaz</t>
  </si>
  <si>
    <t xml:space="preserve">وضحى سلطان حسن فواز</t>
  </si>
  <si>
    <t xml:space="preserve">264645914</t>
  </si>
  <si>
    <t xml:space="preserve">Atheer Mohannad Rami Hadi</t>
  </si>
  <si>
    <t xml:space="preserve">أثير مهند رامي هادي</t>
  </si>
  <si>
    <t xml:space="preserve">301828861</t>
  </si>
  <si>
    <t xml:space="preserve">Basmah Saqr Tariq Ayman</t>
  </si>
  <si>
    <t xml:space="preserve">بسمة صقر طارق أيمن</t>
  </si>
  <si>
    <t xml:space="preserve">339011808</t>
  </si>
  <si>
    <t xml:space="preserve">Lina Badr Thamer Yousef</t>
  </si>
  <si>
    <t xml:space="preserve">لينا بدر ثامر يوسف</t>
  </si>
  <si>
    <t xml:space="preserve">376194755</t>
  </si>
  <si>
    <t xml:space="preserve">Muneerah Abdulrahman Mishari Abdulaziz</t>
  </si>
  <si>
    <t xml:space="preserve">منيرة عبدالرحمن مشاري عبدالعزيز</t>
  </si>
  <si>
    <t xml:space="preserve">413377702</t>
  </si>
  <si>
    <t xml:space="preserve">Reema Hazem Sultan Yasser</t>
  </si>
  <si>
    <t xml:space="preserve">ريما حازم سلطان ياسر</t>
  </si>
  <si>
    <t xml:space="preserve">450560649</t>
  </si>
  <si>
    <t xml:space="preserve">Amani Jassim Sultan Nayef</t>
  </si>
  <si>
    <t xml:space="preserve">أماني جاسم سلطان نايف</t>
  </si>
  <si>
    <t xml:space="preserve">487743596</t>
  </si>
  <si>
    <t xml:space="preserve">Sarah Tariq Hazem Munther</t>
  </si>
  <si>
    <t xml:space="preserve">سارة طارق حازم منذر</t>
  </si>
  <si>
    <t xml:space="preserve">524926543</t>
  </si>
  <si>
    <t xml:space="preserve">Hatoon Abdulmalik Muath Badr</t>
  </si>
  <si>
    <t xml:space="preserve">هتون عبدالملك معاذ بدر</t>
  </si>
  <si>
    <t xml:space="preserve">562109490</t>
  </si>
  <si>
    <r>
      <rPr>
        <sz val="10"/>
        <rFont val="Lohit Devanagari"/>
        <family val="2"/>
      </rPr>
      <t xml:space="preserve">إضافـــــــــــــــــــــــــــــــــــــــــة جديدة من </t>
    </r>
    <r>
      <rPr>
        <sz val="10"/>
        <rFont val="Calibri"/>
        <family val="0"/>
        <charset val="1"/>
      </rPr>
      <t xml:space="preserve">3 </t>
    </r>
    <r>
      <rPr>
        <sz val="10"/>
        <rFont val="Lohit Devanagari"/>
        <family val="2"/>
      </rPr>
      <t xml:space="preserve">ديسمبر </t>
    </r>
  </si>
  <si>
    <t xml:space="preserve">Moudi Turki Adel Ayman</t>
  </si>
  <si>
    <t xml:space="preserve">موضي تركي عادل أيمن</t>
  </si>
  <si>
    <t xml:space="preserve">599292437</t>
  </si>
  <si>
    <t xml:space="preserve">Hamad Ahmed Nawaf Mohannad</t>
  </si>
  <si>
    <t xml:space="preserve">حمد أحمد نواف مهند</t>
  </si>
  <si>
    <t xml:space="preserve">332072239</t>
  </si>
  <si>
    <t xml:space="preserve">Majed Mohammed Salman Marwan</t>
  </si>
  <si>
    <t xml:space="preserve">ماجد محمد سلمان مروان</t>
  </si>
  <si>
    <t xml:space="preserve">369255186</t>
  </si>
  <si>
    <t xml:space="preserve">Adnan Munther Abdullah Majed</t>
  </si>
  <si>
    <t xml:space="preserve">عدنان منذر عبدالله ماجد</t>
  </si>
  <si>
    <t xml:space="preserve">406438133</t>
  </si>
  <si>
    <t xml:space="preserve">Abdulmalik Nasser Ahmed Abdulmalik</t>
  </si>
  <si>
    <t xml:space="preserve">عبدالملك ناصر أحمد عبدالملك</t>
  </si>
  <si>
    <t xml:space="preserve">443621080</t>
  </si>
  <si>
    <t xml:space="preserve">Iyad Basheer Omar Saud</t>
  </si>
  <si>
    <t xml:space="preserve">إياد بشير عمر سعود</t>
  </si>
  <si>
    <t xml:space="preserve">480804027</t>
  </si>
  <si>
    <t xml:space="preserve">Khalid Ali Saad Tariq</t>
  </si>
  <si>
    <t xml:space="preserve">خالد علي سعد طارق</t>
  </si>
  <si>
    <t xml:space="preserve">517986974</t>
  </si>
  <si>
    <t xml:space="preserve">Marwan Munther Hamad Nayef</t>
  </si>
  <si>
    <t xml:space="preserve">مروان منذر حمد نايف</t>
  </si>
  <si>
    <t xml:space="preserve">555169921</t>
  </si>
  <si>
    <t xml:space="preserve">Jihad Saad Mohannad Mohammed</t>
  </si>
  <si>
    <t xml:space="preserve">جهاد سعد مهند محمد</t>
  </si>
  <si>
    <t xml:space="preserve">592352868</t>
  </si>
  <si>
    <t xml:space="preserve">Anas Khalid Faris Saad</t>
  </si>
  <si>
    <t xml:space="preserve">أنس خالد فارس سعد</t>
  </si>
  <si>
    <t xml:space="preserve">629535815</t>
  </si>
  <si>
    <t xml:space="preserve">Ibrahim Sami Nawaf Badr</t>
  </si>
  <si>
    <t xml:space="preserve">إبراهيم سامي نواف بدر</t>
  </si>
  <si>
    <t xml:space="preserve">666718762</t>
  </si>
  <si>
    <t xml:space="preserve">Tamim Rami Abdulaziz Muath</t>
  </si>
  <si>
    <t xml:space="preserve">تميم رامي عبدالعزيز معاذ</t>
  </si>
  <si>
    <t xml:space="preserve">703901709</t>
  </si>
  <si>
    <t xml:space="preserve">Ahmed Hadi Yasser Abdulrahman</t>
  </si>
  <si>
    <t xml:space="preserve">أحمد هادي ياسر عبدالرحمن</t>
  </si>
  <si>
    <t xml:space="preserve">741084656</t>
  </si>
  <si>
    <t xml:space="preserve">Majed Abdulrahman Hamad Bassam</t>
  </si>
  <si>
    <t xml:space="preserve">ماجد عبدالرحمن حمد بسام</t>
  </si>
  <si>
    <t xml:space="preserve">778267603</t>
  </si>
  <si>
    <t xml:space="preserve">Khalid Nasser Nayef Salem</t>
  </si>
  <si>
    <t xml:space="preserve">خالد ناصر نايف سالم</t>
  </si>
  <si>
    <t xml:space="preserve">815450550</t>
  </si>
  <si>
    <t xml:space="preserve">Adnan Hamed Badr Adel</t>
  </si>
  <si>
    <t xml:space="preserve">عدنان حامد بدر عادل</t>
  </si>
  <si>
    <t xml:space="preserve">852633497</t>
  </si>
  <si>
    <t xml:space="preserve">Iyad Saud Ziyad Salman</t>
  </si>
  <si>
    <t xml:space="preserve">إياد سعود زياد سلمان</t>
  </si>
  <si>
    <t xml:space="preserve">889816444</t>
  </si>
  <si>
    <t xml:space="preserve">Saqr Saad Munther Thamer</t>
  </si>
  <si>
    <t xml:space="preserve">صقر سعد منذر ثامر</t>
  </si>
  <si>
    <t xml:space="preserve">926999391</t>
  </si>
  <si>
    <t xml:space="preserve">Mohannad Faisal Bassam Abdulmalik</t>
  </si>
  <si>
    <t xml:space="preserve">مهند فيصل بسام عبدالملك</t>
  </si>
  <si>
    <t xml:space="preserve">964182338</t>
  </si>
  <si>
    <t xml:space="preserve">Abdulmajid Abdullah Anas Jassim</t>
  </si>
  <si>
    <t xml:space="preserve">عبدالمجيد عبدالله أنس جاسم</t>
  </si>
  <si>
    <t xml:space="preserve">001365285</t>
  </si>
  <si>
    <t xml:space="preserve">Hadi Hussein Thamer Saleh</t>
  </si>
  <si>
    <t xml:space="preserve">هادي حسين ثامر صالح</t>
  </si>
  <si>
    <t xml:space="preserve">038548232</t>
  </si>
  <si>
    <t xml:space="preserve">Nawaf Nayef Tariq Abdulrahman</t>
  </si>
  <si>
    <t xml:space="preserve">نواف نايف طارق عبدالرحمن</t>
  </si>
  <si>
    <t xml:space="preserve">075731179</t>
  </si>
  <si>
    <t xml:space="preserve">Hazem Jassim Mishari Abdulaziz</t>
  </si>
  <si>
    <t xml:space="preserve">حازم جاسم مشاري عبدالعزيز</t>
  </si>
  <si>
    <t xml:space="preserve">112914126</t>
  </si>
  <si>
    <t xml:space="preserve">Basheer Mansour Hazem Bassam</t>
  </si>
  <si>
    <t xml:space="preserve">بشير منصور حازم بسام</t>
  </si>
  <si>
    <t xml:space="preserve">150097073</t>
  </si>
  <si>
    <t xml:space="preserve">Salman Mohammed Mishari Salman</t>
  </si>
  <si>
    <t xml:space="preserve">سلمان محمد مشاري سلمان</t>
  </si>
  <si>
    <t xml:space="preserve">187280020</t>
  </si>
  <si>
    <t xml:space="preserve">Nasser Thamer Saud Yousef</t>
  </si>
  <si>
    <t xml:space="preserve">ناصر ثامر سعود يوسف</t>
  </si>
  <si>
    <t xml:space="preserve">224462967</t>
  </si>
  <si>
    <t xml:space="preserve">Rayan Hussein Ahmed Saud</t>
  </si>
  <si>
    <t xml:space="preserve">ريان حسين أحمد سعود</t>
  </si>
  <si>
    <t xml:space="preserve">261645914</t>
  </si>
  <si>
    <t xml:space="preserve">Nawaf Nasser Ahmed Ali</t>
  </si>
  <si>
    <t xml:space="preserve">نواف ناصر أحمد علي</t>
  </si>
  <si>
    <t xml:space="preserve">298828861</t>
  </si>
  <si>
    <t xml:space="preserve">Jaber Hassan Yousef Nawaf</t>
  </si>
  <si>
    <t xml:space="preserve">جابر حسن يوسف نواف</t>
  </si>
  <si>
    <t xml:space="preserve">336011808</t>
  </si>
  <si>
    <t xml:space="preserve">Majed Adnan Khalid Abdulmajid</t>
  </si>
  <si>
    <t xml:space="preserve">ماجد عدنان خالد عبدالمجيد</t>
  </si>
  <si>
    <t xml:space="preserve">373194755</t>
  </si>
  <si>
    <t xml:space="preserve">Muath Ziyad Mishari Tamim</t>
  </si>
  <si>
    <t xml:space="preserve">معاذ زياد مشاري تميم</t>
  </si>
  <si>
    <t xml:space="preserve">410377702</t>
  </si>
  <si>
    <t xml:space="preserve">Jaber Badr Jihad Adel</t>
  </si>
  <si>
    <t xml:space="preserve">جابر بدر جهاد عادل</t>
  </si>
  <si>
    <t xml:space="preserve">447560649</t>
  </si>
  <si>
    <t xml:space="preserve">Marzouq Rashid Mishari Adel</t>
  </si>
  <si>
    <t xml:space="preserve">مرزوق راشد مشاري عادل</t>
  </si>
  <si>
    <t xml:space="preserve">484743596</t>
  </si>
  <si>
    <t xml:space="preserve">Majed Basheer Thamer Ziyad</t>
  </si>
  <si>
    <t xml:space="preserve">ماجد بشير ثامر زياد</t>
  </si>
  <si>
    <t xml:space="preserve">521926543</t>
  </si>
  <si>
    <t xml:space="preserve">Rashid Ziyad Saqr Abdulmajid</t>
  </si>
  <si>
    <t xml:space="preserve">راشد زياد صقر عبدالمجيد</t>
  </si>
  <si>
    <t xml:space="preserve">559109490</t>
  </si>
  <si>
    <t xml:space="preserve">Yasser Abdulmajid Rashid Tamim</t>
  </si>
  <si>
    <t xml:space="preserve">ياسر عبدالمجيد راشد تميم</t>
  </si>
  <si>
    <t xml:space="preserve">596292437</t>
  </si>
  <si>
    <t xml:space="preserve">Abdulmajid Abdulmalik Mansour Fawaz</t>
  </si>
  <si>
    <t xml:space="preserve">عبدالمجيد عبدالملك منصور فواز</t>
  </si>
  <si>
    <t xml:space="preserve">633475384</t>
  </si>
  <si>
    <t xml:space="preserve">Hassan Mazen Faris Adel</t>
  </si>
  <si>
    <t xml:space="preserve">حسن مازن فارس عادل</t>
  </si>
  <si>
    <t xml:space="preserve">670658331</t>
  </si>
  <si>
    <t xml:space="preserve">Nawaf Tamim Sami Omar</t>
  </si>
  <si>
    <t xml:space="preserve">نواف تميم سامي عمر</t>
  </si>
  <si>
    <t xml:space="preserve">334072239</t>
  </si>
  <si>
    <t xml:space="preserve">Mishari Saif Mohannad Hazem</t>
  </si>
  <si>
    <t xml:space="preserve">مشاري سيف مهند حازم</t>
  </si>
  <si>
    <t xml:space="preserve">371255186</t>
  </si>
  <si>
    <t xml:space="preserve">Omar Iyad Fahad Hussein</t>
  </si>
  <si>
    <t xml:space="preserve">عمر إياد فهد حسين</t>
  </si>
  <si>
    <t xml:space="preserve">408438133</t>
  </si>
  <si>
    <t xml:space="preserve">Tariq Sultan Saleh Mishari</t>
  </si>
  <si>
    <t xml:space="preserve">طارق سلطان صالح مشاري</t>
  </si>
  <si>
    <t xml:space="preserve">445621080</t>
  </si>
  <si>
    <t xml:space="preserve">Salem Saud Abdulmajid Mansour</t>
  </si>
  <si>
    <t xml:space="preserve">سالم سعود عبدالمجيد منصور</t>
  </si>
  <si>
    <t xml:space="preserve">482804027</t>
  </si>
  <si>
    <t xml:space="preserve">Anas Badr Jihad Saad</t>
  </si>
  <si>
    <t xml:space="preserve">أنس بدر جهاد سعد</t>
  </si>
  <si>
    <t xml:space="preserve">519986974</t>
  </si>
  <si>
    <t xml:space="preserve">Muath Rashid Saif Jihad</t>
  </si>
  <si>
    <t xml:space="preserve">معاذ راشد سيف جهاد</t>
  </si>
  <si>
    <t xml:space="preserve">557169921</t>
  </si>
  <si>
    <t xml:space="preserve">Adel Ayman Abdulaziz Muath</t>
  </si>
  <si>
    <t xml:space="preserve">عادل أيمن عبدالعزيز معاذ</t>
  </si>
  <si>
    <t xml:space="preserve">594352868</t>
  </si>
  <si>
    <t xml:space="preserve">Yousef Muath Yasser Saif</t>
  </si>
  <si>
    <t xml:space="preserve">يوسف معاذ ياسر سيف</t>
  </si>
  <si>
    <t xml:space="preserve">631535815</t>
  </si>
  <si>
    <t xml:space="preserve">Ibrahim Rami Jassim Badr</t>
  </si>
  <si>
    <t xml:space="preserve">إبراهيم رامي جاسم بدر</t>
  </si>
  <si>
    <t xml:space="preserve">668718762</t>
  </si>
  <si>
    <t xml:space="preserve">Abdullah Saleh Basheer Rashid</t>
  </si>
  <si>
    <t xml:space="preserve">عبدالله صالح بشير راشد</t>
  </si>
  <si>
    <t xml:space="preserve">705901709</t>
  </si>
  <si>
    <t xml:space="preserve">Majed Majed Abdulmalik Adel</t>
  </si>
  <si>
    <t xml:space="preserve">ماجد ماجد عبدالملك عادل</t>
  </si>
  <si>
    <t xml:space="preserve">743084656</t>
  </si>
  <si>
    <t xml:space="preserve">Marzouq Hazem Hussam Bassam</t>
  </si>
  <si>
    <t xml:space="preserve">مرزوق حازم حسام بسام</t>
  </si>
  <si>
    <t xml:space="preserve">780267603</t>
  </si>
  <si>
    <t xml:space="preserve">Mishari Muath Sami Mohannad</t>
  </si>
  <si>
    <t xml:space="preserve">مشاري معاذ سامي مهند</t>
  </si>
  <si>
    <t xml:space="preserve">817450550</t>
  </si>
  <si>
    <t xml:space="preserve">Hamad Jaber Abdulmalik Saif</t>
  </si>
  <si>
    <t xml:space="preserve">حمد جابر عبدالملك سيف</t>
  </si>
  <si>
    <t xml:space="preserve">854633497</t>
  </si>
  <si>
    <t xml:space="preserve">Badr Majed Yousef Hamed</t>
  </si>
  <si>
    <t xml:space="preserve">بدر ماجد يوسف حامد</t>
  </si>
  <si>
    <t xml:space="preserve">891816444</t>
  </si>
  <si>
    <t xml:space="preserve">Abdulaziz Basheer Jihad Majed</t>
  </si>
  <si>
    <t xml:space="preserve">عبدالعزيز بشير جهاد ماجد</t>
  </si>
  <si>
    <t xml:space="preserve">928999391</t>
  </si>
  <si>
    <t xml:space="preserve">Nayef Waleed Salman Hussam</t>
  </si>
  <si>
    <t xml:space="preserve">نايف وليد سلمان حسام</t>
  </si>
  <si>
    <t xml:space="preserve">966182338</t>
  </si>
  <si>
    <t xml:space="preserve">Mohammed Sultan Hadi Hassan</t>
  </si>
  <si>
    <t xml:space="preserve">محمد سلطان هادي حسن</t>
  </si>
  <si>
    <t xml:space="preserve">003365285</t>
  </si>
  <si>
    <t xml:space="preserve">Abdullah Majed Abdulaziz Adel</t>
  </si>
  <si>
    <t xml:space="preserve">عبدالله ماجد عبدالعزيز عادل</t>
  </si>
  <si>
    <t xml:space="preserve">040548232</t>
  </si>
  <si>
    <t xml:space="preserve">Khalid Salman Hazem Hussein</t>
  </si>
  <si>
    <t xml:space="preserve">خالد سلمان حازم حسين</t>
  </si>
  <si>
    <t xml:space="preserve">077731179</t>
  </si>
  <si>
    <t xml:space="preserve">Mohammed Abdullah Saud Rashid</t>
  </si>
  <si>
    <t xml:space="preserve">محمد عبدالله سعود راشد</t>
  </si>
  <si>
    <t xml:space="preserve">114914126</t>
  </si>
  <si>
    <t xml:space="preserve">Saud Mohammed Basheer Hussam</t>
  </si>
  <si>
    <t xml:space="preserve">سعود محمد بشير حسام</t>
  </si>
  <si>
    <t xml:space="preserve">152097073</t>
  </si>
  <si>
    <t xml:space="preserve">Salman Munther Hamed Ahmed</t>
  </si>
  <si>
    <t xml:space="preserve">سلمان منذر حامد أحمد</t>
  </si>
  <si>
    <t xml:space="preserve">189280020</t>
  </si>
  <si>
    <t xml:space="preserve">Saif Adnan Majed Hazem</t>
  </si>
  <si>
    <t xml:space="preserve">سيف عدنان ماجد حازم</t>
  </si>
  <si>
    <t xml:space="preserve">226462967</t>
  </si>
  <si>
    <t xml:space="preserve">Muath Ayman Abdulaziz Hadi</t>
  </si>
  <si>
    <t xml:space="preserve">معاذ أيمن عبدالعزيز هادي</t>
  </si>
  <si>
    <t xml:space="preserve">263645914</t>
  </si>
  <si>
    <t xml:space="preserve">Ziyad Basheer Omar Yousef</t>
  </si>
  <si>
    <t xml:space="preserve">زياد بشير عمر يوسف</t>
  </si>
  <si>
    <t xml:space="preserve">300828861</t>
  </si>
  <si>
    <t xml:space="preserve">Hussein Abdulrahman Munther Saad</t>
  </si>
  <si>
    <t xml:space="preserve">حسين عبدالرحمن منذر سعد</t>
  </si>
  <si>
    <t xml:space="preserve">338011808</t>
  </si>
  <si>
    <t xml:space="preserve">Abdulmajid Mishari Salman Yasser</t>
  </si>
  <si>
    <t xml:space="preserve">عبدالمجيد مشاري سلمان ياسر</t>
  </si>
  <si>
    <t xml:space="preserve">375194755</t>
  </si>
  <si>
    <t xml:space="preserve">Iyad Hussam Jassim Ayman</t>
  </si>
  <si>
    <t xml:space="preserve">إياد حسام جاسم أيمن</t>
  </si>
  <si>
    <t xml:space="preserve">412377702</t>
  </si>
  <si>
    <t xml:space="preserve">Rakan Majed Mohammed Turki</t>
  </si>
  <si>
    <t xml:space="preserve">راكان ماجد محمد تركي</t>
  </si>
  <si>
    <t xml:space="preserve">449560649</t>
  </si>
  <si>
    <t xml:space="preserve">Saad Hamed Badr Rakan</t>
  </si>
  <si>
    <t xml:space="preserve">سعد حامد بدر راكان</t>
  </si>
  <si>
    <t xml:space="preserve">486743596</t>
  </si>
  <si>
    <t xml:space="preserve">Iyad Tamim Turki Rakan</t>
  </si>
  <si>
    <t xml:space="preserve">إياد تميم تركي راكان</t>
  </si>
  <si>
    <t xml:space="preserve">523926543</t>
  </si>
  <si>
    <t xml:space="preserve">Munther Tariq Abdulmajid Nayef</t>
  </si>
  <si>
    <t xml:space="preserve">منذر طارق عبدالمجيد نايف</t>
  </si>
  <si>
    <t xml:space="preserve">561109490</t>
  </si>
  <si>
    <t xml:space="preserve">Rashid Thamer Sami Marzouq</t>
  </si>
  <si>
    <t xml:space="preserve">راشد ثامر سامي مرزوق</t>
  </si>
  <si>
    <t xml:space="preserve">598292437</t>
  </si>
  <si>
    <t xml:space="preserve">Hamad Fawaz Fahad Munther</t>
  </si>
  <si>
    <t xml:space="preserve">حمد فواز فهد منذر</t>
  </si>
  <si>
    <t xml:space="preserve">635475384</t>
  </si>
  <si>
    <t xml:space="preserve">Khalid Nayef Hamad Adnan</t>
  </si>
  <si>
    <t xml:space="preserve">خالد نايف حمد عدنان</t>
  </si>
  <si>
    <t xml:space="preserve">672658331</t>
  </si>
  <si>
    <t xml:space="preserve">Bandar Yasser Badr Ibrahim</t>
  </si>
  <si>
    <t xml:space="preserve">بندر ياسر بدر إبراهيم</t>
  </si>
  <si>
    <t xml:space="preserve">709841278</t>
  </si>
  <si>
    <t xml:space="preserve">Iyad Salman Rakan Badr</t>
  </si>
  <si>
    <t xml:space="preserve">إياد سلمان راكان بدر</t>
  </si>
  <si>
    <t xml:space="preserve">747024225</t>
  </si>
  <si>
    <t xml:space="preserve">Ibrahim Adel Marwan Majed</t>
  </si>
  <si>
    <t xml:space="preserve">إبراهيم عادل مروان ماجد</t>
  </si>
  <si>
    <t xml:space="preserve">336072239</t>
  </si>
  <si>
    <t xml:space="preserve">Bandar Iyad Waleed Adnan</t>
  </si>
  <si>
    <t xml:space="preserve">بندر إياد وليد عدنان</t>
  </si>
  <si>
    <t xml:space="preserve">373255186</t>
  </si>
  <si>
    <t xml:space="preserve">Sami Yazeed Munther Saleh</t>
  </si>
  <si>
    <t xml:space="preserve">سامي يزيد منذر صالح</t>
  </si>
  <si>
    <t xml:space="preserve">410438133</t>
  </si>
  <si>
    <t xml:space="preserve">Thamer Saif Nayef Hamad</t>
  </si>
  <si>
    <t xml:space="preserve">ثامر سيف نايف حمد</t>
  </si>
  <si>
    <t xml:space="preserve">447621080</t>
  </si>
  <si>
    <t xml:space="preserve">Bandar Hussam Rashid Ayman</t>
  </si>
  <si>
    <t xml:space="preserve">بندر حسام راشد أيمن</t>
  </si>
  <si>
    <t xml:space="preserve">484804027</t>
  </si>
  <si>
    <t xml:space="preserve">Yazeed Waleed Ali Saad</t>
  </si>
  <si>
    <t xml:space="preserve">يزيد وليد علي سعد</t>
  </si>
  <si>
    <t xml:space="preserve">521986974</t>
  </si>
  <si>
    <t xml:space="preserve">Yousef Salem Badr Abdullah</t>
  </si>
  <si>
    <t xml:space="preserve">يوسف سالم بدر عبدالله</t>
  </si>
  <si>
    <t xml:space="preserve">559169921</t>
  </si>
  <si>
    <t xml:space="preserve">Abdulaziz Marwan Salem Nayef</t>
  </si>
  <si>
    <t xml:space="preserve">عبدالعزيز مروان سالم نايف</t>
  </si>
  <si>
    <t xml:space="preserve">596352868</t>
  </si>
  <si>
    <t xml:space="preserve">Yousef Marzouq Badr Hussam</t>
  </si>
  <si>
    <t xml:space="preserve">يوسف مرزوق بدر حسام</t>
  </si>
  <si>
    <t xml:space="preserve">633535815</t>
  </si>
  <si>
    <t xml:space="preserve">Rayan Yazeed Muath Nasser</t>
  </si>
  <si>
    <t xml:space="preserve">ريان يزيد معاذ ناصر</t>
  </si>
  <si>
    <t xml:space="preserve">670718762</t>
  </si>
  <si>
    <t xml:space="preserve">Munther Hadi Ayman Mohannad</t>
  </si>
  <si>
    <t xml:space="preserve">منذر هادي أيمن مهند</t>
  </si>
  <si>
    <t xml:space="preserve">707901709</t>
  </si>
  <si>
    <t xml:space="preserve">Badr Tariq Bassam Rayan</t>
  </si>
  <si>
    <t xml:space="preserve">بدر طارق بسام ريان</t>
  </si>
  <si>
    <t xml:space="preserve">745084656</t>
  </si>
  <si>
    <t xml:space="preserve">Marzouq Rayan Anas Saif</t>
  </si>
  <si>
    <t xml:space="preserve">مرزوق ريان أنس سيف</t>
  </si>
  <si>
    <t xml:space="preserve">782267603</t>
  </si>
  <si>
    <t xml:space="preserve">Ziyad Thamer Sultan Bassam</t>
  </si>
  <si>
    <t xml:space="preserve">زياد ثامر سلطان بسام</t>
  </si>
  <si>
    <t xml:space="preserve">819450550</t>
  </si>
  <si>
    <t xml:space="preserve">Ziyad Mohannad Saif Jassim</t>
  </si>
  <si>
    <t xml:space="preserve">زياد مهند سيف جاسم</t>
  </si>
  <si>
    <t xml:space="preserve">856633497</t>
  </si>
  <si>
    <t xml:space="preserve">Mohammed Omar Tamim Hassan</t>
  </si>
  <si>
    <t xml:space="preserve">محمد عمر تميم حسن</t>
  </si>
  <si>
    <t xml:space="preserve">893816444</t>
  </si>
  <si>
    <t xml:space="preserve">Ibrahim Jassim Yousef Saqr</t>
  </si>
  <si>
    <t xml:space="preserve">إبراهيم جاسم يوسف صقر</t>
  </si>
  <si>
    <t xml:space="preserve">930999391</t>
  </si>
  <si>
    <t xml:space="preserve">Abdulmalik Abdulmalik Saif Jihad</t>
  </si>
  <si>
    <t xml:space="preserve">عبدالملك عبدالملك سيف جهاد</t>
  </si>
  <si>
    <t xml:space="preserve">968182338</t>
  </si>
  <si>
    <t xml:space="preserve">Munther Mansour Marwan Waleed</t>
  </si>
  <si>
    <t xml:space="preserve">منذر منصور مروان وليد</t>
  </si>
  <si>
    <t xml:space="preserve">005365285</t>
  </si>
  <si>
    <t xml:space="preserve">Saleh Abdullah Bassam Nawaf</t>
  </si>
  <si>
    <t xml:space="preserve">صالح عبدالله بسام نواف</t>
  </si>
  <si>
    <t xml:space="preserve">042548232</t>
  </si>
  <si>
    <t xml:space="preserve">Khalid Tamim Adnan Nayef</t>
  </si>
  <si>
    <t xml:space="preserve">خالد تميم عدنان نايف</t>
  </si>
  <si>
    <t xml:space="preserve">079731179</t>
  </si>
  <si>
    <t xml:space="preserve">Salman Ayman Ziyad Salem</t>
  </si>
  <si>
    <t xml:space="preserve">سلمان أيمن زياد سالم</t>
  </si>
  <si>
    <t xml:space="preserve">116914126</t>
  </si>
  <si>
    <t xml:space="preserve">Saqr Marwan Rami Jihad</t>
  </si>
  <si>
    <t xml:space="preserve">صقر مروان رامي جهاد</t>
  </si>
  <si>
    <t xml:space="preserve">154097073</t>
  </si>
  <si>
    <t xml:space="preserve">Saud Hazem Faisal Muath</t>
  </si>
  <si>
    <t xml:space="preserve">سعود حازم فيصل معاذ</t>
  </si>
  <si>
    <t xml:space="preserve">191280020</t>
  </si>
  <si>
    <t xml:space="preserve">Hamed Bandar Rayan Saad</t>
  </si>
  <si>
    <t xml:space="preserve">حامد بندر ريان سعد</t>
  </si>
  <si>
    <t xml:space="preserve">228462967</t>
  </si>
  <si>
    <t xml:space="preserve">Tariq Abdulmajid Adnan Hussam</t>
  </si>
  <si>
    <t xml:space="preserve">طارق عبدالمجيد عدنان حسام</t>
  </si>
  <si>
    <t xml:space="preserve">265645914</t>
  </si>
  <si>
    <t xml:space="preserve">Bandar Abdulrahman Mishari Basheer</t>
  </si>
  <si>
    <t xml:space="preserve">بندر عبدالرحمن مشاري بشير</t>
  </si>
  <si>
    <t xml:space="preserve">302828861</t>
  </si>
  <si>
    <t xml:space="preserve">Khalid Abdulaziz Bassam Faris</t>
  </si>
  <si>
    <t xml:space="preserve">خالد عبدالعزيز بسام فارس</t>
  </si>
  <si>
    <t xml:space="preserve">340011808</t>
  </si>
  <si>
    <t xml:space="preserve">Mazen Salman Munther Abdulrahman</t>
  </si>
  <si>
    <t xml:space="preserve">مازن سلمان منذر عبدالرحمن</t>
  </si>
  <si>
    <t xml:space="preserve">377194755</t>
  </si>
  <si>
    <t xml:space="preserve">Sultan Bandar Rakan Abdulrahman</t>
  </si>
  <si>
    <t xml:space="preserve">سلطان بندر راكان عبدالرحمن</t>
  </si>
  <si>
    <t xml:space="preserve">414377702</t>
  </si>
  <si>
    <t xml:space="preserve">Anas Tariq Hassan Rashid</t>
  </si>
  <si>
    <t xml:space="preserve">أنس طارق حسن راشد</t>
  </si>
  <si>
    <t xml:space="preserve">451560649</t>
  </si>
  <si>
    <t xml:space="preserve">Munther Jaber Saqr Yasser</t>
  </si>
  <si>
    <t xml:space="preserve">منذر جابر صقر ياسر</t>
  </si>
  <si>
    <t xml:space="preserve">488743596</t>
  </si>
  <si>
    <t xml:space="preserve">Marzouq Mazen Saqr Abdulmalik</t>
  </si>
  <si>
    <t xml:space="preserve">مرزوق مازن صقر عبدالملك</t>
  </si>
  <si>
    <t xml:space="preserve">525926543</t>
  </si>
  <si>
    <t xml:space="preserve">Name</t>
  </si>
  <si>
    <t xml:space="preserve">Day-1</t>
  </si>
  <si>
    <t xml:space="preserve">Day-2</t>
  </si>
  <si>
    <t xml:space="preserve">Day-3</t>
  </si>
  <si>
    <t xml:space="preserve">Day-4</t>
  </si>
  <si>
    <t xml:space="preserve">Day-5</t>
  </si>
  <si>
    <t xml:space="preserve">Day-6</t>
  </si>
  <si>
    <t xml:space="preserve">Day-7</t>
  </si>
  <si>
    <t xml:space="preserve">Day-8</t>
  </si>
  <si>
    <t xml:space="preserve">Day-9</t>
  </si>
  <si>
    <t xml:space="preserve">Day-10</t>
  </si>
  <si>
    <t xml:space="preserve">Day-11</t>
  </si>
  <si>
    <t xml:space="preserve">Day-12</t>
  </si>
  <si>
    <t xml:space="preserve">Day-13</t>
  </si>
  <si>
    <t xml:space="preserve">Day-14</t>
  </si>
  <si>
    <t xml:space="preserve">Day-15</t>
  </si>
  <si>
    <t xml:space="preserve">Day-16</t>
  </si>
  <si>
    <t xml:space="preserve">Day-17</t>
  </si>
  <si>
    <t xml:space="preserve">Day-18</t>
  </si>
  <si>
    <t xml:space="preserve">Day-19</t>
  </si>
  <si>
    <t xml:space="preserve">Day-20</t>
  </si>
  <si>
    <t xml:space="preserve">Day-21</t>
  </si>
  <si>
    <t xml:space="preserve">Day-22</t>
  </si>
  <si>
    <t xml:space="preserve">Day-23</t>
  </si>
  <si>
    <t xml:space="preserve">Day-24</t>
  </si>
  <si>
    <t xml:space="preserve">Day-25</t>
  </si>
  <si>
    <t xml:space="preserve">Total</t>
  </si>
  <si>
    <t xml:space="preserve">Alanoud Hussam Jassim Faisal</t>
  </si>
  <si>
    <t xml:space="preserve">العنود حسام جاسم فيصل</t>
  </si>
  <si>
    <t xml:space="preserve">636475384</t>
  </si>
  <si>
    <t xml:space="preserve">Reham Muath Mansour Fawaz</t>
  </si>
  <si>
    <t xml:space="preserve">ريهام معاذ منصور فواز</t>
  </si>
  <si>
    <t xml:space="preserve">673658331</t>
  </si>
  <si>
    <t xml:space="preserve">Isra Fawaz Jihad Ayman</t>
  </si>
  <si>
    <t xml:space="preserve">إسراء فواز جهاد أيمن</t>
  </si>
  <si>
    <t xml:space="preserve">710841278</t>
  </si>
  <si>
    <t xml:space="preserve">Tariq Abdullah Sami Abdulaziz</t>
  </si>
  <si>
    <t xml:space="preserve">طارق عبدالله سامي عبدالعزيز</t>
  </si>
  <si>
    <t xml:space="preserve">707841278</t>
  </si>
  <si>
    <t xml:space="preserve">Rami Saqr Mishari Hassan</t>
  </si>
  <si>
    <t xml:space="preserve">رامي صقر مشاري حسن</t>
  </si>
  <si>
    <t xml:space="preserve">745024225</t>
  </si>
  <si>
    <t xml:space="preserve">Nayef Rakan Ayman Ali</t>
  </si>
  <si>
    <t xml:space="preserve">نايف راكان أيمن علي</t>
  </si>
  <si>
    <t xml:space="preserve">784207172</t>
  </si>
  <si>
    <t xml:space="preserve">Salem Faisal Abdulmalik Abdulaziz</t>
  </si>
  <si>
    <t xml:space="preserve">سالم فيصل عبدالملك عبدالعزيز</t>
  </si>
  <si>
    <t xml:space="preserve">821390119</t>
  </si>
  <si>
    <t xml:space="preserve">Badr Bandar Abdulmalik Turki</t>
  </si>
  <si>
    <t xml:space="preserve">بدر بندر عبدالملك تركي</t>
  </si>
  <si>
    <t xml:space="preserve">858573066</t>
  </si>
  <si>
    <t xml:space="preserve">Munther Marwan Salem Salman</t>
  </si>
  <si>
    <t xml:space="preserve">منذر مروان سالم سلمان</t>
  </si>
  <si>
    <t xml:space="preserve">895756013</t>
  </si>
  <si>
    <t xml:space="preserve">Nayef Bassam Hamed Mazen</t>
  </si>
  <si>
    <t xml:space="preserve">نايف بسام حامد مازن</t>
  </si>
  <si>
    <t xml:space="preserve">932938960</t>
  </si>
  <si>
    <t xml:space="preserve">Thamer Ahmed Hussein Adnan</t>
  </si>
  <si>
    <t xml:space="preserve">ثامر أحمد حسين عدنان</t>
  </si>
  <si>
    <t xml:space="preserve">970121907</t>
  </si>
  <si>
    <t xml:space="preserve">Saqr Hassan Badr Hadi</t>
  </si>
  <si>
    <t xml:space="preserve">صقر حسن بدر هادي</t>
  </si>
  <si>
    <t xml:space="preserve">563109490</t>
  </si>
  <si>
    <t xml:space="preserve">Ahmed Mohannad Omar Ziyad</t>
  </si>
  <si>
    <t xml:space="preserve">أحمد مهند عمر زياد</t>
  </si>
  <si>
    <t xml:space="preserve">600292437</t>
  </si>
  <si>
    <t xml:space="preserve">Majed Sami Basheer Yazeed</t>
  </si>
  <si>
    <t xml:space="preserve">ماجد سامي بشير يزيد</t>
  </si>
  <si>
    <t xml:space="preserve">637475384</t>
  </si>
  <si>
    <t xml:space="preserve">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</si>
</sst>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"/>
      <family val="0"/>
      <charset val="1"/>
    </font>
    <font>
      <sz val="10"/>
      <name val="Calibri"/>
      <family val="0"/>
      <charset val="1"/>
    </font>
    <font>
      <sz val="10"/>
      <name val="Lohit Devanaga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theme="9" tint="0.5999"/>
        </patternFill>
      </fill>
    </dxf>
    <dxf>
      <fill>
        <patternFill>
          <bgColor rgb="FFFF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46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1" activeCellId="0" sqref="E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31" min="5" style="0" width="13"/>
    <col collapsed="false" customWidth="true" hidden="false" outlineLevel="0" max="32" min="32" style="0" width="12.57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n">
        <v>45931</v>
      </c>
      <c r="F1" s="2" t="n">
        <v>45936</v>
      </c>
      <c r="G1" s="2" t="n">
        <v>45937</v>
      </c>
      <c r="H1" s="2" t="n">
        <v>45938</v>
      </c>
      <c r="I1" s="2" t="n">
        <v>45943</v>
      </c>
      <c r="J1" s="2" t="n">
        <v>45945</v>
      </c>
      <c r="K1" s="2" t="n">
        <v>45950</v>
      </c>
      <c r="L1" s="2" t="n">
        <v>45952</v>
      </c>
      <c r="M1" s="2" t="n">
        <v>45957</v>
      </c>
      <c r="N1" s="2" t="n">
        <v>45959</v>
      </c>
      <c r="O1" s="2" t="n">
        <v>45964</v>
      </c>
      <c r="P1" s="2" t="n">
        <v>45966</v>
      </c>
      <c r="Q1" s="2" t="n">
        <v>45971</v>
      </c>
      <c r="R1" s="2" t="n">
        <v>45973</v>
      </c>
      <c r="S1" s="2" t="n">
        <v>45992</v>
      </c>
      <c r="T1" s="2" t="n">
        <v>45994</v>
      </c>
      <c r="U1" s="2" t="n">
        <v>45999</v>
      </c>
      <c r="V1" s="2" t="n">
        <v>46001</v>
      </c>
      <c r="W1" s="2" t="n">
        <v>46006</v>
      </c>
      <c r="X1" s="2" t="n">
        <v>46008</v>
      </c>
      <c r="Y1" s="2" t="n">
        <v>46013</v>
      </c>
      <c r="Z1" s="2" t="n">
        <v>46015</v>
      </c>
      <c r="AA1" s="2" t="n">
        <v>46020</v>
      </c>
      <c r="AB1" s="2" t="n">
        <v>46021</v>
      </c>
      <c r="AC1" s="1" t="s">
        <v>4</v>
      </c>
      <c r="AD1" s="1" t="s">
        <v>5</v>
      </c>
      <c r="AE1" s="1" t="s">
        <v>6</v>
      </c>
    </row>
    <row r="2" customFormat="false" ht="21.75" hidden="false" customHeight="true" outlineLevel="0" collapsed="false">
      <c r="A2" s="3" t="n">
        <v>1</v>
      </c>
      <c r="B2" s="3" t="s">
        <v>7</v>
      </c>
      <c r="C2" s="4" t="s">
        <v>8</v>
      </c>
      <c r="D2" s="3" t="s">
        <v>9</v>
      </c>
      <c r="E2" s="5" t="s">
        <v>10</v>
      </c>
      <c r="F2" s="5" t="s">
        <v>10</v>
      </c>
      <c r="G2" s="5" t="s">
        <v>10</v>
      </c>
      <c r="H2" s="5" t="s">
        <v>10</v>
      </c>
      <c r="I2" s="5" t="s">
        <v>10</v>
      </c>
      <c r="J2" s="5" t="s">
        <v>10</v>
      </c>
      <c r="K2" s="5" t="s">
        <v>10</v>
      </c>
      <c r="L2" s="5" t="s">
        <v>10</v>
      </c>
      <c r="M2" s="5" t="s">
        <v>10</v>
      </c>
      <c r="N2" s="5" t="s">
        <v>10</v>
      </c>
      <c r="O2" s="5" t="s">
        <v>10</v>
      </c>
      <c r="P2" s="5" t="s">
        <v>11</v>
      </c>
      <c r="Q2" s="5" t="s">
        <v>10</v>
      </c>
      <c r="R2" s="5" t="s">
        <v>10</v>
      </c>
      <c r="S2" s="5" t="s">
        <v>10</v>
      </c>
      <c r="T2" s="5" t="s">
        <v>10</v>
      </c>
      <c r="U2" s="5" t="s">
        <v>11</v>
      </c>
      <c r="V2" s="5" t="s">
        <v>10</v>
      </c>
      <c r="W2" s="5" t="s">
        <v>10</v>
      </c>
      <c r="X2" s="5" t="s">
        <v>10</v>
      </c>
      <c r="Y2" s="5" t="s">
        <v>10</v>
      </c>
      <c r="Z2" s="5" t="s">
        <v>10</v>
      </c>
      <c r="AA2" s="5" t="s">
        <v>10</v>
      </c>
      <c r="AB2" s="5" t="s">
        <v>10</v>
      </c>
      <c r="AC2" s="5" t="n">
        <f aca="false">COUNTIF(E2:AB2,"Absent")</f>
        <v>2</v>
      </c>
      <c r="AD2" s="3" t="n">
        <f aca="false">COUNTIF(E2:AB2,"Present")</f>
        <v>22</v>
      </c>
      <c r="AE2" s="3" t="n">
        <f aca="false">(AD2*5)+(AC2*-5)</f>
        <v>100</v>
      </c>
    </row>
    <row r="3" customFormat="false" ht="21.75" hidden="false" customHeight="true" outlineLevel="0" collapsed="false">
      <c r="A3" s="3" t="n">
        <v>2</v>
      </c>
      <c r="B3" s="3" t="s">
        <v>12</v>
      </c>
      <c r="C3" s="4" t="s">
        <v>13</v>
      </c>
      <c r="D3" s="3" t="s">
        <v>14</v>
      </c>
      <c r="E3" s="5" t="s">
        <v>10</v>
      </c>
      <c r="F3" s="5" t="s">
        <v>10</v>
      </c>
      <c r="G3" s="5" t="s">
        <v>10</v>
      </c>
      <c r="H3" s="5" t="s">
        <v>10</v>
      </c>
      <c r="I3" s="5" t="s">
        <v>10</v>
      </c>
      <c r="J3" s="5" t="s">
        <v>10</v>
      </c>
      <c r="K3" s="5" t="s">
        <v>10</v>
      </c>
      <c r="L3" s="5" t="s">
        <v>11</v>
      </c>
      <c r="M3" s="5" t="s">
        <v>10</v>
      </c>
      <c r="N3" s="5" t="s">
        <v>10</v>
      </c>
      <c r="O3" s="5" t="s">
        <v>10</v>
      </c>
      <c r="P3" s="5" t="s">
        <v>10</v>
      </c>
      <c r="Q3" s="5" t="s">
        <v>10</v>
      </c>
      <c r="R3" s="5" t="s">
        <v>11</v>
      </c>
      <c r="S3" s="5" t="s">
        <v>10</v>
      </c>
      <c r="T3" s="5" t="s">
        <v>10</v>
      </c>
      <c r="U3" s="5" t="s">
        <v>11</v>
      </c>
      <c r="V3" s="5" t="s">
        <v>10</v>
      </c>
      <c r="W3" s="5" t="s">
        <v>10</v>
      </c>
      <c r="X3" s="5" t="s">
        <v>11</v>
      </c>
      <c r="Y3" s="5" t="s">
        <v>11</v>
      </c>
      <c r="Z3" s="5" t="s">
        <v>10</v>
      </c>
      <c r="AA3" s="5" t="s">
        <v>11</v>
      </c>
      <c r="AB3" s="5" t="s">
        <v>11</v>
      </c>
      <c r="AC3" s="5" t="n">
        <f aca="false">COUNTIF(E3:AB3,"Absent")</f>
        <v>7</v>
      </c>
      <c r="AD3" s="3" t="n">
        <f aca="false">COUNTIF(E3:AB3,"Present")</f>
        <v>17</v>
      </c>
      <c r="AE3" s="3" t="n">
        <f aca="false">(AD3*5)+(AC3*-5)</f>
        <v>50</v>
      </c>
    </row>
    <row r="4" customFormat="false" ht="21.75" hidden="false" customHeight="true" outlineLevel="0" collapsed="false">
      <c r="A4" s="3" t="n">
        <v>3</v>
      </c>
      <c r="B4" s="3" t="s">
        <v>15</v>
      </c>
      <c r="C4" s="4" t="s">
        <v>16</v>
      </c>
      <c r="D4" s="3" t="s">
        <v>17</v>
      </c>
      <c r="E4" s="5" t="s">
        <v>10</v>
      </c>
      <c r="F4" s="5" t="s">
        <v>10</v>
      </c>
      <c r="G4" s="5" t="s">
        <v>11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  <c r="M4" s="5" t="s">
        <v>11</v>
      </c>
      <c r="N4" s="5" t="s">
        <v>10</v>
      </c>
      <c r="O4" s="5" t="s">
        <v>10</v>
      </c>
      <c r="P4" s="5" t="s">
        <v>10</v>
      </c>
      <c r="Q4" s="5" t="s">
        <v>10</v>
      </c>
      <c r="R4" s="5" t="s">
        <v>10</v>
      </c>
      <c r="S4" s="5" t="s">
        <v>10</v>
      </c>
      <c r="T4" s="5" t="s">
        <v>10</v>
      </c>
      <c r="U4" s="5" t="s">
        <v>11</v>
      </c>
      <c r="V4" s="5" t="s">
        <v>10</v>
      </c>
      <c r="W4" s="5" t="s">
        <v>10</v>
      </c>
      <c r="X4" s="5" t="s">
        <v>11</v>
      </c>
      <c r="Y4" s="5" t="s">
        <v>10</v>
      </c>
      <c r="Z4" s="5" t="s">
        <v>10</v>
      </c>
      <c r="AA4" s="5" t="s">
        <v>10</v>
      </c>
      <c r="AB4" s="5" t="s">
        <v>10</v>
      </c>
      <c r="AC4" s="5" t="n">
        <f aca="false">COUNTIF(E4:AB4,"Absent")</f>
        <v>4</v>
      </c>
      <c r="AD4" s="3" t="n">
        <f aca="false">COUNTIF(E4:AB4,"Present")</f>
        <v>20</v>
      </c>
      <c r="AE4" s="3" t="n">
        <f aca="false">(AD4*5)+(AC4*-5)</f>
        <v>80</v>
      </c>
    </row>
    <row r="5" customFormat="false" ht="21.75" hidden="false" customHeight="true" outlineLevel="0" collapsed="false">
      <c r="A5" s="3" t="n">
        <v>4</v>
      </c>
      <c r="B5" s="3" t="s">
        <v>18</v>
      </c>
      <c r="C5" s="4" t="s">
        <v>19</v>
      </c>
      <c r="D5" s="3" t="s">
        <v>20</v>
      </c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11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  <c r="T5" s="5" t="s">
        <v>10</v>
      </c>
      <c r="U5" s="5" t="s">
        <v>10</v>
      </c>
      <c r="V5" s="5" t="s">
        <v>10</v>
      </c>
      <c r="W5" s="5" t="s">
        <v>10</v>
      </c>
      <c r="X5" s="5" t="s">
        <v>11</v>
      </c>
      <c r="Y5" s="5" t="s">
        <v>10</v>
      </c>
      <c r="Z5" s="5" t="s">
        <v>10</v>
      </c>
      <c r="AA5" s="5" t="s">
        <v>10</v>
      </c>
      <c r="AB5" s="5" t="s">
        <v>10</v>
      </c>
      <c r="AC5" s="5" t="n">
        <f aca="false">COUNTIF(E5:AB5,"Absent")</f>
        <v>2</v>
      </c>
      <c r="AD5" s="3" t="n">
        <f aca="false">COUNTIF(E5:AB5,"Present")</f>
        <v>22</v>
      </c>
      <c r="AE5" s="3" t="n">
        <f aca="false">(AD5*5)+(AC5*-5)</f>
        <v>100</v>
      </c>
    </row>
    <row r="6" customFormat="false" ht="21.75" hidden="false" customHeight="true" outlineLevel="0" collapsed="false">
      <c r="A6" s="3" t="n">
        <v>5</v>
      </c>
      <c r="B6" s="3" t="s">
        <v>21</v>
      </c>
      <c r="C6" s="4" t="s">
        <v>22</v>
      </c>
      <c r="D6" s="3" t="s">
        <v>23</v>
      </c>
      <c r="E6" s="5" t="s">
        <v>10</v>
      </c>
      <c r="F6" s="5" t="s">
        <v>10</v>
      </c>
      <c r="G6" s="5" t="s">
        <v>10</v>
      </c>
      <c r="H6" s="5" t="s">
        <v>10</v>
      </c>
      <c r="I6" s="5" t="s">
        <v>11</v>
      </c>
      <c r="J6" s="5" t="s">
        <v>10</v>
      </c>
      <c r="K6" s="5" t="s">
        <v>10</v>
      </c>
      <c r="L6" s="5" t="s">
        <v>10</v>
      </c>
      <c r="M6" s="5" t="s">
        <v>10</v>
      </c>
      <c r="N6" s="5" t="s">
        <v>10</v>
      </c>
      <c r="O6" s="5" t="s">
        <v>10</v>
      </c>
      <c r="P6" s="5" t="s">
        <v>10</v>
      </c>
      <c r="Q6" s="5" t="s">
        <v>11</v>
      </c>
      <c r="R6" s="5" t="s">
        <v>10</v>
      </c>
      <c r="S6" s="5" t="s">
        <v>10</v>
      </c>
      <c r="T6" s="5" t="s">
        <v>10</v>
      </c>
      <c r="U6" s="5" t="s">
        <v>10</v>
      </c>
      <c r="V6" s="5" t="s">
        <v>10</v>
      </c>
      <c r="W6" s="5" t="s">
        <v>11</v>
      </c>
      <c r="X6" s="5" t="s">
        <v>11</v>
      </c>
      <c r="Y6" s="5" t="s">
        <v>11</v>
      </c>
      <c r="Z6" s="5" t="s">
        <v>11</v>
      </c>
      <c r="AA6" s="5" t="s">
        <v>10</v>
      </c>
      <c r="AB6" s="5" t="s">
        <v>11</v>
      </c>
      <c r="AC6" s="5" t="n">
        <f aca="false">COUNTIF(E6:AB6,"Absent")</f>
        <v>7</v>
      </c>
      <c r="AD6" s="3" t="n">
        <f aca="false">COUNTIF(E6:AB6,"Present")</f>
        <v>17</v>
      </c>
      <c r="AE6" s="3" t="n">
        <f aca="false">(AD6*5)+(AC6*-5)</f>
        <v>50</v>
      </c>
    </row>
    <row r="7" customFormat="false" ht="21.75" hidden="false" customHeight="true" outlineLevel="0" collapsed="false">
      <c r="A7" s="3" t="n">
        <v>6</v>
      </c>
      <c r="B7" s="3" t="s">
        <v>24</v>
      </c>
      <c r="C7" s="4" t="s">
        <v>25</v>
      </c>
      <c r="D7" s="3" t="s">
        <v>26</v>
      </c>
      <c r="E7" s="5" t="s">
        <v>10</v>
      </c>
      <c r="F7" s="5" t="s">
        <v>11</v>
      </c>
      <c r="G7" s="5" t="s">
        <v>11</v>
      </c>
      <c r="H7" s="5" t="s">
        <v>10</v>
      </c>
      <c r="I7" s="5" t="s">
        <v>10</v>
      </c>
      <c r="J7" s="5" t="s">
        <v>10</v>
      </c>
      <c r="K7" s="5" t="s">
        <v>10</v>
      </c>
      <c r="L7" s="5" t="s">
        <v>10</v>
      </c>
      <c r="M7" s="5" t="s">
        <v>10</v>
      </c>
      <c r="N7" s="5" t="s">
        <v>11</v>
      </c>
      <c r="O7" s="5" t="s">
        <v>10</v>
      </c>
      <c r="P7" s="5" t="s">
        <v>10</v>
      </c>
      <c r="Q7" s="5" t="s">
        <v>11</v>
      </c>
      <c r="R7" s="5" t="s">
        <v>10</v>
      </c>
      <c r="S7" s="5" t="s">
        <v>10</v>
      </c>
      <c r="T7" s="5" t="s">
        <v>10</v>
      </c>
      <c r="U7" s="5" t="s">
        <v>10</v>
      </c>
      <c r="V7" s="5" t="s">
        <v>11</v>
      </c>
      <c r="W7" s="5" t="s">
        <v>10</v>
      </c>
      <c r="X7" s="5" t="s">
        <v>10</v>
      </c>
      <c r="Y7" s="5" t="s">
        <v>10</v>
      </c>
      <c r="Z7" s="5" t="s">
        <v>10</v>
      </c>
      <c r="AA7" s="5" t="s">
        <v>11</v>
      </c>
      <c r="AB7" s="5" t="s">
        <v>10</v>
      </c>
      <c r="AC7" s="5" t="n">
        <f aca="false">COUNTIF(E7:AB7,"Absent")</f>
        <v>6</v>
      </c>
      <c r="AD7" s="3" t="n">
        <f aca="false">COUNTIF(E7:AB7,"Present")</f>
        <v>18</v>
      </c>
      <c r="AE7" s="3" t="n">
        <f aca="false">(AD7*5)+(AC7*-5)</f>
        <v>60</v>
      </c>
    </row>
    <row r="8" customFormat="false" ht="21.75" hidden="false" customHeight="true" outlineLevel="0" collapsed="false">
      <c r="A8" s="3" t="n">
        <v>7</v>
      </c>
      <c r="B8" s="3" t="s">
        <v>27</v>
      </c>
      <c r="C8" s="4" t="s">
        <v>28</v>
      </c>
      <c r="D8" s="3" t="s">
        <v>29</v>
      </c>
      <c r="E8" s="5" t="s">
        <v>10</v>
      </c>
      <c r="F8" s="5" t="s">
        <v>10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10</v>
      </c>
      <c r="L8" s="5" t="s">
        <v>10</v>
      </c>
      <c r="M8" s="5" t="s">
        <v>10</v>
      </c>
      <c r="N8" s="5" t="s">
        <v>10</v>
      </c>
      <c r="O8" s="5" t="s">
        <v>11</v>
      </c>
      <c r="P8" s="5" t="s">
        <v>11</v>
      </c>
      <c r="Q8" s="5" t="s">
        <v>10</v>
      </c>
      <c r="R8" s="5" t="s">
        <v>10</v>
      </c>
      <c r="S8" s="5" t="s">
        <v>11</v>
      </c>
      <c r="T8" s="5" t="s">
        <v>10</v>
      </c>
      <c r="U8" s="5" t="s">
        <v>10</v>
      </c>
      <c r="V8" s="5" t="s">
        <v>10</v>
      </c>
      <c r="W8" s="5" t="s">
        <v>11</v>
      </c>
      <c r="X8" s="5" t="s">
        <v>10</v>
      </c>
      <c r="Y8" s="5" t="s">
        <v>10</v>
      </c>
      <c r="Z8" s="5" t="s">
        <v>10</v>
      </c>
      <c r="AA8" s="5" t="s">
        <v>11</v>
      </c>
      <c r="AB8" s="5" t="s">
        <v>11</v>
      </c>
      <c r="AC8" s="5" t="n">
        <f aca="false">COUNTIF(E8:AB8,"Absent")</f>
        <v>6</v>
      </c>
      <c r="AD8" s="3" t="n">
        <f aca="false">COUNTIF(E8:AB8,"Present")</f>
        <v>18</v>
      </c>
      <c r="AE8" s="3" t="n">
        <f aca="false">(AD8*5)+(AC8*-5)</f>
        <v>60</v>
      </c>
    </row>
    <row r="9" customFormat="false" ht="21.75" hidden="false" customHeight="true" outlineLevel="0" collapsed="false">
      <c r="A9" s="3" t="n">
        <v>8</v>
      </c>
      <c r="B9" s="3" t="s">
        <v>30</v>
      </c>
      <c r="C9" s="4" t="s">
        <v>31</v>
      </c>
      <c r="D9" s="3" t="s">
        <v>32</v>
      </c>
      <c r="E9" s="5" t="s">
        <v>10</v>
      </c>
      <c r="F9" s="5" t="s">
        <v>10</v>
      </c>
      <c r="G9" s="5" t="s">
        <v>10</v>
      </c>
      <c r="H9" s="5" t="s">
        <v>10</v>
      </c>
      <c r="I9" s="5" t="s">
        <v>10</v>
      </c>
      <c r="J9" s="5" t="s">
        <v>10</v>
      </c>
      <c r="K9" s="5" t="s">
        <v>10</v>
      </c>
      <c r="L9" s="5" t="s">
        <v>10</v>
      </c>
      <c r="M9" s="5" t="s">
        <v>10</v>
      </c>
      <c r="N9" s="5" t="s">
        <v>10</v>
      </c>
      <c r="O9" s="5" t="s">
        <v>10</v>
      </c>
      <c r="P9" s="5" t="s">
        <v>10</v>
      </c>
      <c r="Q9" s="5" t="s">
        <v>10</v>
      </c>
      <c r="R9" s="5" t="s">
        <v>10</v>
      </c>
      <c r="S9" s="5" t="s">
        <v>10</v>
      </c>
      <c r="T9" s="5" t="s">
        <v>10</v>
      </c>
      <c r="U9" s="5" t="s">
        <v>11</v>
      </c>
      <c r="V9" s="5" t="s">
        <v>10</v>
      </c>
      <c r="W9" s="5" t="s">
        <v>10</v>
      </c>
      <c r="X9" s="5" t="s">
        <v>10</v>
      </c>
      <c r="Y9" s="5" t="s">
        <v>10</v>
      </c>
      <c r="Z9" s="5" t="s">
        <v>11</v>
      </c>
      <c r="AA9" s="5" t="s">
        <v>33</v>
      </c>
      <c r="AB9" s="5" t="s">
        <v>10</v>
      </c>
      <c r="AC9" s="5" t="n">
        <f aca="false">COUNTIF(E9:AB9,"Absent")</f>
        <v>2</v>
      </c>
      <c r="AD9" s="3" t="n">
        <f aca="false">COUNTIF(E9:AB9,"Present")</f>
        <v>21</v>
      </c>
      <c r="AE9" s="3" t="n">
        <f aca="false">(AD9*5)+(AC9*-5)</f>
        <v>95</v>
      </c>
    </row>
    <row r="10" customFormat="false" ht="21.75" hidden="false" customHeight="true" outlineLevel="0" collapsed="false">
      <c r="A10" s="3" t="n">
        <v>9</v>
      </c>
      <c r="B10" s="3" t="s">
        <v>34</v>
      </c>
      <c r="C10" s="4" t="s">
        <v>35</v>
      </c>
      <c r="D10" s="3" t="s">
        <v>36</v>
      </c>
      <c r="E10" s="5" t="s">
        <v>10</v>
      </c>
      <c r="F10" s="5" t="s">
        <v>10</v>
      </c>
      <c r="G10" s="5" t="s">
        <v>11</v>
      </c>
      <c r="H10" s="5" t="s">
        <v>10</v>
      </c>
      <c r="I10" s="5" t="s">
        <v>10</v>
      </c>
      <c r="J10" s="5" t="s">
        <v>33</v>
      </c>
      <c r="K10" s="5" t="s">
        <v>10</v>
      </c>
      <c r="L10" s="5" t="s">
        <v>10</v>
      </c>
      <c r="M10" s="5" t="s">
        <v>10</v>
      </c>
      <c r="N10" s="5" t="s">
        <v>10</v>
      </c>
      <c r="O10" s="5" t="s">
        <v>11</v>
      </c>
      <c r="P10" s="5" t="s">
        <v>11</v>
      </c>
      <c r="Q10" s="5" t="s">
        <v>10</v>
      </c>
      <c r="R10" s="5" t="s">
        <v>10</v>
      </c>
      <c r="S10" s="5" t="s">
        <v>11</v>
      </c>
      <c r="T10" s="5" t="s">
        <v>10</v>
      </c>
      <c r="U10" s="5" t="s">
        <v>10</v>
      </c>
      <c r="V10" s="5" t="s">
        <v>10</v>
      </c>
      <c r="W10" s="5" t="s">
        <v>10</v>
      </c>
      <c r="X10" s="5" t="s">
        <v>10</v>
      </c>
      <c r="Y10" s="5" t="s">
        <v>11</v>
      </c>
      <c r="Z10" s="5" t="s">
        <v>10</v>
      </c>
      <c r="AA10" s="5" t="s">
        <v>11</v>
      </c>
      <c r="AB10" s="5" t="s">
        <v>10</v>
      </c>
      <c r="AC10" s="5" t="n">
        <f aca="false">COUNTIF(E10:AB10,"Absent")</f>
        <v>6</v>
      </c>
      <c r="AD10" s="3" t="n">
        <f aca="false">COUNTIF(E10:AB10,"Present")</f>
        <v>17</v>
      </c>
      <c r="AE10" s="3" t="n">
        <f aca="false">(AD10*5)+(AC10*-5)</f>
        <v>55</v>
      </c>
    </row>
    <row r="11" customFormat="false" ht="21.75" hidden="false" customHeight="true" outlineLevel="0" collapsed="false">
      <c r="A11" s="3" t="n">
        <v>10</v>
      </c>
      <c r="B11" s="3" t="s">
        <v>37</v>
      </c>
      <c r="C11" s="4" t="s">
        <v>38</v>
      </c>
      <c r="D11" s="3" t="s">
        <v>39</v>
      </c>
      <c r="E11" s="5" t="s">
        <v>10</v>
      </c>
      <c r="F11" s="5" t="s">
        <v>10</v>
      </c>
      <c r="G11" s="5" t="s">
        <v>10</v>
      </c>
      <c r="H11" s="5" t="s">
        <v>10</v>
      </c>
      <c r="I11" s="5" t="s">
        <v>10</v>
      </c>
      <c r="J11" s="5" t="s">
        <v>10</v>
      </c>
      <c r="K11" s="5" t="s">
        <v>10</v>
      </c>
      <c r="L11" s="5" t="s">
        <v>10</v>
      </c>
      <c r="M11" s="5" t="s">
        <v>10</v>
      </c>
      <c r="N11" s="5" t="s">
        <v>10</v>
      </c>
      <c r="O11" s="5" t="s">
        <v>10</v>
      </c>
      <c r="P11" s="5" t="s">
        <v>10</v>
      </c>
      <c r="Q11" s="5" t="s">
        <v>10</v>
      </c>
      <c r="R11" s="5" t="s">
        <v>10</v>
      </c>
      <c r="S11" s="5" t="s">
        <v>11</v>
      </c>
      <c r="T11" s="5" t="s">
        <v>10</v>
      </c>
      <c r="U11" s="5" t="s">
        <v>10</v>
      </c>
      <c r="V11" s="5" t="s">
        <v>11</v>
      </c>
      <c r="W11" s="5" t="s">
        <v>11</v>
      </c>
      <c r="X11" s="5" t="s">
        <v>11</v>
      </c>
      <c r="Y11" s="5" t="s">
        <v>11</v>
      </c>
      <c r="Z11" s="5" t="s">
        <v>10</v>
      </c>
      <c r="AA11" s="5" t="s">
        <v>10</v>
      </c>
      <c r="AB11" s="5" t="s">
        <v>10</v>
      </c>
      <c r="AC11" s="5" t="n">
        <f aca="false">COUNTIF(E11:AB11,"Absent")</f>
        <v>5</v>
      </c>
      <c r="AD11" s="3" t="n">
        <f aca="false">COUNTIF(E11:AB11,"Present")</f>
        <v>19</v>
      </c>
      <c r="AE11" s="3" t="n">
        <f aca="false">(AD11*5)+(AC11*-5)</f>
        <v>70</v>
      </c>
    </row>
    <row r="12" customFormat="false" ht="21.75" hidden="false" customHeight="true" outlineLevel="0" collapsed="false">
      <c r="A12" s="3" t="n">
        <v>11</v>
      </c>
      <c r="B12" s="3" t="s">
        <v>40</v>
      </c>
      <c r="C12" s="4" t="s">
        <v>41</v>
      </c>
      <c r="D12" s="3" t="s">
        <v>42</v>
      </c>
      <c r="E12" s="5" t="s">
        <v>10</v>
      </c>
      <c r="F12" s="5" t="s">
        <v>10</v>
      </c>
      <c r="G12" s="5" t="s">
        <v>10</v>
      </c>
      <c r="H12" s="5" t="s">
        <v>10</v>
      </c>
      <c r="I12" s="5" t="s">
        <v>10</v>
      </c>
      <c r="J12" s="5" t="s">
        <v>10</v>
      </c>
      <c r="K12" s="5" t="s">
        <v>10</v>
      </c>
      <c r="L12" s="5" t="s">
        <v>10</v>
      </c>
      <c r="M12" s="5" t="s">
        <v>10</v>
      </c>
      <c r="N12" s="5" t="s">
        <v>10</v>
      </c>
      <c r="O12" s="5" t="s">
        <v>10</v>
      </c>
      <c r="P12" s="5" t="s">
        <v>10</v>
      </c>
      <c r="Q12" s="5" t="s">
        <v>10</v>
      </c>
      <c r="R12" s="5" t="s">
        <v>10</v>
      </c>
      <c r="S12" s="5" t="s">
        <v>10</v>
      </c>
      <c r="T12" s="5" t="s">
        <v>10</v>
      </c>
      <c r="U12" s="5" t="s">
        <v>11</v>
      </c>
      <c r="V12" s="5" t="s">
        <v>10</v>
      </c>
      <c r="W12" s="5" t="s">
        <v>10</v>
      </c>
      <c r="X12" s="5" t="s">
        <v>33</v>
      </c>
      <c r="Y12" s="5" t="s">
        <v>10</v>
      </c>
      <c r="Z12" s="5" t="s">
        <v>10</v>
      </c>
      <c r="AA12" s="5" t="s">
        <v>10</v>
      </c>
      <c r="AB12" s="5" t="s">
        <v>11</v>
      </c>
      <c r="AC12" s="5" t="n">
        <f aca="false">COUNTIF(E12:AB12,"Absent")</f>
        <v>2</v>
      </c>
      <c r="AD12" s="3" t="n">
        <f aca="false">COUNTIF(E12:AB12,"Present")</f>
        <v>21</v>
      </c>
      <c r="AE12" s="3" t="n">
        <f aca="false">(AD12*5)+(AC12*-5)</f>
        <v>95</v>
      </c>
    </row>
    <row r="13" customFormat="false" ht="21.75" hidden="false" customHeight="true" outlineLevel="0" collapsed="false">
      <c r="A13" s="3" t="n">
        <v>12</v>
      </c>
      <c r="B13" s="3" t="s">
        <v>43</v>
      </c>
      <c r="C13" s="4" t="s">
        <v>44</v>
      </c>
      <c r="D13" s="3" t="s">
        <v>45</v>
      </c>
      <c r="E13" s="5" t="s">
        <v>10</v>
      </c>
      <c r="F13" s="5" t="s">
        <v>10</v>
      </c>
      <c r="G13" s="5" t="s">
        <v>10</v>
      </c>
      <c r="H13" s="5" t="s">
        <v>10</v>
      </c>
      <c r="I13" s="5" t="s">
        <v>10</v>
      </c>
      <c r="J13" s="5" t="s">
        <v>11</v>
      </c>
      <c r="K13" s="5" t="s">
        <v>10</v>
      </c>
      <c r="L13" s="5" t="s">
        <v>11</v>
      </c>
      <c r="M13" s="5" t="s">
        <v>10</v>
      </c>
      <c r="N13" s="5" t="s">
        <v>10</v>
      </c>
      <c r="O13" s="5" t="s">
        <v>11</v>
      </c>
      <c r="P13" s="5" t="s">
        <v>11</v>
      </c>
      <c r="Q13" s="5" t="s">
        <v>10</v>
      </c>
      <c r="R13" s="5" t="s">
        <v>10</v>
      </c>
      <c r="S13" s="5" t="s">
        <v>10</v>
      </c>
      <c r="T13" s="5" t="s">
        <v>10</v>
      </c>
      <c r="U13" s="5" t="s">
        <v>10</v>
      </c>
      <c r="V13" s="5" t="s">
        <v>11</v>
      </c>
      <c r="W13" s="5" t="s">
        <v>10</v>
      </c>
      <c r="X13" s="5" t="s">
        <v>10</v>
      </c>
      <c r="Y13" s="5" t="s">
        <v>10</v>
      </c>
      <c r="Z13" s="5" t="s">
        <v>10</v>
      </c>
      <c r="AA13" s="5" t="s">
        <v>10</v>
      </c>
      <c r="AB13" s="5" t="s">
        <v>33</v>
      </c>
      <c r="AC13" s="5" t="n">
        <f aca="false">COUNTIF(E13:AB13,"Absent")</f>
        <v>5</v>
      </c>
      <c r="AD13" s="3" t="n">
        <f aca="false">COUNTIF(E13:AB13,"Present")</f>
        <v>18</v>
      </c>
      <c r="AE13" s="3" t="n">
        <f aca="false">(AD13*5)+(AC13*-5)</f>
        <v>65</v>
      </c>
    </row>
    <row r="14" customFormat="false" ht="21.75" hidden="false" customHeight="true" outlineLevel="0" collapsed="false">
      <c r="A14" s="3" t="n">
        <v>13</v>
      </c>
      <c r="B14" s="3" t="s">
        <v>46</v>
      </c>
      <c r="C14" s="4" t="s">
        <v>47</v>
      </c>
      <c r="D14" s="3" t="s">
        <v>48</v>
      </c>
      <c r="E14" s="5" t="s">
        <v>10</v>
      </c>
      <c r="F14" s="5" t="s">
        <v>10</v>
      </c>
      <c r="G14" s="5" t="s">
        <v>11</v>
      </c>
      <c r="H14" s="5" t="s">
        <v>10</v>
      </c>
      <c r="I14" s="5" t="s">
        <v>11</v>
      </c>
      <c r="J14" s="5" t="s">
        <v>10</v>
      </c>
      <c r="K14" s="5" t="s">
        <v>10</v>
      </c>
      <c r="L14" s="5" t="s">
        <v>10</v>
      </c>
      <c r="M14" s="5" t="s">
        <v>10</v>
      </c>
      <c r="N14" s="5" t="s">
        <v>10</v>
      </c>
      <c r="O14" s="5" t="s">
        <v>10</v>
      </c>
      <c r="P14" s="5" t="s">
        <v>10</v>
      </c>
      <c r="Q14" s="5" t="s">
        <v>10</v>
      </c>
      <c r="R14" s="5" t="s">
        <v>11</v>
      </c>
      <c r="S14" s="5" t="s">
        <v>10</v>
      </c>
      <c r="T14" s="5" t="s">
        <v>11</v>
      </c>
      <c r="U14" s="5" t="s">
        <v>10</v>
      </c>
      <c r="V14" s="5" t="s">
        <v>10</v>
      </c>
      <c r="W14" s="5" t="s">
        <v>11</v>
      </c>
      <c r="X14" s="5" t="s">
        <v>10</v>
      </c>
      <c r="Y14" s="5" t="s">
        <v>33</v>
      </c>
      <c r="Z14" s="5" t="s">
        <v>10</v>
      </c>
      <c r="AA14" s="5" t="s">
        <v>11</v>
      </c>
      <c r="AB14" s="5" t="s">
        <v>11</v>
      </c>
      <c r="AC14" s="5" t="n">
        <f aca="false">COUNTIF(E14:AB14,"Absent")</f>
        <v>7</v>
      </c>
      <c r="AD14" s="3" t="n">
        <f aca="false">COUNTIF(E14:AB14,"Present")</f>
        <v>16</v>
      </c>
      <c r="AE14" s="3" t="n">
        <f aca="false">(AD14*5)+(AC14*-5)</f>
        <v>45</v>
      </c>
    </row>
    <row r="15" customFormat="false" ht="21.75" hidden="false" customHeight="true" outlineLevel="0" collapsed="false">
      <c r="A15" s="3" t="n">
        <v>14</v>
      </c>
      <c r="B15" s="3" t="s">
        <v>49</v>
      </c>
      <c r="C15" s="4" t="s">
        <v>50</v>
      </c>
      <c r="D15" s="3" t="s">
        <v>51</v>
      </c>
      <c r="E15" s="5" t="s">
        <v>10</v>
      </c>
      <c r="F15" s="5" t="s">
        <v>10</v>
      </c>
      <c r="G15" s="5" t="s">
        <v>10</v>
      </c>
      <c r="H15" s="5" t="s">
        <v>10</v>
      </c>
      <c r="I15" s="5" t="s">
        <v>10</v>
      </c>
      <c r="J15" s="5" t="s">
        <v>10</v>
      </c>
      <c r="K15" s="5" t="s">
        <v>11</v>
      </c>
      <c r="L15" s="5" t="s">
        <v>10</v>
      </c>
      <c r="M15" s="5" t="s">
        <v>10</v>
      </c>
      <c r="N15" s="5" t="s">
        <v>10</v>
      </c>
      <c r="O15" s="5" t="s">
        <v>10</v>
      </c>
      <c r="P15" s="5" t="s">
        <v>10</v>
      </c>
      <c r="Q15" s="5" t="s">
        <v>11</v>
      </c>
      <c r="R15" s="5" t="s">
        <v>10</v>
      </c>
      <c r="S15" s="5" t="s">
        <v>11</v>
      </c>
      <c r="T15" s="5" t="s">
        <v>10</v>
      </c>
      <c r="U15" s="5" t="s">
        <v>10</v>
      </c>
      <c r="V15" s="5" t="s">
        <v>10</v>
      </c>
      <c r="W15" s="5" t="s">
        <v>11</v>
      </c>
      <c r="X15" s="5" t="s">
        <v>10</v>
      </c>
      <c r="Y15" s="5" t="s">
        <v>11</v>
      </c>
      <c r="Z15" s="5" t="s">
        <v>10</v>
      </c>
      <c r="AA15" s="5" t="s">
        <v>10</v>
      </c>
      <c r="AB15" s="5" t="s">
        <v>10</v>
      </c>
      <c r="AC15" s="5" t="n">
        <f aca="false">COUNTIF(E15:AB15,"Absent")</f>
        <v>5</v>
      </c>
      <c r="AD15" s="3" t="n">
        <f aca="false">COUNTIF(E15:AB15,"Present")</f>
        <v>19</v>
      </c>
      <c r="AE15" s="3" t="n">
        <f aca="false">(AD15*5)+(AC15*-5)</f>
        <v>70</v>
      </c>
    </row>
    <row r="16" customFormat="false" ht="21.75" hidden="false" customHeight="true" outlineLevel="0" collapsed="false">
      <c r="A16" s="3" t="n">
        <v>15</v>
      </c>
      <c r="B16" s="3" t="s">
        <v>52</v>
      </c>
      <c r="C16" s="4" t="s">
        <v>53</v>
      </c>
      <c r="D16" s="3" t="s">
        <v>54</v>
      </c>
      <c r="E16" s="5" t="s">
        <v>33</v>
      </c>
      <c r="F16" s="5" t="s">
        <v>10</v>
      </c>
      <c r="G16" s="5" t="s">
        <v>11</v>
      </c>
      <c r="H16" s="5" t="s">
        <v>10</v>
      </c>
      <c r="I16" s="5" t="s">
        <v>11</v>
      </c>
      <c r="J16" s="5" t="s">
        <v>33</v>
      </c>
      <c r="K16" s="5" t="s">
        <v>10</v>
      </c>
      <c r="L16" s="5" t="s">
        <v>10</v>
      </c>
      <c r="M16" s="5" t="s">
        <v>10</v>
      </c>
      <c r="N16" s="5" t="s">
        <v>10</v>
      </c>
      <c r="O16" s="5" t="s">
        <v>10</v>
      </c>
      <c r="P16" s="5" t="s">
        <v>10</v>
      </c>
      <c r="Q16" s="5" t="s">
        <v>11</v>
      </c>
      <c r="R16" s="5" t="s">
        <v>10</v>
      </c>
      <c r="S16" s="5" t="s">
        <v>11</v>
      </c>
      <c r="T16" s="5" t="s">
        <v>10</v>
      </c>
      <c r="U16" s="5" t="s">
        <v>10</v>
      </c>
      <c r="V16" s="5" t="s">
        <v>10</v>
      </c>
      <c r="W16" s="5" t="s">
        <v>10</v>
      </c>
      <c r="X16" s="5" t="s">
        <v>33</v>
      </c>
      <c r="Y16" s="5" t="s">
        <v>10</v>
      </c>
      <c r="Z16" s="5" t="s">
        <v>10</v>
      </c>
      <c r="AA16" s="5" t="s">
        <v>10</v>
      </c>
      <c r="AB16" s="5" t="s">
        <v>10</v>
      </c>
      <c r="AC16" s="5" t="n">
        <f aca="false">COUNTIF(E16:AB16,"Absent")</f>
        <v>4</v>
      </c>
      <c r="AD16" s="3" t="n">
        <f aca="false">COUNTIF(E16:AB16,"Present")</f>
        <v>17</v>
      </c>
      <c r="AE16" s="3" t="n">
        <f aca="false">(AD16*5)+(AC16*-5)</f>
        <v>65</v>
      </c>
    </row>
    <row r="17" customFormat="false" ht="21.75" hidden="false" customHeight="true" outlineLevel="0" collapsed="false">
      <c r="A17" s="3" t="n">
        <v>16</v>
      </c>
      <c r="B17" s="3" t="s">
        <v>55</v>
      </c>
      <c r="C17" s="4" t="s">
        <v>56</v>
      </c>
      <c r="D17" s="3" t="s">
        <v>57</v>
      </c>
      <c r="E17" s="5" t="s">
        <v>10</v>
      </c>
      <c r="F17" s="5" t="s">
        <v>10</v>
      </c>
      <c r="G17" s="5" t="s">
        <v>10</v>
      </c>
      <c r="H17" s="5" t="s">
        <v>10</v>
      </c>
      <c r="I17" s="5" t="s">
        <v>11</v>
      </c>
      <c r="J17" s="5" t="s">
        <v>10</v>
      </c>
      <c r="K17" s="5" t="s">
        <v>10</v>
      </c>
      <c r="L17" s="5" t="s">
        <v>10</v>
      </c>
      <c r="M17" s="5" t="s">
        <v>10</v>
      </c>
      <c r="N17" s="5" t="s">
        <v>10</v>
      </c>
      <c r="O17" s="5" t="s">
        <v>10</v>
      </c>
      <c r="P17" s="5" t="s">
        <v>10</v>
      </c>
      <c r="Q17" s="5" t="s">
        <v>10</v>
      </c>
      <c r="R17" s="5" t="s">
        <v>10</v>
      </c>
      <c r="S17" s="5" t="s">
        <v>11</v>
      </c>
      <c r="T17" s="5" t="s">
        <v>11</v>
      </c>
      <c r="U17" s="5" t="s">
        <v>10</v>
      </c>
      <c r="V17" s="5" t="s">
        <v>11</v>
      </c>
      <c r="W17" s="5" t="s">
        <v>10</v>
      </c>
      <c r="X17" s="5" t="s">
        <v>10</v>
      </c>
      <c r="Y17" s="5" t="s">
        <v>10</v>
      </c>
      <c r="Z17" s="5" t="s">
        <v>10</v>
      </c>
      <c r="AA17" s="5" t="s">
        <v>10</v>
      </c>
      <c r="AB17" s="5" t="s">
        <v>10</v>
      </c>
      <c r="AC17" s="5" t="n">
        <f aca="false">COUNTIF(E17:AB17,"Absent")</f>
        <v>4</v>
      </c>
      <c r="AD17" s="3" t="n">
        <f aca="false">COUNTIF(E17:AB17,"Present")</f>
        <v>20</v>
      </c>
      <c r="AE17" s="3" t="n">
        <f aca="false">(AD17*5)+(AC17*-5)</f>
        <v>80</v>
      </c>
    </row>
    <row r="18" customFormat="false" ht="21.75" hidden="false" customHeight="true" outlineLevel="0" collapsed="false">
      <c r="A18" s="3" t="n">
        <v>17</v>
      </c>
      <c r="B18" s="3" t="s">
        <v>58</v>
      </c>
      <c r="C18" s="4" t="s">
        <v>59</v>
      </c>
      <c r="D18" s="3" t="s">
        <v>60</v>
      </c>
      <c r="E18" s="5" t="s">
        <v>10</v>
      </c>
      <c r="F18" s="5" t="s">
        <v>10</v>
      </c>
      <c r="G18" s="5" t="s">
        <v>10</v>
      </c>
      <c r="H18" s="5" t="s">
        <v>10</v>
      </c>
      <c r="I18" s="5" t="s">
        <v>10</v>
      </c>
      <c r="J18" s="5" t="s">
        <v>10</v>
      </c>
      <c r="K18" s="5" t="s">
        <v>10</v>
      </c>
      <c r="L18" s="5" t="s">
        <v>10</v>
      </c>
      <c r="M18" s="5" t="s">
        <v>10</v>
      </c>
      <c r="N18" s="5" t="s">
        <v>10</v>
      </c>
      <c r="O18" s="5" t="s">
        <v>11</v>
      </c>
      <c r="P18" s="5" t="s">
        <v>11</v>
      </c>
      <c r="Q18" s="5" t="s">
        <v>10</v>
      </c>
      <c r="R18" s="5" t="s">
        <v>10</v>
      </c>
      <c r="S18" s="5" t="s">
        <v>11</v>
      </c>
      <c r="T18" s="5" t="s">
        <v>11</v>
      </c>
      <c r="U18" s="5" t="s">
        <v>10</v>
      </c>
      <c r="V18" s="5" t="s">
        <v>10</v>
      </c>
      <c r="W18" s="5" t="s">
        <v>11</v>
      </c>
      <c r="X18" s="5" t="s">
        <v>11</v>
      </c>
      <c r="Y18" s="5" t="s">
        <v>10</v>
      </c>
      <c r="Z18" s="5" t="s">
        <v>10</v>
      </c>
      <c r="AA18" s="5" t="s">
        <v>10</v>
      </c>
      <c r="AB18" s="5" t="s">
        <v>10</v>
      </c>
      <c r="AC18" s="5" t="n">
        <f aca="false">COUNTIF(E18:AB18,"Absent")</f>
        <v>6</v>
      </c>
      <c r="AD18" s="3" t="n">
        <f aca="false">COUNTIF(E18:AB18,"Present")</f>
        <v>18</v>
      </c>
      <c r="AE18" s="3" t="n">
        <f aca="false">(AD18*5)+(AC18*-5)</f>
        <v>60</v>
      </c>
    </row>
    <row r="19" customFormat="false" ht="21.75" hidden="false" customHeight="true" outlineLevel="0" collapsed="false">
      <c r="A19" s="3" t="n">
        <v>18</v>
      </c>
      <c r="B19" s="3" t="s">
        <v>61</v>
      </c>
      <c r="C19" s="4" t="s">
        <v>62</v>
      </c>
      <c r="D19" s="3" t="s">
        <v>63</v>
      </c>
      <c r="E19" s="5" t="s">
        <v>10</v>
      </c>
      <c r="F19" s="5" t="s">
        <v>10</v>
      </c>
      <c r="G19" s="5" t="s">
        <v>11</v>
      </c>
      <c r="H19" s="5" t="s">
        <v>10</v>
      </c>
      <c r="I19" s="5" t="s">
        <v>10</v>
      </c>
      <c r="J19" s="5" t="s">
        <v>10</v>
      </c>
      <c r="K19" s="5" t="s">
        <v>10</v>
      </c>
      <c r="L19" s="5" t="s">
        <v>10</v>
      </c>
      <c r="M19" s="5" t="s">
        <v>10</v>
      </c>
      <c r="N19" s="5" t="s">
        <v>10</v>
      </c>
      <c r="O19" s="5" t="s">
        <v>10</v>
      </c>
      <c r="P19" s="5" t="s">
        <v>10</v>
      </c>
      <c r="Q19" s="5" t="s">
        <v>10</v>
      </c>
      <c r="R19" s="5" t="s">
        <v>10</v>
      </c>
      <c r="S19" s="5" t="s">
        <v>10</v>
      </c>
      <c r="T19" s="5" t="s">
        <v>10</v>
      </c>
      <c r="U19" s="5" t="s">
        <v>11</v>
      </c>
      <c r="V19" s="5" t="s">
        <v>10</v>
      </c>
      <c r="W19" s="5" t="s">
        <v>11</v>
      </c>
      <c r="X19" s="5" t="s">
        <v>10</v>
      </c>
      <c r="Y19" s="5" t="s">
        <v>10</v>
      </c>
      <c r="Z19" s="5" t="s">
        <v>10</v>
      </c>
      <c r="AA19" s="5" t="s">
        <v>10</v>
      </c>
      <c r="AB19" s="5" t="s">
        <v>10</v>
      </c>
      <c r="AC19" s="5" t="n">
        <f aca="false">COUNTIF(E19:AB19,"Absent")</f>
        <v>3</v>
      </c>
      <c r="AD19" s="3" t="n">
        <f aca="false">COUNTIF(E19:AB19,"Present")</f>
        <v>21</v>
      </c>
      <c r="AE19" s="3" t="n">
        <f aca="false">(AD19*5)+(AC19*-5)</f>
        <v>90</v>
      </c>
    </row>
    <row r="20" customFormat="false" ht="21.75" hidden="false" customHeight="true" outlineLevel="0" collapsed="false">
      <c r="A20" s="3" t="n">
        <v>19</v>
      </c>
      <c r="B20" s="3" t="s">
        <v>64</v>
      </c>
      <c r="C20" s="4" t="s">
        <v>65</v>
      </c>
      <c r="D20" s="3" t="s">
        <v>66</v>
      </c>
      <c r="E20" s="5" t="s">
        <v>10</v>
      </c>
      <c r="F20" s="5" t="s">
        <v>10</v>
      </c>
      <c r="G20" s="5" t="s">
        <v>10</v>
      </c>
      <c r="H20" s="5" t="s">
        <v>11</v>
      </c>
      <c r="I20" s="5" t="s">
        <v>10</v>
      </c>
      <c r="J20" s="5" t="s">
        <v>10</v>
      </c>
      <c r="K20" s="5" t="s">
        <v>10</v>
      </c>
      <c r="L20" s="5" t="s">
        <v>10</v>
      </c>
      <c r="M20" s="5" t="s">
        <v>11</v>
      </c>
      <c r="N20" s="5" t="s">
        <v>11</v>
      </c>
      <c r="O20" s="5" t="s">
        <v>10</v>
      </c>
      <c r="P20" s="5" t="s">
        <v>11</v>
      </c>
      <c r="Q20" s="5" t="s">
        <v>10</v>
      </c>
      <c r="R20" s="5" t="s">
        <v>11</v>
      </c>
      <c r="S20" s="5" t="s">
        <v>11</v>
      </c>
      <c r="T20" s="5" t="s">
        <v>11</v>
      </c>
      <c r="U20" s="5" t="s">
        <v>10</v>
      </c>
      <c r="V20" s="5" t="s">
        <v>10</v>
      </c>
      <c r="W20" s="5" t="s">
        <v>11</v>
      </c>
      <c r="X20" s="5" t="s">
        <v>11</v>
      </c>
      <c r="Y20" s="5" t="s">
        <v>10</v>
      </c>
      <c r="Z20" s="5" t="s">
        <v>10</v>
      </c>
      <c r="AA20" s="5" t="s">
        <v>10</v>
      </c>
      <c r="AB20" s="5" t="s">
        <v>11</v>
      </c>
      <c r="AC20" s="5" t="n">
        <f aca="false">COUNTIF(E20:AB20,"Absent")</f>
        <v>10</v>
      </c>
      <c r="AD20" s="3" t="n">
        <f aca="false">COUNTIF(E20:AB20,"Present")</f>
        <v>14</v>
      </c>
      <c r="AE20" s="3" t="n">
        <f aca="false">(AD20*5)+(AC20*-5)</f>
        <v>20</v>
      </c>
    </row>
    <row r="21" customFormat="false" ht="21.75" hidden="false" customHeight="true" outlineLevel="0" collapsed="false">
      <c r="A21" s="3" t="n">
        <v>20</v>
      </c>
      <c r="B21" s="3" t="s">
        <v>67</v>
      </c>
      <c r="C21" s="4" t="s">
        <v>68</v>
      </c>
      <c r="D21" s="3" t="s">
        <v>69</v>
      </c>
      <c r="E21" s="5" t="s">
        <v>10</v>
      </c>
      <c r="F21" s="5" t="s">
        <v>10</v>
      </c>
      <c r="G21" s="5" t="s">
        <v>10</v>
      </c>
      <c r="H21" s="5" t="s">
        <v>11</v>
      </c>
      <c r="I21" s="5" t="s">
        <v>10</v>
      </c>
      <c r="J21" s="5" t="s">
        <v>10</v>
      </c>
      <c r="K21" s="5" t="s">
        <v>10</v>
      </c>
      <c r="L21" s="5" t="s">
        <v>10</v>
      </c>
      <c r="M21" s="5" t="s">
        <v>11</v>
      </c>
      <c r="N21" s="5" t="s">
        <v>11</v>
      </c>
      <c r="O21" s="5" t="s">
        <v>10</v>
      </c>
      <c r="P21" s="5" t="s">
        <v>11</v>
      </c>
      <c r="Q21" s="5" t="s">
        <v>10</v>
      </c>
      <c r="R21" s="5" t="s">
        <v>11</v>
      </c>
      <c r="S21" s="5" t="s">
        <v>11</v>
      </c>
      <c r="T21" s="5" t="s">
        <v>11</v>
      </c>
      <c r="U21" s="5" t="s">
        <v>10</v>
      </c>
      <c r="V21" s="5" t="s">
        <v>10</v>
      </c>
      <c r="W21" s="5" t="s">
        <v>11</v>
      </c>
      <c r="X21" s="5" t="s">
        <v>11</v>
      </c>
      <c r="Y21" s="5" t="s">
        <v>10</v>
      </c>
      <c r="Z21" s="5" t="s">
        <v>10</v>
      </c>
      <c r="AA21" s="5" t="s">
        <v>33</v>
      </c>
      <c r="AB21" s="5" t="s">
        <v>11</v>
      </c>
      <c r="AC21" s="5" t="n">
        <f aca="false">COUNTIF(E21:AB21,"Absent")</f>
        <v>10</v>
      </c>
      <c r="AD21" s="3" t="n">
        <f aca="false">COUNTIF(E21:AB21,"Present")</f>
        <v>13</v>
      </c>
      <c r="AE21" s="3" t="n">
        <f aca="false">(AD21*5)+(AC21*-5)</f>
        <v>15</v>
      </c>
    </row>
    <row r="22" customFormat="false" ht="21.75" hidden="false" customHeight="true" outlineLevel="0" collapsed="false">
      <c r="A22" s="3" t="n">
        <v>21</v>
      </c>
      <c r="B22" s="3" t="s">
        <v>70</v>
      </c>
      <c r="C22" s="4" t="s">
        <v>71</v>
      </c>
      <c r="D22" s="3" t="s">
        <v>72</v>
      </c>
      <c r="E22" s="5" t="s">
        <v>10</v>
      </c>
      <c r="F22" s="5" t="s">
        <v>10</v>
      </c>
      <c r="G22" s="5" t="s">
        <v>10</v>
      </c>
      <c r="H22" s="5" t="s">
        <v>10</v>
      </c>
      <c r="I22" s="5" t="s">
        <v>11</v>
      </c>
      <c r="J22" s="5" t="s">
        <v>10</v>
      </c>
      <c r="K22" s="5" t="s">
        <v>10</v>
      </c>
      <c r="L22" s="5" t="s">
        <v>11</v>
      </c>
      <c r="M22" s="5" t="s">
        <v>10</v>
      </c>
      <c r="N22" s="5" t="s">
        <v>10</v>
      </c>
      <c r="O22" s="5" t="s">
        <v>10</v>
      </c>
      <c r="P22" s="5" t="s">
        <v>10</v>
      </c>
      <c r="Q22" s="5" t="s">
        <v>10</v>
      </c>
      <c r="R22" s="5" t="s">
        <v>10</v>
      </c>
      <c r="S22" s="5" t="s">
        <v>11</v>
      </c>
      <c r="T22" s="5" t="s">
        <v>10</v>
      </c>
      <c r="U22" s="5" t="s">
        <v>10</v>
      </c>
      <c r="V22" s="5" t="s">
        <v>11</v>
      </c>
      <c r="W22" s="5" t="s">
        <v>11</v>
      </c>
      <c r="X22" s="5" t="s">
        <v>10</v>
      </c>
      <c r="Y22" s="5" t="s">
        <v>10</v>
      </c>
      <c r="Z22" s="5" t="s">
        <v>11</v>
      </c>
      <c r="AA22" s="5" t="s">
        <v>11</v>
      </c>
      <c r="AB22" s="5" t="s">
        <v>10</v>
      </c>
      <c r="AC22" s="5" t="n">
        <f aca="false">COUNTIF(E22:AB22,"Absent")</f>
        <v>7</v>
      </c>
      <c r="AD22" s="3" t="n">
        <f aca="false">COUNTIF(E22:AB22,"Present")</f>
        <v>17</v>
      </c>
      <c r="AE22" s="3" t="n">
        <f aca="false">(AD22*5)+(AC22*-5)</f>
        <v>50</v>
      </c>
    </row>
    <row r="23" customFormat="false" ht="21.75" hidden="false" customHeight="true" outlineLevel="0" collapsed="false">
      <c r="A23" s="3" t="n">
        <v>22</v>
      </c>
      <c r="B23" s="3" t="s">
        <v>73</v>
      </c>
      <c r="C23" s="4" t="s">
        <v>74</v>
      </c>
      <c r="D23" s="3" t="s">
        <v>75</v>
      </c>
      <c r="E23" s="5" t="s">
        <v>10</v>
      </c>
      <c r="F23" s="5" t="s">
        <v>11</v>
      </c>
      <c r="G23" s="5" t="s">
        <v>10</v>
      </c>
      <c r="H23" s="5" t="s">
        <v>10</v>
      </c>
      <c r="I23" s="5" t="s">
        <v>11</v>
      </c>
      <c r="J23" s="5" t="s">
        <v>11</v>
      </c>
      <c r="K23" s="5" t="s">
        <v>11</v>
      </c>
      <c r="L23" s="5" t="s">
        <v>11</v>
      </c>
      <c r="M23" s="5" t="s">
        <v>10</v>
      </c>
      <c r="N23" s="5" t="s">
        <v>11</v>
      </c>
      <c r="O23" s="5" t="s">
        <v>10</v>
      </c>
      <c r="P23" s="5" t="s">
        <v>11</v>
      </c>
      <c r="Q23" s="5" t="s">
        <v>11</v>
      </c>
      <c r="R23" s="5" t="s">
        <v>11</v>
      </c>
      <c r="S23" s="5" t="s">
        <v>11</v>
      </c>
      <c r="T23" s="5" t="s">
        <v>11</v>
      </c>
      <c r="U23" s="5" t="s">
        <v>10</v>
      </c>
      <c r="V23" s="5" t="s">
        <v>11</v>
      </c>
      <c r="W23" s="5" t="s">
        <v>11</v>
      </c>
      <c r="X23" s="5" t="s">
        <v>11</v>
      </c>
      <c r="Y23" s="5" t="s">
        <v>10</v>
      </c>
      <c r="Z23" s="5" t="s">
        <v>11</v>
      </c>
      <c r="AA23" s="5" t="s">
        <v>11</v>
      </c>
      <c r="AB23" s="5" t="s">
        <v>10</v>
      </c>
      <c r="AC23" s="5" t="n">
        <f aca="false">COUNTIF(E23:AB23,"Absent")</f>
        <v>16</v>
      </c>
      <c r="AD23" s="3" t="n">
        <f aca="false">COUNTIF(E23:AB23,"Present")</f>
        <v>8</v>
      </c>
      <c r="AE23" s="3" t="n">
        <f aca="false">(AD23*5)+(AC23*-5)</f>
        <v>-40</v>
      </c>
    </row>
    <row r="24" customFormat="false" ht="21.75" hidden="false" customHeight="true" outlineLevel="0" collapsed="false">
      <c r="A24" s="3" t="n">
        <v>23</v>
      </c>
      <c r="B24" s="3" t="s">
        <v>76</v>
      </c>
      <c r="C24" s="4" t="s">
        <v>77</v>
      </c>
      <c r="D24" s="3" t="s">
        <v>78</v>
      </c>
      <c r="E24" s="5" t="s">
        <v>10</v>
      </c>
      <c r="F24" s="5" t="s">
        <v>10</v>
      </c>
      <c r="G24" s="5" t="s">
        <v>10</v>
      </c>
      <c r="H24" s="5" t="s">
        <v>10</v>
      </c>
      <c r="I24" s="5" t="s">
        <v>10</v>
      </c>
      <c r="J24" s="5" t="s">
        <v>10</v>
      </c>
      <c r="K24" s="5" t="s">
        <v>10</v>
      </c>
      <c r="L24" s="5" t="s">
        <v>10</v>
      </c>
      <c r="M24" s="5" t="s">
        <v>10</v>
      </c>
      <c r="N24" s="5" t="s">
        <v>10</v>
      </c>
      <c r="O24" s="5" t="s">
        <v>10</v>
      </c>
      <c r="P24" s="5" t="s">
        <v>11</v>
      </c>
      <c r="Q24" s="5" t="s">
        <v>11</v>
      </c>
      <c r="R24" s="5" t="s">
        <v>10</v>
      </c>
      <c r="S24" s="5" t="s">
        <v>11</v>
      </c>
      <c r="T24" s="5" t="s">
        <v>11</v>
      </c>
      <c r="U24" s="5" t="s">
        <v>10</v>
      </c>
      <c r="V24" s="5" t="s">
        <v>10</v>
      </c>
      <c r="W24" s="5" t="s">
        <v>11</v>
      </c>
      <c r="X24" s="5" t="s">
        <v>11</v>
      </c>
      <c r="Y24" s="5" t="s">
        <v>10</v>
      </c>
      <c r="Z24" s="5" t="s">
        <v>11</v>
      </c>
      <c r="AA24" s="5" t="s">
        <v>11</v>
      </c>
      <c r="AB24" s="5" t="s">
        <v>10</v>
      </c>
      <c r="AC24" s="5" t="n">
        <f aca="false">COUNTIF(E24:AB24,"Absent")</f>
        <v>8</v>
      </c>
      <c r="AD24" s="3" t="n">
        <f aca="false">COUNTIF(E24:AB24,"Present")</f>
        <v>16</v>
      </c>
      <c r="AE24" s="3" t="n">
        <f aca="false">(AD24*5)+(AC24*-5)</f>
        <v>40</v>
      </c>
    </row>
    <row r="25" customFormat="false" ht="21.75" hidden="false" customHeight="true" outlineLevel="0" collapsed="false">
      <c r="A25" s="3" t="n">
        <v>24</v>
      </c>
      <c r="B25" s="3" t="s">
        <v>79</v>
      </c>
      <c r="C25" s="4" t="s">
        <v>80</v>
      </c>
      <c r="D25" s="3" t="s">
        <v>81</v>
      </c>
      <c r="E25" s="5" t="s">
        <v>10</v>
      </c>
      <c r="F25" s="5" t="s">
        <v>11</v>
      </c>
      <c r="G25" s="5" t="s">
        <v>10</v>
      </c>
      <c r="H25" s="5" t="s">
        <v>10</v>
      </c>
      <c r="I25" s="5" t="s">
        <v>10</v>
      </c>
      <c r="J25" s="5" t="s">
        <v>10</v>
      </c>
      <c r="K25" s="5" t="s">
        <v>10</v>
      </c>
      <c r="L25" s="5" t="s">
        <v>10</v>
      </c>
      <c r="M25" s="5" t="s">
        <v>10</v>
      </c>
      <c r="N25" s="5" t="s">
        <v>11</v>
      </c>
      <c r="O25" s="5" t="s">
        <v>10</v>
      </c>
      <c r="P25" s="5" t="s">
        <v>10</v>
      </c>
      <c r="Q25" s="5" t="s">
        <v>10</v>
      </c>
      <c r="R25" s="5" t="s">
        <v>10</v>
      </c>
      <c r="S25" s="5" t="s">
        <v>11</v>
      </c>
      <c r="T25" s="5" t="s">
        <v>10</v>
      </c>
      <c r="U25" s="5" t="s">
        <v>10</v>
      </c>
      <c r="V25" s="5" t="s">
        <v>10</v>
      </c>
      <c r="W25" s="5" t="s">
        <v>10</v>
      </c>
      <c r="X25" s="5" t="s">
        <v>10</v>
      </c>
      <c r="Y25" s="5" t="s">
        <v>10</v>
      </c>
      <c r="Z25" s="5" t="s">
        <v>10</v>
      </c>
      <c r="AA25" s="5" t="s">
        <v>10</v>
      </c>
      <c r="AB25" s="5" t="s">
        <v>10</v>
      </c>
      <c r="AC25" s="5" t="n">
        <f aca="false">COUNTIF(E25:AB25,"Absent")</f>
        <v>3</v>
      </c>
      <c r="AD25" s="3" t="n">
        <f aca="false">COUNTIF(E25:AB25,"Present")</f>
        <v>21</v>
      </c>
      <c r="AE25" s="3" t="n">
        <f aca="false">(AD25*5)+(AC25*-5)</f>
        <v>90</v>
      </c>
    </row>
    <row r="26" customFormat="false" ht="21.75" hidden="false" customHeight="true" outlineLevel="0" collapsed="false">
      <c r="A26" s="3" t="n">
        <v>25</v>
      </c>
      <c r="B26" s="3" t="s">
        <v>82</v>
      </c>
      <c r="C26" s="4" t="s">
        <v>83</v>
      </c>
      <c r="D26" s="3" t="s">
        <v>84</v>
      </c>
      <c r="E26" s="5" t="s">
        <v>10</v>
      </c>
      <c r="F26" s="5" t="s">
        <v>11</v>
      </c>
      <c r="G26" s="5" t="s">
        <v>10</v>
      </c>
      <c r="H26" s="5" t="s">
        <v>10</v>
      </c>
      <c r="I26" s="5" t="s">
        <v>10</v>
      </c>
      <c r="J26" s="5" t="s">
        <v>10</v>
      </c>
      <c r="K26" s="5" t="s">
        <v>10</v>
      </c>
      <c r="L26" s="5" t="s">
        <v>10</v>
      </c>
      <c r="M26" s="5" t="s">
        <v>10</v>
      </c>
      <c r="N26" s="5" t="s">
        <v>10</v>
      </c>
      <c r="O26" s="5" t="s">
        <v>10</v>
      </c>
      <c r="P26" s="5" t="s">
        <v>10</v>
      </c>
      <c r="Q26" s="5" t="s">
        <v>10</v>
      </c>
      <c r="R26" s="5" t="s">
        <v>10</v>
      </c>
      <c r="S26" s="5" t="s">
        <v>10</v>
      </c>
      <c r="T26" s="5" t="s">
        <v>10</v>
      </c>
      <c r="U26" s="5" t="s">
        <v>11</v>
      </c>
      <c r="V26" s="5" t="s">
        <v>10</v>
      </c>
      <c r="W26" s="5" t="s">
        <v>11</v>
      </c>
      <c r="X26" s="5" t="s">
        <v>11</v>
      </c>
      <c r="Y26" s="5" t="s">
        <v>10</v>
      </c>
      <c r="Z26" s="5" t="s">
        <v>10</v>
      </c>
      <c r="AA26" s="5" t="s">
        <v>10</v>
      </c>
      <c r="AB26" s="5" t="s">
        <v>10</v>
      </c>
      <c r="AC26" s="5" t="n">
        <f aca="false">COUNTIF(E26:AB26,"Absent")</f>
        <v>4</v>
      </c>
      <c r="AD26" s="3" t="n">
        <f aca="false">COUNTIF(E26:AB26,"Present")</f>
        <v>20</v>
      </c>
      <c r="AE26" s="3" t="n">
        <f aca="false">(AD26*5)+(AC26*-5)</f>
        <v>80</v>
      </c>
    </row>
    <row r="27" customFormat="false" ht="21.75" hidden="false" customHeight="true" outlineLevel="0" collapsed="false">
      <c r="A27" s="3" t="n">
        <v>26</v>
      </c>
      <c r="B27" s="3" t="s">
        <v>85</v>
      </c>
      <c r="C27" s="4" t="s">
        <v>86</v>
      </c>
      <c r="D27" s="3" t="s">
        <v>87</v>
      </c>
      <c r="E27" s="5" t="s">
        <v>10</v>
      </c>
      <c r="F27" s="5" t="s">
        <v>11</v>
      </c>
      <c r="G27" s="5" t="s">
        <v>33</v>
      </c>
      <c r="H27" s="5" t="s">
        <v>10</v>
      </c>
      <c r="I27" s="5" t="s">
        <v>10</v>
      </c>
      <c r="J27" s="5" t="s">
        <v>10</v>
      </c>
      <c r="K27" s="5" t="s">
        <v>10</v>
      </c>
      <c r="L27" s="5" t="s">
        <v>11</v>
      </c>
      <c r="M27" s="5" t="s">
        <v>10</v>
      </c>
      <c r="N27" s="5" t="s">
        <v>10</v>
      </c>
      <c r="O27" s="5" t="s">
        <v>10</v>
      </c>
      <c r="P27" s="5" t="s">
        <v>10</v>
      </c>
      <c r="Q27" s="5" t="s">
        <v>10</v>
      </c>
      <c r="R27" s="5" t="s">
        <v>11</v>
      </c>
      <c r="S27" s="5" t="s">
        <v>11</v>
      </c>
      <c r="T27" s="5" t="s">
        <v>10</v>
      </c>
      <c r="U27" s="5" t="s">
        <v>10</v>
      </c>
      <c r="V27" s="5" t="s">
        <v>10</v>
      </c>
      <c r="W27" s="5" t="s">
        <v>11</v>
      </c>
      <c r="X27" s="5" t="s">
        <v>11</v>
      </c>
      <c r="Y27" s="5" t="s">
        <v>10</v>
      </c>
      <c r="Z27" s="5" t="s">
        <v>10</v>
      </c>
      <c r="AA27" s="5" t="s">
        <v>10</v>
      </c>
      <c r="AB27" s="5" t="s">
        <v>10</v>
      </c>
      <c r="AC27" s="5" t="n">
        <f aca="false">COUNTIF(E27:AB27,"Absent")</f>
        <v>6</v>
      </c>
      <c r="AD27" s="3" t="n">
        <f aca="false">COUNTIF(E27:AB27,"Present")</f>
        <v>17</v>
      </c>
      <c r="AE27" s="3" t="n">
        <f aca="false">(AD27*5)+(AC27*-5)</f>
        <v>55</v>
      </c>
    </row>
    <row r="28" customFormat="false" ht="21.75" hidden="false" customHeight="true" outlineLevel="0" collapsed="false">
      <c r="A28" s="3" t="n">
        <v>27</v>
      </c>
      <c r="B28" s="3" t="s">
        <v>88</v>
      </c>
      <c r="C28" s="4" t="s">
        <v>89</v>
      </c>
      <c r="D28" s="3" t="s">
        <v>90</v>
      </c>
      <c r="E28" s="5" t="s">
        <v>10</v>
      </c>
      <c r="F28" s="5" t="s">
        <v>11</v>
      </c>
      <c r="G28" s="5" t="s">
        <v>10</v>
      </c>
      <c r="H28" s="5" t="s">
        <v>10</v>
      </c>
      <c r="I28" s="5" t="s">
        <v>10</v>
      </c>
      <c r="J28" s="5" t="s">
        <v>11</v>
      </c>
      <c r="K28" s="5" t="s">
        <v>11</v>
      </c>
      <c r="L28" s="5" t="s">
        <v>11</v>
      </c>
      <c r="M28" s="5" t="s">
        <v>10</v>
      </c>
      <c r="N28" s="5" t="s">
        <v>10</v>
      </c>
      <c r="O28" s="5" t="s">
        <v>11</v>
      </c>
      <c r="P28" s="5" t="s">
        <v>11</v>
      </c>
      <c r="Q28" s="5" t="s">
        <v>10</v>
      </c>
      <c r="R28" s="5" t="s">
        <v>11</v>
      </c>
      <c r="S28" s="5" t="s">
        <v>11</v>
      </c>
      <c r="T28" s="5" t="s">
        <v>11</v>
      </c>
      <c r="U28" s="5" t="s">
        <v>10</v>
      </c>
      <c r="V28" s="5" t="s">
        <v>10</v>
      </c>
      <c r="W28" s="5" t="s">
        <v>11</v>
      </c>
      <c r="X28" s="5" t="s">
        <v>11</v>
      </c>
      <c r="Y28" s="5" t="s">
        <v>10</v>
      </c>
      <c r="Z28" s="5" t="s">
        <v>11</v>
      </c>
      <c r="AA28" s="5" t="s">
        <v>11</v>
      </c>
      <c r="AB28" s="5" t="s">
        <v>10</v>
      </c>
      <c r="AC28" s="5" t="n">
        <f aca="false">COUNTIF(E28:AB28,"Absent")</f>
        <v>13</v>
      </c>
      <c r="AD28" s="3" t="n">
        <f aca="false">COUNTIF(E28:AB28,"Present")</f>
        <v>11</v>
      </c>
      <c r="AE28" s="3" t="n">
        <f aca="false">(AD28*5)+(AC28*-5)</f>
        <v>-10</v>
      </c>
    </row>
    <row r="29" customFormat="false" ht="21.75" hidden="false" customHeight="true" outlineLevel="0" collapsed="false">
      <c r="A29" s="3" t="n">
        <v>28</v>
      </c>
      <c r="B29" s="3" t="s">
        <v>91</v>
      </c>
      <c r="C29" s="4" t="s">
        <v>92</v>
      </c>
      <c r="D29" s="3" t="s">
        <v>93</v>
      </c>
      <c r="E29" s="5" t="s">
        <v>11</v>
      </c>
      <c r="F29" s="5" t="s">
        <v>10</v>
      </c>
      <c r="G29" s="5" t="s">
        <v>11</v>
      </c>
      <c r="H29" s="5" t="s">
        <v>10</v>
      </c>
      <c r="I29" s="5" t="s">
        <v>10</v>
      </c>
      <c r="J29" s="5" t="s">
        <v>10</v>
      </c>
      <c r="K29" s="5" t="s">
        <v>11</v>
      </c>
      <c r="L29" s="5" t="s">
        <v>11</v>
      </c>
      <c r="M29" s="5" t="s">
        <v>10</v>
      </c>
      <c r="N29" s="5" t="s">
        <v>10</v>
      </c>
      <c r="O29" s="5" t="s">
        <v>11</v>
      </c>
      <c r="P29" s="5" t="s">
        <v>11</v>
      </c>
      <c r="Q29" s="5" t="s">
        <v>10</v>
      </c>
      <c r="R29" s="5" t="s">
        <v>11</v>
      </c>
      <c r="S29" s="5" t="s">
        <v>11</v>
      </c>
      <c r="T29" s="5" t="s">
        <v>10</v>
      </c>
      <c r="U29" s="5" t="s">
        <v>10</v>
      </c>
      <c r="V29" s="5" t="s">
        <v>10</v>
      </c>
      <c r="W29" s="5" t="s">
        <v>11</v>
      </c>
      <c r="X29" s="5" t="s">
        <v>10</v>
      </c>
      <c r="Y29" s="5" t="s">
        <v>10</v>
      </c>
      <c r="Z29" s="5" t="s">
        <v>33</v>
      </c>
      <c r="AA29" s="5" t="s">
        <v>10</v>
      </c>
      <c r="AB29" s="5" t="s">
        <v>10</v>
      </c>
      <c r="AC29" s="5" t="n">
        <f aca="false">COUNTIF(E29:AB29,"Absent")</f>
        <v>9</v>
      </c>
      <c r="AD29" s="3" t="n">
        <f aca="false">COUNTIF(E29:AB29,"Present")</f>
        <v>14</v>
      </c>
      <c r="AE29" s="3" t="n">
        <f aca="false">(AD29*5)+(AC29*-5)</f>
        <v>25</v>
      </c>
    </row>
    <row r="30" customFormat="false" ht="21.75" hidden="false" customHeight="true" outlineLevel="0" collapsed="false">
      <c r="A30" s="3" t="n">
        <v>29</v>
      </c>
      <c r="B30" s="3" t="s">
        <v>94</v>
      </c>
      <c r="C30" s="4" t="s">
        <v>95</v>
      </c>
      <c r="D30" s="3" t="s">
        <v>96</v>
      </c>
      <c r="E30" s="5" t="s">
        <v>11</v>
      </c>
      <c r="F30" s="5" t="s">
        <v>11</v>
      </c>
      <c r="G30" s="5" t="s">
        <v>10</v>
      </c>
      <c r="H30" s="5" t="s">
        <v>11</v>
      </c>
      <c r="I30" s="5" t="s">
        <v>10</v>
      </c>
      <c r="J30" s="5" t="s">
        <v>11</v>
      </c>
      <c r="K30" s="5" t="s">
        <v>10</v>
      </c>
      <c r="L30" s="5" t="s">
        <v>10</v>
      </c>
      <c r="M30" s="5" t="s">
        <v>10</v>
      </c>
      <c r="N30" s="5" t="s">
        <v>10</v>
      </c>
      <c r="O30" s="5" t="s">
        <v>10</v>
      </c>
      <c r="P30" s="5" t="s">
        <v>10</v>
      </c>
      <c r="Q30" s="5" t="s">
        <v>10</v>
      </c>
      <c r="R30" s="5" t="s">
        <v>10</v>
      </c>
      <c r="S30" s="5" t="s">
        <v>11</v>
      </c>
      <c r="T30" s="5" t="s">
        <v>10</v>
      </c>
      <c r="U30" s="5" t="s">
        <v>10</v>
      </c>
      <c r="V30" s="5" t="s">
        <v>11</v>
      </c>
      <c r="W30" s="5" t="s">
        <v>11</v>
      </c>
      <c r="X30" s="5" t="s">
        <v>11</v>
      </c>
      <c r="Y30" s="5" t="s">
        <v>10</v>
      </c>
      <c r="Z30" s="5" t="s">
        <v>10</v>
      </c>
      <c r="AA30" s="5" t="s">
        <v>11</v>
      </c>
      <c r="AB30" s="5" t="s">
        <v>10</v>
      </c>
      <c r="AC30" s="5" t="n">
        <f aca="false">COUNTIF(E30:AB30,"Absent")</f>
        <v>9</v>
      </c>
      <c r="AD30" s="3" t="n">
        <f aca="false">COUNTIF(E30:AB30,"Present")</f>
        <v>15</v>
      </c>
      <c r="AE30" s="3" t="n">
        <f aca="false">(AD30*5)+(AC30*-5)</f>
        <v>30</v>
      </c>
    </row>
    <row r="31" customFormat="false" ht="21.75" hidden="false" customHeight="true" outlineLevel="0" collapsed="false">
      <c r="A31" s="3" t="n">
        <v>30</v>
      </c>
      <c r="B31" s="3" t="s">
        <v>97</v>
      </c>
      <c r="C31" s="4" t="s">
        <v>98</v>
      </c>
      <c r="D31" s="3" t="s">
        <v>99</v>
      </c>
      <c r="E31" s="5" t="s">
        <v>10</v>
      </c>
      <c r="F31" s="5" t="s">
        <v>11</v>
      </c>
      <c r="G31" s="5" t="s">
        <v>11</v>
      </c>
      <c r="H31" s="5" t="s">
        <v>10</v>
      </c>
      <c r="I31" s="5" t="s">
        <v>10</v>
      </c>
      <c r="J31" s="5" t="s">
        <v>10</v>
      </c>
      <c r="K31" s="5" t="s">
        <v>10</v>
      </c>
      <c r="L31" s="5" t="s">
        <v>10</v>
      </c>
      <c r="M31" s="5" t="s">
        <v>10</v>
      </c>
      <c r="N31" s="5" t="s">
        <v>10</v>
      </c>
      <c r="O31" s="5" t="s">
        <v>10</v>
      </c>
      <c r="P31" s="5" t="s">
        <v>10</v>
      </c>
      <c r="Q31" s="5" t="s">
        <v>10</v>
      </c>
      <c r="R31" s="5" t="s">
        <v>10</v>
      </c>
      <c r="S31" s="5" t="s">
        <v>11</v>
      </c>
      <c r="T31" s="5" t="s">
        <v>10</v>
      </c>
      <c r="U31" s="5" t="s">
        <v>11</v>
      </c>
      <c r="V31" s="5" t="s">
        <v>10</v>
      </c>
      <c r="W31" s="5" t="s">
        <v>10</v>
      </c>
      <c r="X31" s="5" t="s">
        <v>11</v>
      </c>
      <c r="Y31" s="5" t="s">
        <v>10</v>
      </c>
      <c r="Z31" s="5" t="s">
        <v>10</v>
      </c>
      <c r="AA31" s="5" t="s">
        <v>10</v>
      </c>
      <c r="AB31" s="5" t="s">
        <v>11</v>
      </c>
      <c r="AC31" s="5" t="n">
        <f aca="false">COUNTIF(E31:AB31,"Absent")</f>
        <v>6</v>
      </c>
      <c r="AD31" s="3" t="n">
        <f aca="false">COUNTIF(E31:AB31,"Present")</f>
        <v>18</v>
      </c>
      <c r="AE31" s="3" t="n">
        <f aca="false">(AD31*5)+(AC31*-5)</f>
        <v>60</v>
      </c>
    </row>
    <row r="32" customFormat="false" ht="21.75" hidden="false" customHeight="true" outlineLevel="0" collapsed="false">
      <c r="A32" s="3" t="n">
        <v>31</v>
      </c>
      <c r="B32" s="3" t="s">
        <v>100</v>
      </c>
      <c r="C32" s="4" t="s">
        <v>101</v>
      </c>
      <c r="D32" s="3" t="s">
        <v>102</v>
      </c>
      <c r="E32" s="5" t="s">
        <v>10</v>
      </c>
      <c r="F32" s="5" t="s">
        <v>11</v>
      </c>
      <c r="G32" s="5" t="s">
        <v>10</v>
      </c>
      <c r="H32" s="5" t="s">
        <v>10</v>
      </c>
      <c r="I32" s="5" t="s">
        <v>10</v>
      </c>
      <c r="J32" s="5" t="s">
        <v>10</v>
      </c>
      <c r="K32" s="5" t="s">
        <v>10</v>
      </c>
      <c r="L32" s="5" t="s">
        <v>10</v>
      </c>
      <c r="M32" s="5" t="s">
        <v>10</v>
      </c>
      <c r="N32" s="5" t="s">
        <v>10</v>
      </c>
      <c r="O32" s="5" t="s">
        <v>11</v>
      </c>
      <c r="P32" s="5" t="s">
        <v>10</v>
      </c>
      <c r="Q32" s="5" t="s">
        <v>10</v>
      </c>
      <c r="R32" s="5" t="s">
        <v>10</v>
      </c>
      <c r="S32" s="5" t="s">
        <v>11</v>
      </c>
      <c r="T32" s="5" t="s">
        <v>10</v>
      </c>
      <c r="U32" s="5" t="s">
        <v>11</v>
      </c>
      <c r="V32" s="5" t="s">
        <v>10</v>
      </c>
      <c r="W32" s="5" t="s">
        <v>11</v>
      </c>
      <c r="X32" s="5" t="s">
        <v>10</v>
      </c>
      <c r="Y32" s="5" t="s">
        <v>10</v>
      </c>
      <c r="Z32" s="5" t="s">
        <v>10</v>
      </c>
      <c r="AA32" s="5" t="s">
        <v>11</v>
      </c>
      <c r="AB32" s="5" t="s">
        <v>10</v>
      </c>
      <c r="AC32" s="5" t="n">
        <f aca="false">COUNTIF(E32:AB32,"Absent")</f>
        <v>6</v>
      </c>
      <c r="AD32" s="3" t="n">
        <f aca="false">COUNTIF(E32:AB32,"Present")</f>
        <v>18</v>
      </c>
      <c r="AE32" s="3" t="n">
        <f aca="false">(AD32*5)+(AC32*-5)</f>
        <v>60</v>
      </c>
    </row>
    <row r="33" customFormat="false" ht="21.75" hidden="false" customHeight="true" outlineLevel="0" collapsed="false">
      <c r="A33" s="3" t="n">
        <v>32</v>
      </c>
      <c r="B33" s="3" t="s">
        <v>103</v>
      </c>
      <c r="C33" s="4" t="s">
        <v>104</v>
      </c>
      <c r="D33" s="3" t="s">
        <v>105</v>
      </c>
      <c r="E33" s="5" t="s">
        <v>10</v>
      </c>
      <c r="F33" s="5" t="s">
        <v>11</v>
      </c>
      <c r="G33" s="5" t="s">
        <v>10</v>
      </c>
      <c r="H33" s="5" t="s">
        <v>10</v>
      </c>
      <c r="I33" s="5" t="s">
        <v>10</v>
      </c>
      <c r="J33" s="5" t="s">
        <v>10</v>
      </c>
      <c r="K33" s="5" t="s">
        <v>10</v>
      </c>
      <c r="L33" s="5" t="s">
        <v>10</v>
      </c>
      <c r="M33" s="5" t="s">
        <v>10</v>
      </c>
      <c r="N33" s="5" t="s">
        <v>10</v>
      </c>
      <c r="O33" s="5" t="s">
        <v>10</v>
      </c>
      <c r="P33" s="5" t="s">
        <v>10</v>
      </c>
      <c r="Q33" s="5" t="s">
        <v>10</v>
      </c>
      <c r="R33" s="5" t="s">
        <v>10</v>
      </c>
      <c r="S33" s="5" t="s">
        <v>10</v>
      </c>
      <c r="T33" s="5" t="s">
        <v>10</v>
      </c>
      <c r="U33" s="5" t="s">
        <v>11</v>
      </c>
      <c r="V33" s="5" t="s">
        <v>10</v>
      </c>
      <c r="W33" s="5" t="s">
        <v>11</v>
      </c>
      <c r="X33" s="5" t="s">
        <v>10</v>
      </c>
      <c r="Y33" s="5" t="s">
        <v>10</v>
      </c>
      <c r="Z33" s="5" t="s">
        <v>11</v>
      </c>
      <c r="AA33" s="5" t="s">
        <v>10</v>
      </c>
      <c r="AB33" s="5" t="s">
        <v>10</v>
      </c>
      <c r="AC33" s="5" t="n">
        <f aca="false">COUNTIF(E33:AB33,"Absent")</f>
        <v>4</v>
      </c>
      <c r="AD33" s="3" t="n">
        <f aca="false">COUNTIF(E33:AB33,"Present")</f>
        <v>20</v>
      </c>
      <c r="AE33" s="3" t="n">
        <f aca="false">(AD33*5)+(AC33*-5)</f>
        <v>80</v>
      </c>
    </row>
    <row r="34" customFormat="false" ht="21.75" hidden="false" customHeight="true" outlineLevel="0" collapsed="false">
      <c r="A34" s="3" t="n">
        <v>33</v>
      </c>
      <c r="B34" s="3" t="s">
        <v>106</v>
      </c>
      <c r="C34" s="4" t="s">
        <v>107</v>
      </c>
      <c r="D34" s="3" t="s">
        <v>108</v>
      </c>
      <c r="E34" s="5" t="s">
        <v>10</v>
      </c>
      <c r="F34" s="5" t="s">
        <v>33</v>
      </c>
      <c r="G34" s="5" t="s">
        <v>10</v>
      </c>
      <c r="H34" s="5" t="s">
        <v>10</v>
      </c>
      <c r="I34" s="5" t="s">
        <v>11</v>
      </c>
      <c r="J34" s="5" t="s">
        <v>11</v>
      </c>
      <c r="K34" s="5" t="s">
        <v>10</v>
      </c>
      <c r="L34" s="5" t="s">
        <v>10</v>
      </c>
      <c r="M34" s="5" t="s">
        <v>11</v>
      </c>
      <c r="N34" s="5" t="s">
        <v>10</v>
      </c>
      <c r="O34" s="5" t="s">
        <v>10</v>
      </c>
      <c r="P34" s="5" t="s">
        <v>11</v>
      </c>
      <c r="Q34" s="5" t="s">
        <v>10</v>
      </c>
      <c r="R34" s="5" t="s">
        <v>10</v>
      </c>
      <c r="S34" s="5" t="s">
        <v>11</v>
      </c>
      <c r="T34" s="5" t="s">
        <v>11</v>
      </c>
      <c r="U34" s="5" t="s">
        <v>10</v>
      </c>
      <c r="V34" s="5" t="s">
        <v>10</v>
      </c>
      <c r="W34" s="5" t="s">
        <v>11</v>
      </c>
      <c r="X34" s="5" t="s">
        <v>11</v>
      </c>
      <c r="Y34" s="5" t="s">
        <v>10</v>
      </c>
      <c r="Z34" s="5" t="s">
        <v>10</v>
      </c>
      <c r="AA34" s="5" t="s">
        <v>11</v>
      </c>
      <c r="AB34" s="5" t="s">
        <v>11</v>
      </c>
      <c r="AC34" s="5" t="n">
        <f aca="false">COUNTIF(E34:AB34,"Absent")</f>
        <v>10</v>
      </c>
      <c r="AD34" s="3" t="n">
        <f aca="false">COUNTIF(E34:AB34,"Present")</f>
        <v>13</v>
      </c>
      <c r="AE34" s="3" t="n">
        <f aca="false">(AD34*5)+(AC34*-5)</f>
        <v>15</v>
      </c>
    </row>
    <row r="35" customFormat="false" ht="21.75" hidden="false" customHeight="true" outlineLevel="0" collapsed="false">
      <c r="A35" s="3" t="n">
        <v>34</v>
      </c>
      <c r="B35" s="3" t="s">
        <v>109</v>
      </c>
      <c r="C35" s="4" t="s">
        <v>110</v>
      </c>
      <c r="D35" s="3" t="s">
        <v>111</v>
      </c>
      <c r="E35" s="5" t="s">
        <v>10</v>
      </c>
      <c r="F35" s="5" t="s">
        <v>10</v>
      </c>
      <c r="G35" s="5" t="s">
        <v>11</v>
      </c>
      <c r="H35" s="5" t="s">
        <v>10</v>
      </c>
      <c r="I35" s="5" t="s">
        <v>11</v>
      </c>
      <c r="J35" s="5" t="s">
        <v>10</v>
      </c>
      <c r="K35" s="5" t="s">
        <v>11</v>
      </c>
      <c r="L35" s="5" t="s">
        <v>11</v>
      </c>
      <c r="M35" s="5" t="s">
        <v>10</v>
      </c>
      <c r="N35" s="5" t="s">
        <v>11</v>
      </c>
      <c r="O35" s="5" t="s">
        <v>11</v>
      </c>
      <c r="P35" s="5" t="s">
        <v>11</v>
      </c>
      <c r="Q35" s="5" t="s">
        <v>11</v>
      </c>
      <c r="R35" s="5" t="s">
        <v>10</v>
      </c>
      <c r="S35" s="5" t="s">
        <v>11</v>
      </c>
      <c r="T35" s="5" t="s">
        <v>11</v>
      </c>
      <c r="U35" s="5" t="s">
        <v>10</v>
      </c>
      <c r="V35" s="5" t="s">
        <v>11</v>
      </c>
      <c r="W35" s="5" t="s">
        <v>10</v>
      </c>
      <c r="X35" s="5" t="s">
        <v>11</v>
      </c>
      <c r="Y35" s="5" t="s">
        <v>10</v>
      </c>
      <c r="Z35" s="5" t="s">
        <v>10</v>
      </c>
      <c r="AA35" s="5" t="s">
        <v>10</v>
      </c>
      <c r="AB35" s="5" t="s">
        <v>11</v>
      </c>
      <c r="AC35" s="5" t="n">
        <f aca="false">COUNTIF(E35:AB35,"Absent")</f>
        <v>13</v>
      </c>
      <c r="AD35" s="3" t="n">
        <f aca="false">COUNTIF(E35:AB35,"Present")</f>
        <v>11</v>
      </c>
      <c r="AE35" s="3" t="n">
        <f aca="false">(AD35*5)+(AC35*-5)</f>
        <v>-10</v>
      </c>
    </row>
    <row r="36" customFormat="false" ht="21.75" hidden="false" customHeight="true" outlineLevel="0" collapsed="false">
      <c r="A36" s="3" t="n">
        <v>35</v>
      </c>
      <c r="B36" s="3" t="s">
        <v>112</v>
      </c>
      <c r="C36" s="4" t="s">
        <v>113</v>
      </c>
      <c r="D36" s="3" t="s">
        <v>114</v>
      </c>
      <c r="E36" s="5" t="s">
        <v>10</v>
      </c>
      <c r="F36" s="5" t="s">
        <v>11</v>
      </c>
      <c r="G36" s="5" t="s">
        <v>10</v>
      </c>
      <c r="H36" s="5" t="s">
        <v>10</v>
      </c>
      <c r="I36" s="5" t="s">
        <v>11</v>
      </c>
      <c r="J36" s="5" t="s">
        <v>10</v>
      </c>
      <c r="K36" s="5" t="s">
        <v>10</v>
      </c>
      <c r="L36" s="5" t="s">
        <v>10</v>
      </c>
      <c r="M36" s="5" t="s">
        <v>10</v>
      </c>
      <c r="N36" s="5" t="s">
        <v>10</v>
      </c>
      <c r="O36" s="5" t="s">
        <v>10</v>
      </c>
      <c r="P36" s="5" t="s">
        <v>10</v>
      </c>
      <c r="Q36" s="5" t="s">
        <v>10</v>
      </c>
      <c r="R36" s="5" t="s">
        <v>10</v>
      </c>
      <c r="S36" s="5" t="s">
        <v>10</v>
      </c>
      <c r="T36" s="5" t="s">
        <v>10</v>
      </c>
      <c r="U36" s="5" t="s">
        <v>10</v>
      </c>
      <c r="V36" s="5" t="s">
        <v>10</v>
      </c>
      <c r="W36" s="5" t="s">
        <v>10</v>
      </c>
      <c r="X36" s="5" t="s">
        <v>11</v>
      </c>
      <c r="Y36" s="5" t="s">
        <v>10</v>
      </c>
      <c r="Z36" s="5" t="s">
        <v>10</v>
      </c>
      <c r="AA36" s="5" t="s">
        <v>11</v>
      </c>
      <c r="AB36" s="5" t="s">
        <v>10</v>
      </c>
      <c r="AC36" s="5" t="n">
        <f aca="false">COUNTIF(E36:AB36,"Absent")</f>
        <v>4</v>
      </c>
      <c r="AD36" s="3" t="n">
        <f aca="false">COUNTIF(E36:AB36,"Present")</f>
        <v>20</v>
      </c>
      <c r="AE36" s="3" t="n">
        <f aca="false">(AD36*5)+(AC36*-5)</f>
        <v>80</v>
      </c>
    </row>
    <row r="37" customFormat="false" ht="21.75" hidden="false" customHeight="true" outlineLevel="0" collapsed="false">
      <c r="A37" s="3" t="n">
        <v>36</v>
      </c>
      <c r="B37" s="3" t="s">
        <v>115</v>
      </c>
      <c r="C37" s="6" t="s">
        <v>116</v>
      </c>
      <c r="D37" s="3" t="s">
        <v>117</v>
      </c>
      <c r="E37" s="5" t="s">
        <v>10</v>
      </c>
      <c r="F37" s="5" t="s">
        <v>10</v>
      </c>
      <c r="G37" s="3" t="s">
        <v>10</v>
      </c>
      <c r="H37" s="5" t="s">
        <v>10</v>
      </c>
      <c r="I37" s="5" t="s">
        <v>10</v>
      </c>
      <c r="J37" s="5" t="s">
        <v>10</v>
      </c>
      <c r="K37" s="5" t="s">
        <v>10</v>
      </c>
      <c r="L37" s="5" t="s">
        <v>10</v>
      </c>
      <c r="M37" s="5" t="s">
        <v>10</v>
      </c>
      <c r="N37" s="5" t="s">
        <v>10</v>
      </c>
      <c r="O37" s="5" t="s">
        <v>10</v>
      </c>
      <c r="P37" s="5" t="s">
        <v>10</v>
      </c>
      <c r="Q37" s="5" t="s">
        <v>10</v>
      </c>
      <c r="R37" s="5" t="s">
        <v>10</v>
      </c>
      <c r="S37" s="5" t="s">
        <v>11</v>
      </c>
      <c r="T37" s="5" t="s">
        <v>10</v>
      </c>
      <c r="U37" s="5" t="s">
        <v>10</v>
      </c>
      <c r="V37" s="5" t="s">
        <v>11</v>
      </c>
      <c r="W37" s="5" t="s">
        <v>11</v>
      </c>
      <c r="X37" s="5" t="s">
        <v>10</v>
      </c>
      <c r="Y37" s="5" t="s">
        <v>10</v>
      </c>
      <c r="Z37" s="5" t="s">
        <v>10</v>
      </c>
      <c r="AA37" s="5" t="s">
        <v>10</v>
      </c>
      <c r="AB37" s="5" t="s">
        <v>10</v>
      </c>
      <c r="AC37" s="5" t="n">
        <f aca="false">COUNTIF(E37:AB37,"Absent")</f>
        <v>3</v>
      </c>
      <c r="AD37" s="3" t="n">
        <f aca="false">COUNTIF(E37:AB37,"Present")</f>
        <v>21</v>
      </c>
      <c r="AE37" s="3" t="n">
        <f aca="false">(AD37*5)+(AC37*-5)</f>
        <v>90</v>
      </c>
    </row>
    <row r="38" customFormat="false" ht="21.75" hidden="false" customHeight="true" outlineLevel="0" collapsed="false">
      <c r="A38" s="3" t="n">
        <v>37</v>
      </c>
      <c r="B38" s="3" t="s">
        <v>118</v>
      </c>
      <c r="C38" s="6" t="s">
        <v>119</v>
      </c>
      <c r="D38" s="3" t="s">
        <v>120</v>
      </c>
      <c r="E38" s="3" t="s">
        <v>10</v>
      </c>
      <c r="F38" s="3" t="s">
        <v>33</v>
      </c>
      <c r="G38" s="3" t="s">
        <v>10</v>
      </c>
      <c r="H38" s="3" t="s">
        <v>10</v>
      </c>
      <c r="I38" s="3" t="s">
        <v>10</v>
      </c>
      <c r="J38" s="3" t="s">
        <v>10</v>
      </c>
      <c r="K38" s="3" t="s">
        <v>11</v>
      </c>
      <c r="L38" s="3" t="s">
        <v>10</v>
      </c>
      <c r="M38" s="5" t="s">
        <v>10</v>
      </c>
      <c r="N38" s="5" t="s">
        <v>10</v>
      </c>
      <c r="O38" s="5" t="s">
        <v>10</v>
      </c>
      <c r="P38" s="5" t="s">
        <v>10</v>
      </c>
      <c r="Q38" s="5" t="s">
        <v>10</v>
      </c>
      <c r="R38" s="5" t="s">
        <v>10</v>
      </c>
      <c r="S38" s="5" t="s">
        <v>11</v>
      </c>
      <c r="T38" s="5" t="s">
        <v>10</v>
      </c>
      <c r="U38" s="5" t="s">
        <v>11</v>
      </c>
      <c r="V38" s="5" t="s">
        <v>10</v>
      </c>
      <c r="W38" s="5" t="s">
        <v>11</v>
      </c>
      <c r="X38" s="5" t="s">
        <v>33</v>
      </c>
      <c r="Y38" s="5" t="s">
        <v>10</v>
      </c>
      <c r="Z38" s="5" t="s">
        <v>11</v>
      </c>
      <c r="AA38" s="5" t="s">
        <v>10</v>
      </c>
      <c r="AB38" s="5" t="s">
        <v>33</v>
      </c>
      <c r="AC38" s="5" t="n">
        <f aca="false">COUNTIF(E38:AB38,"Absent")</f>
        <v>5</v>
      </c>
      <c r="AD38" s="3" t="n">
        <f aca="false">COUNTIF(E38:AB38,"Present")</f>
        <v>16</v>
      </c>
      <c r="AE38" s="3" t="n">
        <f aca="false">(AD38*5)+(AC38*-5)</f>
        <v>55</v>
      </c>
    </row>
    <row r="39" customFormat="false" ht="21.75" hidden="false" customHeight="true" outlineLevel="0" collapsed="false">
      <c r="A39" s="3" t="n">
        <v>38</v>
      </c>
      <c r="B39" s="3" t="s">
        <v>121</v>
      </c>
      <c r="C39" s="4" t="s">
        <v>122</v>
      </c>
      <c r="D39" s="3" t="s">
        <v>123</v>
      </c>
      <c r="E39" s="3" t="s">
        <v>10</v>
      </c>
      <c r="F39" s="3" t="s">
        <v>11</v>
      </c>
      <c r="G39" s="3" t="s">
        <v>33</v>
      </c>
      <c r="H39" s="3" t="s">
        <v>10</v>
      </c>
      <c r="I39" s="3" t="s">
        <v>11</v>
      </c>
      <c r="J39" s="3" t="s">
        <v>10</v>
      </c>
      <c r="K39" s="3" t="s">
        <v>11</v>
      </c>
      <c r="L39" s="3" t="s">
        <v>11</v>
      </c>
      <c r="M39" s="3" t="s">
        <v>10</v>
      </c>
      <c r="N39" s="3" t="s">
        <v>10</v>
      </c>
      <c r="O39" s="3" t="s">
        <v>11</v>
      </c>
      <c r="P39" s="3" t="s">
        <v>11</v>
      </c>
      <c r="Q39" s="3" t="s">
        <v>10</v>
      </c>
      <c r="R39" s="3" t="s">
        <v>11</v>
      </c>
      <c r="S39" s="4" t="s">
        <v>124</v>
      </c>
      <c r="T39" s="4"/>
      <c r="U39" s="5" t="s">
        <v>11</v>
      </c>
      <c r="V39" s="5" t="s">
        <v>11</v>
      </c>
      <c r="W39" s="5" t="s">
        <v>11</v>
      </c>
      <c r="X39" s="5" t="s">
        <v>11</v>
      </c>
      <c r="Y39" s="5" t="s">
        <v>11</v>
      </c>
      <c r="Z39" s="5" t="s">
        <v>11</v>
      </c>
      <c r="AA39" s="5" t="s">
        <v>10</v>
      </c>
      <c r="AB39" s="5" t="s">
        <v>10</v>
      </c>
      <c r="AC39" s="5" t="n">
        <f aca="false">COUNTIF(E39:AB39,"Absent")</f>
        <v>13</v>
      </c>
      <c r="AD39" s="3" t="n">
        <f aca="false">COUNTIF(E39:AB39,"Present")</f>
        <v>8</v>
      </c>
      <c r="AE39" s="3" t="n">
        <f aca="false">(AD39*5)+(AC39*-5)</f>
        <v>-25</v>
      </c>
    </row>
    <row r="40" customFormat="false" ht="21.75" hidden="false" customHeight="true" outlineLevel="0" collapsed="false">
      <c r="A40" s="3" t="n">
        <v>39</v>
      </c>
      <c r="B40" s="3"/>
      <c r="C40" s="3"/>
      <c r="D40" s="3"/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  <c r="J40" s="3" t="s">
        <v>10</v>
      </c>
      <c r="K40" s="3" t="s">
        <v>11</v>
      </c>
      <c r="L40" s="3" t="s">
        <v>10</v>
      </c>
      <c r="M40" s="3" t="s">
        <v>10</v>
      </c>
      <c r="N40" s="3" t="s">
        <v>33</v>
      </c>
      <c r="O40" s="3" t="s">
        <v>11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11</v>
      </c>
      <c r="U40" s="3" t="s">
        <v>11</v>
      </c>
      <c r="V40" s="3" t="s">
        <v>10</v>
      </c>
      <c r="W40" s="3" t="s">
        <v>11</v>
      </c>
      <c r="X40" s="3" t="s">
        <v>10</v>
      </c>
      <c r="Y40" s="3" t="s">
        <v>11</v>
      </c>
      <c r="Z40" s="3" t="s">
        <v>11</v>
      </c>
      <c r="AA40" s="3" t="s">
        <v>10</v>
      </c>
      <c r="AB40" s="3" t="s">
        <v>11</v>
      </c>
      <c r="AC40" s="5" t="n">
        <f aca="false">COUNTIF(E40:AB40,"Absent")</f>
        <v>8</v>
      </c>
      <c r="AD40" s="3" t="n">
        <f aca="false">COUNTIF(E40:AB40,"Present")</f>
        <v>15</v>
      </c>
      <c r="AE40" s="3" t="n">
        <f aca="false">(AD40*5)+(AC40*-5)</f>
        <v>35</v>
      </c>
    </row>
    <row r="41" customFormat="false" ht="21.75" hidden="false" customHeight="true" outlineLevel="0" collapsed="false">
      <c r="A41" s="3"/>
      <c r="B41" s="3"/>
      <c r="C41" s="3"/>
      <c r="D41" s="3"/>
      <c r="E41" s="3" t="s">
        <v>11</v>
      </c>
      <c r="F41" s="3" t="s">
        <v>10</v>
      </c>
      <c r="G41" s="3" t="s">
        <v>10</v>
      </c>
      <c r="H41" s="3" t="s">
        <v>10</v>
      </c>
      <c r="I41" s="3" t="s">
        <v>10</v>
      </c>
      <c r="J41" s="3" t="s">
        <v>10</v>
      </c>
      <c r="K41" s="3" t="s">
        <v>10</v>
      </c>
      <c r="L41" s="3" t="s">
        <v>33</v>
      </c>
      <c r="M41" s="3" t="s">
        <v>11</v>
      </c>
      <c r="N41" s="3" t="s">
        <v>10</v>
      </c>
      <c r="O41" s="3" t="s">
        <v>11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11</v>
      </c>
      <c r="U41" s="3" t="s">
        <v>10</v>
      </c>
      <c r="V41" s="3" t="s">
        <v>10</v>
      </c>
      <c r="W41" s="3" t="s">
        <v>11</v>
      </c>
      <c r="X41" s="3" t="s">
        <v>10</v>
      </c>
      <c r="Y41" s="3" t="s">
        <v>11</v>
      </c>
      <c r="Z41" s="3" t="s">
        <v>10</v>
      </c>
      <c r="AA41" s="3" t="s">
        <v>33</v>
      </c>
      <c r="AB41" s="3" t="s">
        <v>11</v>
      </c>
      <c r="AC41" s="3" t="s">
        <v>10</v>
      </c>
      <c r="AD41" s="3" t="s">
        <v>10</v>
      </c>
      <c r="AE41" s="3" t="s">
        <v>10</v>
      </c>
    </row>
    <row r="42" customFormat="false" ht="21.75" hidden="false" customHeight="true" outlineLevel="0" collapsed="false">
      <c r="A42" s="3"/>
      <c r="B42" s="3"/>
      <c r="C42" s="3"/>
      <c r="D42" s="3"/>
      <c r="E42" s="3" t="s">
        <v>11</v>
      </c>
      <c r="F42" s="3" t="s">
        <v>10</v>
      </c>
      <c r="G42" s="3" t="s">
        <v>33</v>
      </c>
      <c r="H42" s="3" t="s">
        <v>11</v>
      </c>
      <c r="I42" s="3" t="s">
        <v>10</v>
      </c>
      <c r="J42" s="3" t="s">
        <v>10</v>
      </c>
      <c r="K42" s="3" t="s">
        <v>11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11</v>
      </c>
      <c r="S42" s="3" t="s">
        <v>10</v>
      </c>
      <c r="T42" s="3" t="s">
        <v>11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11</v>
      </c>
      <c r="AB42" s="3" t="s">
        <v>11</v>
      </c>
      <c r="AC42" s="3" t="s">
        <v>10</v>
      </c>
      <c r="AD42" s="3" t="s">
        <v>10</v>
      </c>
      <c r="AE42" s="3" t="s">
        <v>10</v>
      </c>
    </row>
    <row r="43" customFormat="false" ht="21.75" hidden="false" customHeight="true" outlineLevel="0" collapsed="false">
      <c r="A43" s="3"/>
      <c r="B43" s="3"/>
      <c r="C43" s="3"/>
      <c r="D43" s="3"/>
      <c r="E43" s="3" t="s">
        <v>10</v>
      </c>
      <c r="F43" s="3" t="s">
        <v>10</v>
      </c>
      <c r="G43" s="3" t="s">
        <v>11</v>
      </c>
      <c r="H43" s="3" t="s">
        <v>10</v>
      </c>
      <c r="I43" s="3" t="s">
        <v>10</v>
      </c>
      <c r="J43" s="3" t="s">
        <v>10</v>
      </c>
      <c r="K43" s="3" t="s">
        <v>10</v>
      </c>
      <c r="L43" s="3" t="s">
        <v>10</v>
      </c>
      <c r="M43" s="3" t="s">
        <v>11</v>
      </c>
      <c r="N43" s="3" t="s">
        <v>11</v>
      </c>
      <c r="O43" s="3" t="s">
        <v>10</v>
      </c>
      <c r="P43" s="3" t="s">
        <v>10</v>
      </c>
      <c r="Q43" s="3" t="s">
        <v>10</v>
      </c>
      <c r="R43" s="3" t="s">
        <v>10</v>
      </c>
      <c r="S43" s="3" t="s">
        <v>10</v>
      </c>
      <c r="T43" s="3" t="s">
        <v>11</v>
      </c>
      <c r="U43" s="3" t="s">
        <v>11</v>
      </c>
      <c r="V43" s="3" t="s">
        <v>10</v>
      </c>
      <c r="W43" s="3" t="s">
        <v>33</v>
      </c>
      <c r="X43" s="3" t="s">
        <v>10</v>
      </c>
      <c r="Y43" s="3" t="s">
        <v>10</v>
      </c>
      <c r="Z43" s="3" t="s">
        <v>10</v>
      </c>
      <c r="AA43" s="3" t="s">
        <v>33</v>
      </c>
      <c r="AB43" s="3" t="s">
        <v>11</v>
      </c>
      <c r="AC43" s="3" t="s">
        <v>10</v>
      </c>
      <c r="AD43" s="3" t="s">
        <v>33</v>
      </c>
      <c r="AE43" s="3" t="s">
        <v>10</v>
      </c>
    </row>
    <row r="44" customFormat="false" ht="21.75" hidden="false" customHeight="true" outlineLevel="0" collapsed="false">
      <c r="A44" s="3"/>
      <c r="B44" s="3"/>
      <c r="C44" s="3"/>
      <c r="D44" s="3"/>
      <c r="E44" s="3" t="s">
        <v>11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11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 t="s">
        <v>10</v>
      </c>
      <c r="T44" s="3" t="s">
        <v>10</v>
      </c>
      <c r="U44" s="3" t="s">
        <v>10</v>
      </c>
      <c r="V44" s="3" t="s">
        <v>11</v>
      </c>
      <c r="W44" s="3" t="s">
        <v>10</v>
      </c>
      <c r="X44" s="3" t="s">
        <v>11</v>
      </c>
      <c r="Y44" s="3" t="s">
        <v>11</v>
      </c>
      <c r="Z44" s="3" t="s">
        <v>10</v>
      </c>
      <c r="AA44" s="3" t="s">
        <v>10</v>
      </c>
      <c r="AB44" s="3" t="s">
        <v>11</v>
      </c>
      <c r="AC44" s="3" t="s">
        <v>11</v>
      </c>
      <c r="AD44" s="3" t="s">
        <v>11</v>
      </c>
      <c r="AE44" s="3" t="s">
        <v>10</v>
      </c>
    </row>
    <row r="45" customFormat="false" ht="21.75" hidden="false" customHeight="true" outlineLevel="0" collapsed="false">
      <c r="A45" s="7" t="s">
        <v>125</v>
      </c>
      <c r="B45" s="7"/>
      <c r="C45" s="8" t="s">
        <v>126</v>
      </c>
      <c r="D45" s="8"/>
      <c r="E45" s="3" t="s">
        <v>11</v>
      </c>
      <c r="F45" s="3" t="s">
        <v>10</v>
      </c>
      <c r="G45" s="3" t="s">
        <v>11</v>
      </c>
      <c r="H45" s="3" t="s">
        <v>11</v>
      </c>
      <c r="I45" s="3" t="s">
        <v>11</v>
      </c>
      <c r="J45" s="3" t="s">
        <v>33</v>
      </c>
      <c r="K45" s="3" t="s">
        <v>11</v>
      </c>
      <c r="L45" s="3" t="s">
        <v>33</v>
      </c>
      <c r="M45" s="3" t="s">
        <v>11</v>
      </c>
      <c r="N45" s="3" t="s">
        <v>11</v>
      </c>
      <c r="O45" s="3" t="s">
        <v>11</v>
      </c>
      <c r="P45" s="3" t="s">
        <v>11</v>
      </c>
      <c r="Q45" s="3" t="s">
        <v>11</v>
      </c>
      <c r="R45" s="3" t="s">
        <v>11</v>
      </c>
      <c r="S45" s="3" t="s">
        <v>10</v>
      </c>
      <c r="T45" s="3" t="s">
        <v>10</v>
      </c>
      <c r="U45" s="3" t="s">
        <v>10</v>
      </c>
      <c r="V45" s="3" t="s">
        <v>10</v>
      </c>
      <c r="W45" s="3" t="s">
        <v>33</v>
      </c>
      <c r="X45" s="3" t="s">
        <v>10</v>
      </c>
      <c r="Y45" s="3" t="s">
        <v>11</v>
      </c>
      <c r="Z45" s="3" t="s">
        <v>10</v>
      </c>
      <c r="AA45" s="3" t="s">
        <v>33</v>
      </c>
      <c r="AB45" s="3" t="s">
        <v>11</v>
      </c>
      <c r="AC45" s="3" t="s">
        <v>33</v>
      </c>
      <c r="AD45" s="3" t="s">
        <v>10</v>
      </c>
      <c r="AE45" s="3" t="s">
        <v>10</v>
      </c>
    </row>
    <row r="46" customFormat="false" ht="21.75" hidden="false" customHeight="true" outlineLevel="0" collapsed="false">
      <c r="A46" s="9" t="s">
        <v>127</v>
      </c>
      <c r="B46" s="9"/>
      <c r="C46" s="3"/>
      <c r="D46" s="3"/>
      <c r="E46" s="3" t="s">
        <v>10</v>
      </c>
      <c r="F46" s="3" t="s">
        <v>10</v>
      </c>
      <c r="G46" s="3" t="s">
        <v>10</v>
      </c>
      <c r="H46" s="3" t="s">
        <v>10</v>
      </c>
      <c r="I46" s="3" t="s">
        <v>10</v>
      </c>
      <c r="J46" s="3" t="s">
        <v>10</v>
      </c>
      <c r="K46" s="3" t="s">
        <v>10</v>
      </c>
      <c r="L46" s="3" t="s">
        <v>11</v>
      </c>
      <c r="M46" s="3" t="s">
        <v>10</v>
      </c>
      <c r="N46" s="3" t="s">
        <v>10</v>
      </c>
      <c r="O46" s="3" t="s">
        <v>10</v>
      </c>
      <c r="P46" s="3" t="s">
        <v>10</v>
      </c>
      <c r="Q46" s="3" t="s">
        <v>10</v>
      </c>
      <c r="R46" s="3" t="s">
        <v>10</v>
      </c>
      <c r="S46" s="3" t="s">
        <v>10</v>
      </c>
      <c r="T46" s="3" t="s">
        <v>10</v>
      </c>
      <c r="U46" s="3" t="s">
        <v>10</v>
      </c>
      <c r="V46" s="3" t="s">
        <v>11</v>
      </c>
      <c r="W46" s="3" t="s">
        <v>11</v>
      </c>
      <c r="X46" s="3" t="s">
        <v>10</v>
      </c>
      <c r="Y46" s="3" t="s">
        <v>10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11</v>
      </c>
      <c r="AE46" s="3" t="s">
        <v>10</v>
      </c>
    </row>
  </sheetData>
  <autoFilter ref="A1:AE46"/>
  <mergeCells count="3">
    <mergeCell ref="S39:T39"/>
    <mergeCell ref="A45:B45"/>
    <mergeCell ref="A46:B46"/>
  </mergeCells>
  <conditionalFormatting sqref="AC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conditionalFormatting sqref="N2:AC2 N3:U38 U39 V3:AB39 AC3:AC40">
    <cfRule type="cellIs" priority="4" operator="equal" aboveAverage="0" equalAverage="0" bottom="0" percent="0" rank="0" text="" dxfId="9">
      <formula>"Present"</formula>
    </cfRule>
    <cfRule type="cellIs" priority="5" operator="equal" aboveAverage="0" equalAverage="0" bottom="0" percent="0" rank="0" text="" dxfId="10">
      <formula>"Absent"</formula>
    </cfRule>
  </conditionalFormatting>
  <conditionalFormatting sqref="I2:M37 M38">
    <cfRule type="cellIs" priority="6" operator="equal" aboveAverage="0" equalAverage="0" bottom="0" percent="0" rank="0" text="" dxfId="9">
      <formula>"Present"</formula>
    </cfRule>
    <cfRule type="cellIs" priority="7" operator="equal" aboveAverage="0" equalAverage="0" bottom="0" percent="0" rank="0" text="" dxfId="10">
      <formula>"Absent"</formula>
    </cfRule>
  </conditionalFormatting>
  <conditionalFormatting sqref="A2:A40">
    <cfRule type="cellIs" priority="8" operator="equal" aboveAverage="0" equalAverage="0" bottom="0" percent="0" rank="0" text="" dxfId="9">
      <formula>"Present"</formula>
    </cfRule>
    <cfRule type="cellIs" priority="9" operator="equal" aboveAverage="0" equalAverage="0" bottom="0" percent="0" rank="0" text="" dxfId="10">
      <formula>"Absent"</formula>
    </cfRule>
  </conditionalFormatting>
  <conditionalFormatting sqref="A1:AE1 E2:H36 E37:F37 H37">
    <cfRule type="cellIs" priority="10" operator="equal" aboveAverage="0" equalAverage="0" bottom="0" percent="0" rank="0" text="" dxfId="9">
      <formula>"Present"</formula>
    </cfRule>
    <cfRule type="cellIs" priority="11" operator="equal" aboveAverage="0" equalAverage="0" bottom="0" percent="0" rank="0" text="" dxfId="10">
      <formula>"Absent"</formula>
    </cfRule>
  </conditionalFormatting>
  <dataValidations count="2">
    <dataValidation allowBlank="true" errorStyle="stop" operator="between" showDropDown="false" showErrorMessage="true" showInputMessage="true" sqref="E2:AC36 E37:F37 H37:AC37 M38:AC38 U39:AC39 AC40" type="list">
      <formula1>"Present,Absent,Excused absence"</formula1>
      <formula2>0</formula2>
    </dataValidation>
    <dataValidation allowBlank="true" errorStyle="stop" operator="between" showDropDown="false" showErrorMessage="true" showInputMessage="true" sqref="A1:AE1" type="list">
      <formula1>$A$1:$AE$1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3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&amp;L&amp;"Arial,Regular"&amp;1 #</oddHeader>
    <oddFooter>&amp;L&amp;"Arial,Regular"&amp;10 #Saudi Aramco: Company General Use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42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C2" activeCellId="0" sqref="AC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12" min="4" style="0" width="16"/>
    <col collapsed="false" customWidth="true" hidden="false" outlineLevel="0" max="31" min="13" style="0" width="13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n">
        <v>45931</v>
      </c>
      <c r="F1" s="2" t="n">
        <v>45936</v>
      </c>
      <c r="G1" s="2" t="n">
        <v>45937</v>
      </c>
      <c r="H1" s="2" t="n">
        <v>45938</v>
      </c>
      <c r="I1" s="2" t="n">
        <v>45943</v>
      </c>
      <c r="J1" s="2" t="n">
        <v>45945</v>
      </c>
      <c r="K1" s="2" t="n">
        <v>45950</v>
      </c>
      <c r="L1" s="2" t="n">
        <v>45952</v>
      </c>
      <c r="M1" s="2" t="n">
        <v>45957</v>
      </c>
      <c r="N1" s="2" t="n">
        <v>45959</v>
      </c>
      <c r="O1" s="2" t="n">
        <v>45964</v>
      </c>
      <c r="P1" s="2" t="n">
        <v>45966</v>
      </c>
      <c r="Q1" s="2" t="n">
        <v>45971</v>
      </c>
      <c r="R1" s="2" t="n">
        <v>45973</v>
      </c>
      <c r="S1" s="2" t="n">
        <v>45992</v>
      </c>
      <c r="T1" s="2" t="n">
        <v>45994</v>
      </c>
      <c r="U1" s="2" t="n">
        <v>45999</v>
      </c>
      <c r="V1" s="2" t="n">
        <v>46001</v>
      </c>
      <c r="W1" s="2" t="n">
        <v>46006</v>
      </c>
      <c r="X1" s="2" t="n">
        <v>46008</v>
      </c>
      <c r="Y1" s="2" t="n">
        <v>46013</v>
      </c>
      <c r="Z1" s="2" t="n">
        <v>46015</v>
      </c>
      <c r="AA1" s="2" t="n">
        <v>46020</v>
      </c>
      <c r="AB1" s="2" t="n">
        <v>46022</v>
      </c>
      <c r="AC1" s="1" t="s">
        <v>4</v>
      </c>
      <c r="AD1" s="1" t="s">
        <v>5</v>
      </c>
      <c r="AE1" s="1" t="s">
        <v>6</v>
      </c>
    </row>
    <row r="2" customFormat="false" ht="21.75" hidden="false" customHeight="true" outlineLevel="0" collapsed="false">
      <c r="A2" s="3" t="n">
        <v>1</v>
      </c>
      <c r="B2" s="3" t="s">
        <v>128</v>
      </c>
      <c r="C2" s="4" t="s">
        <v>129</v>
      </c>
      <c r="D2" s="3" t="s">
        <v>130</v>
      </c>
      <c r="E2" s="5" t="s">
        <v>10</v>
      </c>
      <c r="F2" s="5" t="s">
        <v>11</v>
      </c>
      <c r="G2" s="5" t="s">
        <v>10</v>
      </c>
      <c r="H2" s="5" t="s">
        <v>10</v>
      </c>
      <c r="I2" s="5" t="s">
        <v>10</v>
      </c>
      <c r="J2" s="5" t="s">
        <v>33</v>
      </c>
      <c r="K2" s="5" t="s">
        <v>10</v>
      </c>
      <c r="L2" s="5" t="s">
        <v>11</v>
      </c>
      <c r="M2" s="5" t="s">
        <v>10</v>
      </c>
      <c r="N2" s="5" t="s">
        <v>10</v>
      </c>
      <c r="O2" s="5" t="s">
        <v>11</v>
      </c>
      <c r="P2" s="5" t="s">
        <v>10</v>
      </c>
      <c r="Q2" s="5" t="s">
        <v>10</v>
      </c>
      <c r="R2" s="5" t="s">
        <v>11</v>
      </c>
      <c r="S2" s="5" t="s">
        <v>11</v>
      </c>
      <c r="T2" s="5" t="s">
        <v>10</v>
      </c>
      <c r="U2" s="5" t="s">
        <v>11</v>
      </c>
      <c r="V2" s="5" t="s">
        <v>11</v>
      </c>
      <c r="W2" s="5" t="s">
        <v>11</v>
      </c>
      <c r="X2" s="5" t="s">
        <v>10</v>
      </c>
      <c r="Y2" s="5" t="s">
        <v>10</v>
      </c>
      <c r="Z2" s="5" t="s">
        <v>11</v>
      </c>
      <c r="AA2" s="5" t="s">
        <v>33</v>
      </c>
      <c r="AB2" s="5" t="s">
        <v>33</v>
      </c>
      <c r="AC2" s="3" t="n">
        <f aca="false">COUNTIF(E2:AB2,"Absent")</f>
        <v>9</v>
      </c>
      <c r="AD2" s="3" t="n">
        <f aca="false">COUNTIF(E2:AB2,"Present")</f>
        <v>12</v>
      </c>
      <c r="AE2" s="3" t="n">
        <f aca="false">(AD2*5)+(AC2*-5)</f>
        <v>15</v>
      </c>
    </row>
    <row r="3" customFormat="false" ht="21.75" hidden="false" customHeight="true" outlineLevel="0" collapsed="false">
      <c r="A3" s="3" t="n">
        <v>2</v>
      </c>
      <c r="B3" s="3" t="s">
        <v>131</v>
      </c>
      <c r="C3" s="4" t="s">
        <v>132</v>
      </c>
      <c r="D3" s="3" t="s">
        <v>133</v>
      </c>
      <c r="E3" s="5" t="s">
        <v>33</v>
      </c>
      <c r="F3" s="5" t="s">
        <v>10</v>
      </c>
      <c r="G3" s="5" t="s">
        <v>10</v>
      </c>
      <c r="H3" s="5" t="s">
        <v>10</v>
      </c>
      <c r="I3" s="5" t="s">
        <v>10</v>
      </c>
      <c r="J3" s="5" t="s">
        <v>10</v>
      </c>
      <c r="K3" s="5" t="s">
        <v>10</v>
      </c>
      <c r="L3" s="5" t="s">
        <v>10</v>
      </c>
      <c r="M3" s="5" t="s">
        <v>10</v>
      </c>
      <c r="N3" s="5" t="s">
        <v>10</v>
      </c>
      <c r="O3" s="5" t="s">
        <v>10</v>
      </c>
      <c r="P3" s="5" t="s">
        <v>10</v>
      </c>
      <c r="Q3" s="5" t="s">
        <v>10</v>
      </c>
      <c r="R3" s="5" t="s">
        <v>10</v>
      </c>
      <c r="S3" s="5" t="s">
        <v>10</v>
      </c>
      <c r="T3" s="5" t="s">
        <v>10</v>
      </c>
      <c r="U3" s="5" t="s">
        <v>10</v>
      </c>
      <c r="V3" s="5" t="s">
        <v>11</v>
      </c>
      <c r="W3" s="5" t="s">
        <v>11</v>
      </c>
      <c r="X3" s="5" t="s">
        <v>10</v>
      </c>
      <c r="Y3" s="5" t="s">
        <v>10</v>
      </c>
      <c r="Z3" s="5" t="s">
        <v>10</v>
      </c>
      <c r="AA3" s="5" t="s">
        <v>11</v>
      </c>
      <c r="AB3" s="5" t="s">
        <v>10</v>
      </c>
      <c r="AC3" s="3" t="n">
        <f aca="false">COUNTIF(E3:AB3,"Absent")</f>
        <v>3</v>
      </c>
      <c r="AD3" s="3" t="n">
        <f aca="false">COUNTIF(E3:AB3,"Present")</f>
        <v>20</v>
      </c>
      <c r="AE3" s="3" t="n">
        <f aca="false">(AD3*5)+(AC3*-5)</f>
        <v>85</v>
      </c>
    </row>
    <row r="4" customFormat="false" ht="21.75" hidden="false" customHeight="true" outlineLevel="0" collapsed="false">
      <c r="A4" s="3" t="n">
        <v>3</v>
      </c>
      <c r="B4" s="3" t="s">
        <v>134</v>
      </c>
      <c r="C4" s="4" t="s">
        <v>135</v>
      </c>
      <c r="D4" s="3" t="s">
        <v>136</v>
      </c>
      <c r="E4" s="5" t="s">
        <v>10</v>
      </c>
      <c r="F4" s="5" t="s">
        <v>10</v>
      </c>
      <c r="G4" s="5" t="s">
        <v>10</v>
      </c>
      <c r="H4" s="5" t="s">
        <v>33</v>
      </c>
      <c r="I4" s="5" t="s">
        <v>10</v>
      </c>
      <c r="J4" s="5" t="s">
        <v>10</v>
      </c>
      <c r="K4" s="5" t="s">
        <v>11</v>
      </c>
      <c r="L4" s="5" t="s">
        <v>10</v>
      </c>
      <c r="M4" s="5" t="s">
        <v>10</v>
      </c>
      <c r="N4" s="5" t="s">
        <v>11</v>
      </c>
      <c r="O4" s="5" t="s">
        <v>11</v>
      </c>
      <c r="P4" s="5" t="s">
        <v>10</v>
      </c>
      <c r="Q4" s="5" t="s">
        <v>10</v>
      </c>
      <c r="R4" s="5" t="s">
        <v>11</v>
      </c>
      <c r="S4" s="5" t="s">
        <v>11</v>
      </c>
      <c r="T4" s="5" t="s">
        <v>11</v>
      </c>
      <c r="U4" s="5" t="s">
        <v>11</v>
      </c>
      <c r="V4" s="5" t="s">
        <v>10</v>
      </c>
      <c r="W4" s="5" t="s">
        <v>11</v>
      </c>
      <c r="X4" s="5" t="s">
        <v>10</v>
      </c>
      <c r="Y4" s="5" t="s">
        <v>10</v>
      </c>
      <c r="Z4" s="5" t="s">
        <v>11</v>
      </c>
      <c r="AA4" s="5" t="s">
        <v>11</v>
      </c>
      <c r="AB4" s="5" t="s">
        <v>10</v>
      </c>
      <c r="AC4" s="3" t="n">
        <f aca="false">COUNTIF(E4:AB4,"Absent")</f>
        <v>10</v>
      </c>
      <c r="AD4" s="3" t="n">
        <f aca="false">COUNTIF(E4:AB4,"Present")</f>
        <v>13</v>
      </c>
      <c r="AE4" s="3" t="n">
        <f aca="false">(AD4*5)+(AC4*-5)</f>
        <v>15</v>
      </c>
    </row>
    <row r="5" customFormat="false" ht="21.75" hidden="false" customHeight="true" outlineLevel="0" collapsed="false">
      <c r="A5" s="3" t="n">
        <v>4</v>
      </c>
      <c r="B5" s="3" t="s">
        <v>137</v>
      </c>
      <c r="C5" s="4" t="s">
        <v>138</v>
      </c>
      <c r="D5" s="3" t="s">
        <v>139</v>
      </c>
      <c r="E5" s="5" t="s">
        <v>11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11</v>
      </c>
      <c r="L5" s="5" t="s">
        <v>11</v>
      </c>
      <c r="M5" s="5" t="s">
        <v>10</v>
      </c>
      <c r="N5" s="5" t="s">
        <v>10</v>
      </c>
      <c r="O5" s="5" t="s">
        <v>10</v>
      </c>
      <c r="P5" s="5" t="s">
        <v>11</v>
      </c>
      <c r="Q5" s="5" t="s">
        <v>10</v>
      </c>
      <c r="R5" s="5" t="s">
        <v>11</v>
      </c>
      <c r="S5" s="5" t="s">
        <v>11</v>
      </c>
      <c r="T5" s="5" t="s">
        <v>10</v>
      </c>
      <c r="U5" s="5" t="s">
        <v>10</v>
      </c>
      <c r="V5" s="5" t="s">
        <v>11</v>
      </c>
      <c r="W5" s="5" t="s">
        <v>10</v>
      </c>
      <c r="X5" s="5" t="s">
        <v>10</v>
      </c>
      <c r="Y5" s="5" t="s">
        <v>10</v>
      </c>
      <c r="Z5" s="5" t="s">
        <v>10</v>
      </c>
      <c r="AA5" s="5" t="s">
        <v>10</v>
      </c>
      <c r="AB5" s="5" t="s">
        <v>11</v>
      </c>
      <c r="AC5" s="3" t="n">
        <f aca="false">COUNTIF(E5:AB5,"Absent")</f>
        <v>8</v>
      </c>
      <c r="AD5" s="3" t="n">
        <f aca="false">COUNTIF(E5:AB5,"Present")</f>
        <v>16</v>
      </c>
      <c r="AE5" s="3" t="n">
        <f aca="false">(AD5*5)+(AC5*-5)</f>
        <v>40</v>
      </c>
    </row>
    <row r="6" customFormat="false" ht="21.75" hidden="false" customHeight="true" outlineLevel="0" collapsed="false">
      <c r="A6" s="3" t="n">
        <v>5</v>
      </c>
      <c r="B6" s="3" t="s">
        <v>140</v>
      </c>
      <c r="C6" s="4" t="s">
        <v>141</v>
      </c>
      <c r="D6" s="3" t="s">
        <v>142</v>
      </c>
      <c r="E6" s="5" t="s">
        <v>11</v>
      </c>
      <c r="F6" s="5" t="s">
        <v>11</v>
      </c>
      <c r="G6" s="5" t="s">
        <v>11</v>
      </c>
      <c r="H6" s="5" t="s">
        <v>10</v>
      </c>
      <c r="I6" s="5" t="s">
        <v>10</v>
      </c>
      <c r="J6" s="5" t="s">
        <v>10</v>
      </c>
      <c r="K6" s="5" t="s">
        <v>10</v>
      </c>
      <c r="L6" s="5" t="s">
        <v>10</v>
      </c>
      <c r="M6" s="5" t="s">
        <v>11</v>
      </c>
      <c r="N6" s="5" t="s">
        <v>10</v>
      </c>
      <c r="O6" s="5" t="s">
        <v>10</v>
      </c>
      <c r="P6" s="5" t="s">
        <v>10</v>
      </c>
      <c r="Q6" s="5" t="s">
        <v>10</v>
      </c>
      <c r="R6" s="5" t="s">
        <v>10</v>
      </c>
      <c r="S6" s="5" t="s">
        <v>11</v>
      </c>
      <c r="T6" s="5" t="s">
        <v>10</v>
      </c>
      <c r="U6" s="5" t="s">
        <v>11</v>
      </c>
      <c r="V6" s="5" t="s">
        <v>10</v>
      </c>
      <c r="W6" s="5" t="s">
        <v>11</v>
      </c>
      <c r="X6" s="5" t="s">
        <v>10</v>
      </c>
      <c r="Y6" s="5" t="s">
        <v>10</v>
      </c>
      <c r="Z6" s="5" t="s">
        <v>11</v>
      </c>
      <c r="AA6" s="5" t="s">
        <v>10</v>
      </c>
      <c r="AB6" s="5" t="s">
        <v>10</v>
      </c>
      <c r="AC6" s="3" t="n">
        <f aca="false">COUNTIF(E6:AB6,"Absent")</f>
        <v>8</v>
      </c>
      <c r="AD6" s="3" t="n">
        <f aca="false">COUNTIF(E6:AB6,"Present")</f>
        <v>16</v>
      </c>
      <c r="AE6" s="3" t="n">
        <f aca="false">(AD6*5)+(AC6*-5)</f>
        <v>40</v>
      </c>
    </row>
    <row r="7" customFormat="false" ht="21.75" hidden="false" customHeight="true" outlineLevel="0" collapsed="false">
      <c r="A7" s="3" t="n">
        <v>6</v>
      </c>
      <c r="B7" s="3" t="s">
        <v>143</v>
      </c>
      <c r="C7" s="4" t="s">
        <v>144</v>
      </c>
      <c r="D7" s="3" t="s">
        <v>145</v>
      </c>
      <c r="E7" s="5" t="s">
        <v>10</v>
      </c>
      <c r="F7" s="5" t="s">
        <v>10</v>
      </c>
      <c r="G7" s="5" t="s">
        <v>10</v>
      </c>
      <c r="H7" s="5" t="s">
        <v>10</v>
      </c>
      <c r="I7" s="5" t="s">
        <v>33</v>
      </c>
      <c r="J7" s="5" t="s">
        <v>33</v>
      </c>
      <c r="K7" s="5" t="s">
        <v>11</v>
      </c>
      <c r="L7" s="5" t="s">
        <v>10</v>
      </c>
      <c r="M7" s="5" t="s">
        <v>10</v>
      </c>
      <c r="N7" s="5" t="s">
        <v>10</v>
      </c>
      <c r="O7" s="5" t="s">
        <v>10</v>
      </c>
      <c r="P7" s="5" t="s">
        <v>10</v>
      </c>
      <c r="Q7" s="5" t="s">
        <v>10</v>
      </c>
      <c r="R7" s="5" t="s">
        <v>10</v>
      </c>
      <c r="S7" s="5" t="s">
        <v>10</v>
      </c>
      <c r="T7" s="5" t="s">
        <v>10</v>
      </c>
      <c r="U7" s="5" t="s">
        <v>10</v>
      </c>
      <c r="V7" s="5" t="s">
        <v>11</v>
      </c>
      <c r="W7" s="5" t="s">
        <v>11</v>
      </c>
      <c r="X7" s="5" t="s">
        <v>11</v>
      </c>
      <c r="Y7" s="5" t="s">
        <v>10</v>
      </c>
      <c r="Z7" s="5" t="s">
        <v>10</v>
      </c>
      <c r="AA7" s="5" t="s">
        <v>10</v>
      </c>
      <c r="AB7" s="5" t="s">
        <v>10</v>
      </c>
      <c r="AC7" s="3" t="n">
        <f aca="false">COUNTIF(E7:AB7,"Absent")</f>
        <v>4</v>
      </c>
      <c r="AD7" s="3" t="n">
        <f aca="false">COUNTIF(E7:AB7,"Present")</f>
        <v>18</v>
      </c>
      <c r="AE7" s="3" t="n">
        <f aca="false">(AD7*5)+(AC7*-5)</f>
        <v>70</v>
      </c>
    </row>
    <row r="8" customFormat="false" ht="21.75" hidden="false" customHeight="true" outlineLevel="0" collapsed="false">
      <c r="A8" s="3" t="n">
        <v>7</v>
      </c>
      <c r="B8" s="3" t="s">
        <v>146</v>
      </c>
      <c r="C8" s="4" t="s">
        <v>147</v>
      </c>
      <c r="D8" s="3" t="s">
        <v>148</v>
      </c>
      <c r="E8" s="5" t="s">
        <v>11</v>
      </c>
      <c r="F8" s="5" t="s">
        <v>10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11</v>
      </c>
      <c r="L8" s="5" t="s">
        <v>10</v>
      </c>
      <c r="M8" s="5" t="s">
        <v>10</v>
      </c>
      <c r="N8" s="5" t="s">
        <v>10</v>
      </c>
      <c r="O8" s="5" t="s">
        <v>10</v>
      </c>
      <c r="P8" s="5" t="s">
        <v>10</v>
      </c>
      <c r="Q8" s="5" t="s">
        <v>10</v>
      </c>
      <c r="R8" s="5" t="s">
        <v>11</v>
      </c>
      <c r="S8" s="5" t="s">
        <v>10</v>
      </c>
      <c r="T8" s="5" t="s">
        <v>10</v>
      </c>
      <c r="U8" s="5" t="s">
        <v>10</v>
      </c>
      <c r="V8" s="5" t="s">
        <v>10</v>
      </c>
      <c r="W8" s="5" t="s">
        <v>11</v>
      </c>
      <c r="X8" s="5" t="s">
        <v>10</v>
      </c>
      <c r="Y8" s="5" t="s">
        <v>10</v>
      </c>
      <c r="Z8" s="5" t="s">
        <v>10</v>
      </c>
      <c r="AA8" s="5" t="s">
        <v>10</v>
      </c>
      <c r="AB8" s="5" t="s">
        <v>10</v>
      </c>
      <c r="AC8" s="3" t="n">
        <f aca="false">COUNTIF(E8:AB8,"Absent")</f>
        <v>4</v>
      </c>
      <c r="AD8" s="3" t="n">
        <f aca="false">COUNTIF(E8:AB8,"Present")</f>
        <v>20</v>
      </c>
      <c r="AE8" s="3" t="n">
        <f aca="false">(AD8*5)+(AC8*-5)</f>
        <v>80</v>
      </c>
    </row>
    <row r="9" customFormat="false" ht="21.75" hidden="false" customHeight="true" outlineLevel="0" collapsed="false">
      <c r="A9" s="3" t="n">
        <v>8</v>
      </c>
      <c r="B9" s="3" t="s">
        <v>149</v>
      </c>
      <c r="C9" s="4" t="s">
        <v>150</v>
      </c>
      <c r="D9" s="3" t="s">
        <v>151</v>
      </c>
      <c r="E9" s="5" t="s">
        <v>33</v>
      </c>
      <c r="F9" s="5" t="s">
        <v>33</v>
      </c>
      <c r="G9" s="5" t="s">
        <v>10</v>
      </c>
      <c r="H9" s="5" t="s">
        <v>33</v>
      </c>
      <c r="I9" s="5" t="s">
        <v>33</v>
      </c>
      <c r="J9" s="5" t="s">
        <v>33</v>
      </c>
      <c r="K9" s="5" t="s">
        <v>11</v>
      </c>
      <c r="L9" s="5" t="s">
        <v>11</v>
      </c>
      <c r="M9" s="5" t="s">
        <v>10</v>
      </c>
      <c r="N9" s="5" t="s">
        <v>10</v>
      </c>
      <c r="O9" s="5" t="s">
        <v>11</v>
      </c>
      <c r="P9" s="5" t="s">
        <v>10</v>
      </c>
      <c r="Q9" s="5" t="s">
        <v>11</v>
      </c>
      <c r="R9" s="5" t="s">
        <v>10</v>
      </c>
      <c r="S9" s="5" t="s">
        <v>11</v>
      </c>
      <c r="T9" s="5" t="s">
        <v>11</v>
      </c>
      <c r="U9" s="5" t="s">
        <v>11</v>
      </c>
      <c r="V9" s="5" t="s">
        <v>11</v>
      </c>
      <c r="W9" s="5" t="s">
        <v>11</v>
      </c>
      <c r="X9" s="5" t="s">
        <v>11</v>
      </c>
      <c r="Y9" s="5" t="s">
        <v>11</v>
      </c>
      <c r="Z9" s="5" t="s">
        <v>10</v>
      </c>
      <c r="AA9" s="5" t="s">
        <v>10</v>
      </c>
      <c r="AB9" s="5" t="s">
        <v>10</v>
      </c>
      <c r="AC9" s="3" t="n">
        <f aca="false">COUNTIF(E9:AB9,"Absent")</f>
        <v>11</v>
      </c>
      <c r="AD9" s="3" t="n">
        <f aca="false">COUNTIF(E9:AB9,"Present")</f>
        <v>8</v>
      </c>
      <c r="AE9" s="3" t="n">
        <f aca="false">(AD9*5)+(AC9*-5)</f>
        <v>-15</v>
      </c>
    </row>
    <row r="10" customFormat="false" ht="21.75" hidden="false" customHeight="true" outlineLevel="0" collapsed="false">
      <c r="A10" s="3" t="n">
        <v>9</v>
      </c>
      <c r="B10" s="3" t="s">
        <v>152</v>
      </c>
      <c r="C10" s="4" t="s">
        <v>153</v>
      </c>
      <c r="D10" s="3" t="s">
        <v>154</v>
      </c>
      <c r="E10" s="5" t="s">
        <v>10</v>
      </c>
      <c r="F10" s="5" t="s">
        <v>10</v>
      </c>
      <c r="G10" s="5" t="s">
        <v>11</v>
      </c>
      <c r="H10" s="5" t="s">
        <v>10</v>
      </c>
      <c r="I10" s="5" t="s">
        <v>10</v>
      </c>
      <c r="J10" s="5" t="s">
        <v>10</v>
      </c>
      <c r="K10" s="5" t="s">
        <v>11</v>
      </c>
      <c r="L10" s="5" t="s">
        <v>10</v>
      </c>
      <c r="M10" s="5" t="s">
        <v>10</v>
      </c>
      <c r="N10" s="5" t="s">
        <v>11</v>
      </c>
      <c r="O10" s="5" t="s">
        <v>10</v>
      </c>
      <c r="P10" s="5" t="s">
        <v>11</v>
      </c>
      <c r="Q10" s="5" t="s">
        <v>10</v>
      </c>
      <c r="R10" s="5" t="s">
        <v>10</v>
      </c>
      <c r="S10" s="5" t="s">
        <v>11</v>
      </c>
      <c r="T10" s="5" t="s">
        <v>10</v>
      </c>
      <c r="U10" s="5" t="s">
        <v>11</v>
      </c>
      <c r="V10" s="5" t="s">
        <v>10</v>
      </c>
      <c r="W10" s="5" t="s">
        <v>10</v>
      </c>
      <c r="X10" s="5" t="s">
        <v>10</v>
      </c>
      <c r="Y10" s="5" t="s">
        <v>11</v>
      </c>
      <c r="Z10" s="5" t="s">
        <v>10</v>
      </c>
      <c r="AA10" s="5" t="s">
        <v>10</v>
      </c>
      <c r="AB10" s="5" t="s">
        <v>10</v>
      </c>
      <c r="AC10" s="3" t="n">
        <f aca="false">COUNTIF(E10:AB10,"Absent")</f>
        <v>7</v>
      </c>
      <c r="AD10" s="3" t="n">
        <f aca="false">COUNTIF(E10:AB10,"Present")</f>
        <v>17</v>
      </c>
      <c r="AE10" s="3" t="n">
        <f aca="false">(AD10*5)+(AC10*-5)</f>
        <v>50</v>
      </c>
    </row>
    <row r="11" customFormat="false" ht="21.75" hidden="false" customHeight="true" outlineLevel="0" collapsed="false">
      <c r="A11" s="3" t="n">
        <v>10</v>
      </c>
      <c r="B11" s="3" t="s">
        <v>155</v>
      </c>
      <c r="C11" s="4" t="s">
        <v>156</v>
      </c>
      <c r="D11" s="3" t="s">
        <v>157</v>
      </c>
      <c r="E11" s="5" t="s">
        <v>10</v>
      </c>
      <c r="F11" s="5" t="s">
        <v>10</v>
      </c>
      <c r="G11" s="5" t="s">
        <v>10</v>
      </c>
      <c r="H11" s="5" t="s">
        <v>11</v>
      </c>
      <c r="I11" s="5" t="s">
        <v>10</v>
      </c>
      <c r="J11" s="5" t="s">
        <v>10</v>
      </c>
      <c r="K11" s="5" t="s">
        <v>11</v>
      </c>
      <c r="L11" s="5" t="s">
        <v>10</v>
      </c>
      <c r="M11" s="5" t="s">
        <v>10</v>
      </c>
      <c r="N11" s="5" t="s">
        <v>11</v>
      </c>
      <c r="O11" s="5" t="s">
        <v>10</v>
      </c>
      <c r="P11" s="5" t="s">
        <v>10</v>
      </c>
      <c r="Q11" s="5" t="s">
        <v>10</v>
      </c>
      <c r="R11" s="5" t="s">
        <v>11</v>
      </c>
      <c r="S11" s="5" t="s">
        <v>11</v>
      </c>
      <c r="T11" s="5" t="s">
        <v>10</v>
      </c>
      <c r="U11" s="5" t="s">
        <v>11</v>
      </c>
      <c r="V11" s="5" t="s">
        <v>10</v>
      </c>
      <c r="W11" s="5" t="s">
        <v>11</v>
      </c>
      <c r="X11" s="5" t="s">
        <v>33</v>
      </c>
      <c r="Y11" s="5" t="s">
        <v>10</v>
      </c>
      <c r="Z11" s="5" t="s">
        <v>10</v>
      </c>
      <c r="AA11" s="5" t="s">
        <v>10</v>
      </c>
      <c r="AB11" s="5" t="s">
        <v>11</v>
      </c>
      <c r="AC11" s="3" t="n">
        <f aca="false">COUNTIF(E11:AB11,"Absent")</f>
        <v>8</v>
      </c>
      <c r="AD11" s="3" t="n">
        <f aca="false">COUNTIF(E11:AB11,"Present")</f>
        <v>15</v>
      </c>
      <c r="AE11" s="3" t="n">
        <f aca="false">(AD11*5)+(AC11*-5)</f>
        <v>35</v>
      </c>
    </row>
    <row r="12" customFormat="false" ht="21.75" hidden="false" customHeight="true" outlineLevel="0" collapsed="false">
      <c r="A12" s="3" t="n">
        <v>11</v>
      </c>
      <c r="B12" s="3" t="s">
        <v>158</v>
      </c>
      <c r="C12" s="4" t="s">
        <v>159</v>
      </c>
      <c r="D12" s="3" t="s">
        <v>160</v>
      </c>
      <c r="E12" s="5" t="s">
        <v>11</v>
      </c>
      <c r="F12" s="5" t="s">
        <v>11</v>
      </c>
      <c r="G12" s="5" t="s">
        <v>10</v>
      </c>
      <c r="H12" s="5" t="s">
        <v>11</v>
      </c>
      <c r="I12" s="5" t="s">
        <v>11</v>
      </c>
      <c r="J12" s="5" t="s">
        <v>11</v>
      </c>
      <c r="K12" s="5" t="s">
        <v>11</v>
      </c>
      <c r="L12" s="5" t="s">
        <v>11</v>
      </c>
      <c r="M12" s="5" t="s">
        <v>11</v>
      </c>
      <c r="N12" s="5" t="s">
        <v>11</v>
      </c>
      <c r="O12" s="5" t="s">
        <v>10</v>
      </c>
      <c r="P12" s="5" t="s">
        <v>10</v>
      </c>
      <c r="Q12" s="5" t="s">
        <v>11</v>
      </c>
      <c r="R12" s="5" t="s">
        <v>10</v>
      </c>
      <c r="S12" s="5" t="s">
        <v>11</v>
      </c>
      <c r="T12" s="5" t="s">
        <v>11</v>
      </c>
      <c r="U12" s="5" t="s">
        <v>11</v>
      </c>
      <c r="V12" s="5" t="s">
        <v>11</v>
      </c>
      <c r="W12" s="5" t="s">
        <v>11</v>
      </c>
      <c r="X12" s="5" t="s">
        <v>33</v>
      </c>
      <c r="Y12" s="5" t="s">
        <v>10</v>
      </c>
      <c r="Z12" s="5" t="s">
        <v>10</v>
      </c>
      <c r="AA12" s="5" t="s">
        <v>11</v>
      </c>
      <c r="AB12" s="5" t="s">
        <v>11</v>
      </c>
      <c r="AC12" s="3" t="n">
        <f aca="false">COUNTIF(E12:AB12,"Absent")</f>
        <v>17</v>
      </c>
      <c r="AD12" s="3" t="n">
        <f aca="false">COUNTIF(E12:AB12,"Present")</f>
        <v>6</v>
      </c>
      <c r="AE12" s="3" t="n">
        <f aca="false">(AD12*5)+(AC12*-5)</f>
        <v>-55</v>
      </c>
    </row>
    <row r="13" customFormat="false" ht="21.75" hidden="false" customHeight="true" outlineLevel="0" collapsed="false">
      <c r="A13" s="3" t="n">
        <v>12</v>
      </c>
      <c r="B13" s="3" t="s">
        <v>161</v>
      </c>
      <c r="C13" s="4" t="s">
        <v>162</v>
      </c>
      <c r="D13" s="3" t="s">
        <v>163</v>
      </c>
      <c r="E13" s="5" t="s">
        <v>10</v>
      </c>
      <c r="F13" s="5" t="s">
        <v>10</v>
      </c>
      <c r="G13" s="5" t="s">
        <v>10</v>
      </c>
      <c r="H13" s="5" t="s">
        <v>10</v>
      </c>
      <c r="I13" s="5" t="s">
        <v>11</v>
      </c>
      <c r="J13" s="5" t="s">
        <v>10</v>
      </c>
      <c r="K13" s="5" t="s">
        <v>11</v>
      </c>
      <c r="L13" s="5" t="s">
        <v>10</v>
      </c>
      <c r="M13" s="5" t="s">
        <v>10</v>
      </c>
      <c r="N13" s="5" t="s">
        <v>10</v>
      </c>
      <c r="O13" s="5" t="s">
        <v>10</v>
      </c>
      <c r="P13" s="5" t="s">
        <v>10</v>
      </c>
      <c r="Q13" s="5" t="s">
        <v>10</v>
      </c>
      <c r="R13" s="5" t="s">
        <v>10</v>
      </c>
      <c r="S13" s="5" t="s">
        <v>10</v>
      </c>
      <c r="T13" s="5" t="s">
        <v>10</v>
      </c>
      <c r="U13" s="5" t="s">
        <v>11</v>
      </c>
      <c r="V13" s="5" t="s">
        <v>11</v>
      </c>
      <c r="W13" s="5" t="s">
        <v>10</v>
      </c>
      <c r="X13" s="5" t="s">
        <v>11</v>
      </c>
      <c r="Y13" s="5" t="s">
        <v>11</v>
      </c>
      <c r="Z13" s="5" t="s">
        <v>11</v>
      </c>
      <c r="AA13" s="5" t="s">
        <v>10</v>
      </c>
      <c r="AB13" s="5" t="s">
        <v>11</v>
      </c>
      <c r="AC13" s="3" t="n">
        <f aca="false">COUNTIF(E13:AB13,"Absent")</f>
        <v>8</v>
      </c>
      <c r="AD13" s="3" t="n">
        <f aca="false">COUNTIF(E13:AB13,"Present")</f>
        <v>16</v>
      </c>
      <c r="AE13" s="3" t="n">
        <f aca="false">(AD13*5)+(AC13*-5)</f>
        <v>40</v>
      </c>
    </row>
    <row r="14" customFormat="false" ht="21.75" hidden="false" customHeight="true" outlineLevel="0" collapsed="false">
      <c r="A14" s="3" t="n">
        <v>13</v>
      </c>
      <c r="B14" s="3" t="s">
        <v>164</v>
      </c>
      <c r="C14" s="4" t="s">
        <v>165</v>
      </c>
      <c r="D14" s="3" t="s">
        <v>166</v>
      </c>
      <c r="E14" s="5" t="s">
        <v>11</v>
      </c>
      <c r="F14" s="5" t="s">
        <v>33</v>
      </c>
      <c r="G14" s="5" t="s">
        <v>11</v>
      </c>
      <c r="H14" s="5" t="s">
        <v>11</v>
      </c>
      <c r="I14" s="5" t="s">
        <v>33</v>
      </c>
      <c r="J14" s="5" t="s">
        <v>33</v>
      </c>
      <c r="K14" s="5" t="s">
        <v>11</v>
      </c>
      <c r="L14" s="5" t="s">
        <v>11</v>
      </c>
      <c r="M14" s="5" t="s">
        <v>11</v>
      </c>
      <c r="N14" s="5" t="s">
        <v>11</v>
      </c>
      <c r="O14" s="5" t="s">
        <v>11</v>
      </c>
      <c r="P14" s="5" t="s">
        <v>11</v>
      </c>
      <c r="Q14" s="5" t="s">
        <v>11</v>
      </c>
      <c r="R14" s="5" t="s">
        <v>11</v>
      </c>
      <c r="S14" s="5" t="s">
        <v>10</v>
      </c>
      <c r="T14" s="5" t="s">
        <v>10</v>
      </c>
      <c r="U14" s="5" t="s">
        <v>11</v>
      </c>
      <c r="V14" s="5" t="s">
        <v>11</v>
      </c>
      <c r="W14" s="5" t="s">
        <v>11</v>
      </c>
      <c r="X14" s="5" t="s">
        <v>10</v>
      </c>
      <c r="Y14" s="5" t="s">
        <v>10</v>
      </c>
      <c r="Z14" s="5" t="s">
        <v>10</v>
      </c>
      <c r="AA14" s="5" t="s">
        <v>10</v>
      </c>
      <c r="AB14" s="5" t="s">
        <v>10</v>
      </c>
      <c r="AC14" s="3" t="n">
        <f aca="false">COUNTIF(E14:AB14,"Absent")</f>
        <v>14</v>
      </c>
      <c r="AD14" s="3" t="n">
        <f aca="false">COUNTIF(E14:AB14,"Present")</f>
        <v>7</v>
      </c>
      <c r="AE14" s="3" t="n">
        <f aca="false">(AD14*5)+(AC14*-5)</f>
        <v>-35</v>
      </c>
    </row>
    <row r="15" customFormat="false" ht="21.75" hidden="false" customHeight="true" outlineLevel="0" collapsed="false">
      <c r="A15" s="3" t="n">
        <v>14</v>
      </c>
      <c r="B15" s="3" t="s">
        <v>167</v>
      </c>
      <c r="C15" s="4" t="s">
        <v>168</v>
      </c>
      <c r="D15" s="3" t="s">
        <v>169</v>
      </c>
      <c r="E15" s="5" t="s">
        <v>10</v>
      </c>
      <c r="F15" s="5" t="s">
        <v>11</v>
      </c>
      <c r="G15" s="5" t="s">
        <v>10</v>
      </c>
      <c r="H15" s="5" t="s">
        <v>10</v>
      </c>
      <c r="I15" s="5" t="s">
        <v>11</v>
      </c>
      <c r="J15" s="5" t="s">
        <v>10</v>
      </c>
      <c r="K15" s="5" t="s">
        <v>11</v>
      </c>
      <c r="L15" s="5" t="s">
        <v>11</v>
      </c>
      <c r="M15" s="5" t="s">
        <v>11</v>
      </c>
      <c r="N15" s="5" t="s">
        <v>11</v>
      </c>
      <c r="O15" s="5" t="s">
        <v>11</v>
      </c>
      <c r="P15" s="5" t="s">
        <v>11</v>
      </c>
      <c r="Q15" s="5" t="s">
        <v>11</v>
      </c>
      <c r="R15" s="5" t="s">
        <v>11</v>
      </c>
      <c r="S15" s="5" t="s">
        <v>10</v>
      </c>
      <c r="T15" s="5" t="s">
        <v>10</v>
      </c>
      <c r="U15" s="5" t="s">
        <v>11</v>
      </c>
      <c r="V15" s="5" t="s">
        <v>10</v>
      </c>
      <c r="W15" s="5" t="s">
        <v>11</v>
      </c>
      <c r="X15" s="5" t="s">
        <v>11</v>
      </c>
      <c r="Y15" s="5" t="s">
        <v>10</v>
      </c>
      <c r="Z15" s="5" t="s">
        <v>11</v>
      </c>
      <c r="AA15" s="5" t="s">
        <v>11</v>
      </c>
      <c r="AB15" s="5" t="s">
        <v>10</v>
      </c>
      <c r="AC15" s="3" t="n">
        <f aca="false">COUNTIF(E15:AB15,"Absent")</f>
        <v>15</v>
      </c>
      <c r="AD15" s="3" t="n">
        <f aca="false">COUNTIF(E15:AB15,"Present")</f>
        <v>9</v>
      </c>
      <c r="AE15" s="3" t="n">
        <f aca="false">(AD15*5)+(AC15*-5)</f>
        <v>-30</v>
      </c>
    </row>
    <row r="16" customFormat="false" ht="21.75" hidden="false" customHeight="true" outlineLevel="0" collapsed="false">
      <c r="A16" s="3" t="n">
        <v>15</v>
      </c>
      <c r="B16" s="3" t="s">
        <v>170</v>
      </c>
      <c r="C16" s="4" t="s">
        <v>171</v>
      </c>
      <c r="D16" s="3" t="s">
        <v>172</v>
      </c>
      <c r="E16" s="5" t="s">
        <v>33</v>
      </c>
      <c r="F16" s="5" t="s">
        <v>10</v>
      </c>
      <c r="G16" s="5" t="s">
        <v>11</v>
      </c>
      <c r="H16" s="5" t="s">
        <v>10</v>
      </c>
      <c r="I16" s="5" t="s">
        <v>10</v>
      </c>
      <c r="J16" s="5" t="s">
        <v>10</v>
      </c>
      <c r="K16" s="5" t="s">
        <v>11</v>
      </c>
      <c r="L16" s="5" t="s">
        <v>10</v>
      </c>
      <c r="M16" s="5" t="s">
        <v>11</v>
      </c>
      <c r="N16" s="5" t="s">
        <v>10</v>
      </c>
      <c r="O16" s="5" t="s">
        <v>10</v>
      </c>
      <c r="P16" s="5" t="s">
        <v>10</v>
      </c>
      <c r="Q16" s="5" t="s">
        <v>10</v>
      </c>
      <c r="R16" s="5" t="s">
        <v>10</v>
      </c>
      <c r="S16" s="5" t="s">
        <v>11</v>
      </c>
      <c r="T16" s="5" t="s">
        <v>10</v>
      </c>
      <c r="U16" s="5" t="s">
        <v>11</v>
      </c>
      <c r="V16" s="5" t="s">
        <v>11</v>
      </c>
      <c r="W16" s="5" t="s">
        <v>11</v>
      </c>
      <c r="X16" s="5" t="s">
        <v>11</v>
      </c>
      <c r="Y16" s="5" t="s">
        <v>10</v>
      </c>
      <c r="Z16" s="5" t="s">
        <v>10</v>
      </c>
      <c r="AA16" s="5" t="s">
        <v>10</v>
      </c>
      <c r="AB16" s="5" t="s">
        <v>11</v>
      </c>
      <c r="AC16" s="3" t="n">
        <f aca="false">COUNTIF(E16:AB16,"Absent")</f>
        <v>9</v>
      </c>
      <c r="AD16" s="3" t="n">
        <f aca="false">COUNTIF(E16:AB16,"Present")</f>
        <v>14</v>
      </c>
      <c r="AE16" s="3" t="n">
        <f aca="false">(AD16*5)+(AC16*-5)</f>
        <v>25</v>
      </c>
    </row>
    <row r="17" customFormat="false" ht="21.75" hidden="false" customHeight="true" outlineLevel="0" collapsed="false">
      <c r="A17" s="3" t="n">
        <v>16</v>
      </c>
      <c r="B17" s="3" t="s">
        <v>173</v>
      </c>
      <c r="C17" s="4" t="s">
        <v>174</v>
      </c>
      <c r="D17" s="3" t="s">
        <v>175</v>
      </c>
      <c r="E17" s="5" t="s">
        <v>11</v>
      </c>
      <c r="F17" s="5" t="s">
        <v>10</v>
      </c>
      <c r="G17" s="5" t="s">
        <v>10</v>
      </c>
      <c r="H17" s="5" t="s">
        <v>11</v>
      </c>
      <c r="I17" s="5" t="s">
        <v>11</v>
      </c>
      <c r="J17" s="5" t="s">
        <v>11</v>
      </c>
      <c r="K17" s="5" t="s">
        <v>11</v>
      </c>
      <c r="L17" s="5" t="s">
        <v>10</v>
      </c>
      <c r="M17" s="5" t="s">
        <v>11</v>
      </c>
      <c r="N17" s="5" t="s">
        <v>11</v>
      </c>
      <c r="O17" s="5" t="s">
        <v>11</v>
      </c>
      <c r="P17" s="5" t="s">
        <v>11</v>
      </c>
      <c r="Q17" s="5" t="s">
        <v>11</v>
      </c>
      <c r="R17" s="5" t="s">
        <v>11</v>
      </c>
      <c r="S17" s="5" t="s">
        <v>11</v>
      </c>
      <c r="T17" s="5" t="s">
        <v>11</v>
      </c>
      <c r="U17" s="5" t="s">
        <v>11</v>
      </c>
      <c r="V17" s="5" t="s">
        <v>11</v>
      </c>
      <c r="W17" s="5" t="s">
        <v>11</v>
      </c>
      <c r="X17" s="5" t="s">
        <v>11</v>
      </c>
      <c r="Y17" s="5" t="s">
        <v>11</v>
      </c>
      <c r="Z17" s="5" t="s">
        <v>11</v>
      </c>
      <c r="AA17" s="5" t="s">
        <v>10</v>
      </c>
      <c r="AB17" s="5" t="s">
        <v>10</v>
      </c>
      <c r="AC17" s="3" t="n">
        <f aca="false">COUNTIF(E17:AB17,"Absent")</f>
        <v>19</v>
      </c>
      <c r="AD17" s="3" t="n">
        <f aca="false">COUNTIF(E17:AB17,"Present")</f>
        <v>5</v>
      </c>
      <c r="AE17" s="3" t="n">
        <f aca="false">(AD17*5)+(AC17*-5)</f>
        <v>-70</v>
      </c>
    </row>
    <row r="18" customFormat="false" ht="21.75" hidden="false" customHeight="true" outlineLevel="0" collapsed="false">
      <c r="A18" s="3" t="n">
        <v>17</v>
      </c>
      <c r="B18" s="3" t="s">
        <v>176</v>
      </c>
      <c r="C18" s="4" t="s">
        <v>177</v>
      </c>
      <c r="D18" s="3" t="s">
        <v>178</v>
      </c>
      <c r="E18" s="5" t="s">
        <v>10</v>
      </c>
      <c r="F18" s="5" t="s">
        <v>10</v>
      </c>
      <c r="G18" s="5" t="s">
        <v>33</v>
      </c>
      <c r="H18" s="5" t="s">
        <v>10</v>
      </c>
      <c r="I18" s="5" t="s">
        <v>33</v>
      </c>
      <c r="J18" s="5" t="s">
        <v>33</v>
      </c>
      <c r="K18" s="5" t="s">
        <v>11</v>
      </c>
      <c r="L18" s="5" t="s">
        <v>10</v>
      </c>
      <c r="M18" s="5" t="s">
        <v>11</v>
      </c>
      <c r="N18" s="5" t="s">
        <v>10</v>
      </c>
      <c r="O18" s="5" t="s">
        <v>10</v>
      </c>
      <c r="P18" s="5" t="s">
        <v>10</v>
      </c>
      <c r="Q18" s="5" t="s">
        <v>10</v>
      </c>
      <c r="R18" s="5" t="s">
        <v>10</v>
      </c>
      <c r="S18" s="5" t="s">
        <v>11</v>
      </c>
      <c r="T18" s="5" t="s">
        <v>10</v>
      </c>
      <c r="U18" s="5" t="s">
        <v>10</v>
      </c>
      <c r="V18" s="5" t="s">
        <v>10</v>
      </c>
      <c r="W18" s="5" t="s">
        <v>10</v>
      </c>
      <c r="X18" s="5" t="s">
        <v>11</v>
      </c>
      <c r="Y18" s="5" t="s">
        <v>10</v>
      </c>
      <c r="Z18" s="5" t="s">
        <v>10</v>
      </c>
      <c r="AA18" s="5" t="s">
        <v>10</v>
      </c>
      <c r="AB18" s="5" t="s">
        <v>10</v>
      </c>
      <c r="AC18" s="3" t="n">
        <f aca="false">COUNTIF(E18:AB18,"Absent")</f>
        <v>4</v>
      </c>
      <c r="AD18" s="3" t="n">
        <f aca="false">COUNTIF(E18:AB18,"Present")</f>
        <v>17</v>
      </c>
      <c r="AE18" s="3" t="n">
        <f aca="false">(AD18*5)+(AC18*-5)</f>
        <v>65</v>
      </c>
    </row>
    <row r="19" customFormat="false" ht="21.75" hidden="false" customHeight="true" outlineLevel="0" collapsed="false">
      <c r="A19" s="3" t="n">
        <v>18</v>
      </c>
      <c r="B19" s="3" t="s">
        <v>179</v>
      </c>
      <c r="C19" s="4" t="s">
        <v>180</v>
      </c>
      <c r="D19" s="3" t="s">
        <v>181</v>
      </c>
      <c r="E19" s="5" t="s">
        <v>33</v>
      </c>
      <c r="F19" s="5" t="s">
        <v>10</v>
      </c>
      <c r="G19" s="5" t="s">
        <v>10</v>
      </c>
      <c r="H19" s="5" t="s">
        <v>33</v>
      </c>
      <c r="I19" s="5" t="s">
        <v>33</v>
      </c>
      <c r="J19" s="5" t="s">
        <v>33</v>
      </c>
      <c r="K19" s="5" t="s">
        <v>11</v>
      </c>
      <c r="L19" s="5" t="s">
        <v>11</v>
      </c>
      <c r="M19" s="5" t="s">
        <v>11</v>
      </c>
      <c r="N19" s="5" t="s">
        <v>11</v>
      </c>
      <c r="O19" s="5" t="s">
        <v>11</v>
      </c>
      <c r="P19" s="5" t="s">
        <v>11</v>
      </c>
      <c r="Q19" s="5" t="s">
        <v>11</v>
      </c>
      <c r="R19" s="5" t="s">
        <v>11</v>
      </c>
      <c r="S19" s="5" t="s">
        <v>11</v>
      </c>
      <c r="T19" s="5" t="s">
        <v>11</v>
      </c>
      <c r="U19" s="5" t="s">
        <v>11</v>
      </c>
      <c r="V19" s="5" t="s">
        <v>11</v>
      </c>
      <c r="W19" s="5" t="s">
        <v>11</v>
      </c>
      <c r="X19" s="5" t="s">
        <v>10</v>
      </c>
      <c r="Y19" s="5" t="s">
        <v>33</v>
      </c>
      <c r="Z19" s="5" t="s">
        <v>10</v>
      </c>
      <c r="AA19" s="5" t="s">
        <v>10</v>
      </c>
      <c r="AB19" s="5" t="s">
        <v>10</v>
      </c>
      <c r="AC19" s="3" t="n">
        <f aca="false">COUNTIF(E19:AB19,"Absent")</f>
        <v>13</v>
      </c>
      <c r="AD19" s="3" t="n">
        <f aca="false">COUNTIF(E19:AB19,"Present")</f>
        <v>6</v>
      </c>
      <c r="AE19" s="3" t="n">
        <f aca="false">(AD19*5)+(AC19*-5)</f>
        <v>-35</v>
      </c>
    </row>
    <row r="20" customFormat="false" ht="21.75" hidden="false" customHeight="true" outlineLevel="0" collapsed="false">
      <c r="A20" s="3" t="n">
        <v>19</v>
      </c>
      <c r="B20" s="3" t="s">
        <v>182</v>
      </c>
      <c r="C20" s="4" t="s">
        <v>183</v>
      </c>
      <c r="D20" s="3" t="s">
        <v>184</v>
      </c>
      <c r="E20" s="5" t="s">
        <v>10</v>
      </c>
      <c r="F20" s="5" t="s">
        <v>33</v>
      </c>
      <c r="G20" s="5" t="s">
        <v>11</v>
      </c>
      <c r="H20" s="5" t="s">
        <v>10</v>
      </c>
      <c r="I20" s="5" t="s">
        <v>10</v>
      </c>
      <c r="J20" s="5" t="s">
        <v>10</v>
      </c>
      <c r="K20" s="5" t="s">
        <v>11</v>
      </c>
      <c r="L20" s="5" t="s">
        <v>10</v>
      </c>
      <c r="M20" s="5" t="s">
        <v>10</v>
      </c>
      <c r="N20" s="5" t="s">
        <v>10</v>
      </c>
      <c r="O20" s="5" t="s">
        <v>10</v>
      </c>
      <c r="P20" s="5" t="s">
        <v>10</v>
      </c>
      <c r="Q20" s="5" t="s">
        <v>10</v>
      </c>
      <c r="R20" s="5" t="s">
        <v>10</v>
      </c>
      <c r="S20" s="5" t="s">
        <v>11</v>
      </c>
      <c r="T20" s="5" t="s">
        <v>10</v>
      </c>
      <c r="U20" s="5" t="s">
        <v>11</v>
      </c>
      <c r="V20" s="5" t="s">
        <v>11</v>
      </c>
      <c r="W20" s="5" t="s">
        <v>11</v>
      </c>
      <c r="X20" s="5" t="s">
        <v>10</v>
      </c>
      <c r="Y20" s="5" t="s">
        <v>10</v>
      </c>
      <c r="Z20" s="5" t="s">
        <v>10</v>
      </c>
      <c r="AA20" s="5" t="s">
        <v>11</v>
      </c>
      <c r="AB20" s="5" t="s">
        <v>10</v>
      </c>
      <c r="AC20" s="3" t="n">
        <f aca="false">COUNTIF(E20:AB20,"Absent")</f>
        <v>7</v>
      </c>
      <c r="AD20" s="3" t="n">
        <f aca="false">COUNTIF(E20:AB20,"Present")</f>
        <v>16</v>
      </c>
      <c r="AE20" s="3" t="n">
        <f aca="false">(AD20*5)+(AC20*-5)</f>
        <v>45</v>
      </c>
    </row>
    <row r="21" customFormat="false" ht="21.75" hidden="false" customHeight="true" outlineLevel="0" collapsed="false">
      <c r="A21" s="3" t="n">
        <v>20</v>
      </c>
      <c r="B21" s="3" t="s">
        <v>185</v>
      </c>
      <c r="C21" s="4" t="s">
        <v>186</v>
      </c>
      <c r="D21" s="3" t="s">
        <v>187</v>
      </c>
      <c r="E21" s="5" t="s">
        <v>10</v>
      </c>
      <c r="F21" s="5" t="s">
        <v>10</v>
      </c>
      <c r="G21" s="5" t="s">
        <v>10</v>
      </c>
      <c r="H21" s="5" t="s">
        <v>10</v>
      </c>
      <c r="I21" s="5" t="s">
        <v>10</v>
      </c>
      <c r="J21" s="5" t="s">
        <v>10</v>
      </c>
      <c r="K21" s="5" t="s">
        <v>10</v>
      </c>
      <c r="L21" s="5" t="s">
        <v>10</v>
      </c>
      <c r="M21" s="5" t="s">
        <v>10</v>
      </c>
      <c r="N21" s="5" t="s">
        <v>11</v>
      </c>
      <c r="O21" s="5" t="s">
        <v>10</v>
      </c>
      <c r="P21" s="5" t="s">
        <v>10</v>
      </c>
      <c r="Q21" s="5" t="s">
        <v>10</v>
      </c>
      <c r="R21" s="5" t="s">
        <v>10</v>
      </c>
      <c r="S21" s="5" t="s">
        <v>10</v>
      </c>
      <c r="T21" s="5" t="s">
        <v>10</v>
      </c>
      <c r="U21" s="5" t="s">
        <v>10</v>
      </c>
      <c r="V21" s="5" t="s">
        <v>10</v>
      </c>
      <c r="W21" s="5" t="s">
        <v>10</v>
      </c>
      <c r="X21" s="5" t="s">
        <v>11</v>
      </c>
      <c r="Y21" s="5" t="s">
        <v>10</v>
      </c>
      <c r="Z21" s="5" t="s">
        <v>10</v>
      </c>
      <c r="AA21" s="5" t="s">
        <v>10</v>
      </c>
      <c r="AB21" s="5" t="s">
        <v>11</v>
      </c>
      <c r="AC21" s="3" t="n">
        <f aca="false">COUNTIF(E21:AB21,"Absent")</f>
        <v>3</v>
      </c>
      <c r="AD21" s="3" t="n">
        <f aca="false">COUNTIF(E21:AB21,"Present")</f>
        <v>21</v>
      </c>
      <c r="AE21" s="3" t="n">
        <f aca="false">(AD21*5)+(AC21*-5)</f>
        <v>90</v>
      </c>
    </row>
    <row r="22" customFormat="false" ht="21.75" hidden="false" customHeight="true" outlineLevel="0" collapsed="false">
      <c r="A22" s="3" t="n">
        <v>21</v>
      </c>
      <c r="B22" s="3" t="s">
        <v>188</v>
      </c>
      <c r="C22" s="4" t="s">
        <v>189</v>
      </c>
      <c r="D22" s="3" t="s">
        <v>190</v>
      </c>
      <c r="E22" s="5" t="s">
        <v>10</v>
      </c>
      <c r="F22" s="5" t="s">
        <v>10</v>
      </c>
      <c r="G22" s="5" t="s">
        <v>11</v>
      </c>
      <c r="H22" s="5" t="s">
        <v>10</v>
      </c>
      <c r="I22" s="5" t="s">
        <v>10</v>
      </c>
      <c r="J22" s="5" t="s">
        <v>11</v>
      </c>
      <c r="K22" s="5" t="s">
        <v>11</v>
      </c>
      <c r="L22" s="5" t="s">
        <v>11</v>
      </c>
      <c r="M22" s="5" t="s">
        <v>10</v>
      </c>
      <c r="N22" s="5" t="s">
        <v>10</v>
      </c>
      <c r="O22" s="5" t="s">
        <v>10</v>
      </c>
      <c r="P22" s="5" t="s">
        <v>11</v>
      </c>
      <c r="Q22" s="5" t="s">
        <v>11</v>
      </c>
      <c r="R22" s="5" t="s">
        <v>11</v>
      </c>
      <c r="S22" s="5" t="s">
        <v>11</v>
      </c>
      <c r="T22" s="5" t="s">
        <v>11</v>
      </c>
      <c r="U22" s="5" t="s">
        <v>11</v>
      </c>
      <c r="V22" s="5" t="s">
        <v>11</v>
      </c>
      <c r="W22" s="5" t="s">
        <v>11</v>
      </c>
      <c r="X22" s="5" t="s">
        <v>10</v>
      </c>
      <c r="Y22" s="5" t="s">
        <v>11</v>
      </c>
      <c r="Z22" s="5" t="s">
        <v>10</v>
      </c>
      <c r="AA22" s="5" t="s">
        <v>10</v>
      </c>
      <c r="AB22" s="5" t="s">
        <v>10</v>
      </c>
      <c r="AC22" s="3" t="n">
        <f aca="false">COUNTIF(E22:AB22,"Absent")</f>
        <v>13</v>
      </c>
      <c r="AD22" s="3" t="n">
        <f aca="false">COUNTIF(E22:AB22,"Present")</f>
        <v>11</v>
      </c>
      <c r="AE22" s="3" t="n">
        <f aca="false">(AD22*5)+(AC22*-5)</f>
        <v>-10</v>
      </c>
    </row>
    <row r="23" customFormat="false" ht="21.75" hidden="false" customHeight="true" outlineLevel="0" collapsed="false">
      <c r="A23" s="3" t="n">
        <v>22</v>
      </c>
      <c r="B23" s="3" t="s">
        <v>191</v>
      </c>
      <c r="C23" s="4" t="s">
        <v>192</v>
      </c>
      <c r="D23" s="3" t="s">
        <v>193</v>
      </c>
      <c r="E23" s="5" t="s">
        <v>10</v>
      </c>
      <c r="F23" s="5" t="s">
        <v>10</v>
      </c>
      <c r="G23" s="5" t="s">
        <v>11</v>
      </c>
      <c r="H23" s="5" t="s">
        <v>10</v>
      </c>
      <c r="I23" s="5" t="s">
        <v>33</v>
      </c>
      <c r="J23" s="5" t="s">
        <v>33</v>
      </c>
      <c r="K23" s="5" t="s">
        <v>11</v>
      </c>
      <c r="L23" s="5" t="s">
        <v>11</v>
      </c>
      <c r="M23" s="5" t="s">
        <v>11</v>
      </c>
      <c r="N23" s="5" t="s">
        <v>11</v>
      </c>
      <c r="O23" s="5" t="s">
        <v>10</v>
      </c>
      <c r="P23" s="5" t="s">
        <v>11</v>
      </c>
      <c r="Q23" s="5" t="s">
        <v>10</v>
      </c>
      <c r="R23" s="5" t="s">
        <v>11</v>
      </c>
      <c r="S23" s="5" t="s">
        <v>11</v>
      </c>
      <c r="T23" s="5" t="s">
        <v>11</v>
      </c>
      <c r="U23" s="5" t="s">
        <v>11</v>
      </c>
      <c r="V23" s="5" t="s">
        <v>10</v>
      </c>
      <c r="W23" s="5" t="s">
        <v>10</v>
      </c>
      <c r="X23" s="5" t="s">
        <v>10</v>
      </c>
      <c r="Y23" s="5" t="s">
        <v>10</v>
      </c>
      <c r="Z23" s="5" t="s">
        <v>10</v>
      </c>
      <c r="AA23" s="5" t="s">
        <v>10</v>
      </c>
      <c r="AB23" s="5" t="s">
        <v>11</v>
      </c>
      <c r="AC23" s="3" t="n">
        <f aca="false">COUNTIF(E23:AB23,"Absent")</f>
        <v>11</v>
      </c>
      <c r="AD23" s="3" t="n">
        <f aca="false">COUNTIF(E23:AB23,"Present")</f>
        <v>11</v>
      </c>
      <c r="AE23" s="3" t="n">
        <f aca="false">(AD23*5)+(AC23*-5)</f>
        <v>0</v>
      </c>
    </row>
    <row r="24" customFormat="false" ht="21.75" hidden="false" customHeight="true" outlineLevel="0" collapsed="false">
      <c r="A24" s="3" t="n">
        <v>23</v>
      </c>
      <c r="B24" s="3" t="s">
        <v>194</v>
      </c>
      <c r="C24" s="4" t="s">
        <v>195</v>
      </c>
      <c r="D24" s="3" t="s">
        <v>196</v>
      </c>
      <c r="E24" s="5" t="s">
        <v>10</v>
      </c>
      <c r="F24" s="5" t="s">
        <v>11</v>
      </c>
      <c r="G24" s="5" t="s">
        <v>10</v>
      </c>
      <c r="H24" s="5" t="s">
        <v>10</v>
      </c>
      <c r="I24" s="5" t="s">
        <v>10</v>
      </c>
      <c r="J24" s="5" t="s">
        <v>10</v>
      </c>
      <c r="K24" s="5" t="s">
        <v>10</v>
      </c>
      <c r="L24" s="5" t="s">
        <v>11</v>
      </c>
      <c r="M24" s="5" t="s">
        <v>10</v>
      </c>
      <c r="N24" s="5" t="s">
        <v>11</v>
      </c>
      <c r="O24" s="5" t="s">
        <v>11</v>
      </c>
      <c r="P24" s="5" t="s">
        <v>11</v>
      </c>
      <c r="Q24" s="5" t="s">
        <v>10</v>
      </c>
      <c r="R24" s="5" t="s">
        <v>11</v>
      </c>
      <c r="S24" s="5" t="s">
        <v>11</v>
      </c>
      <c r="T24" s="5" t="s">
        <v>11</v>
      </c>
      <c r="U24" s="5" t="s">
        <v>11</v>
      </c>
      <c r="V24" s="5" t="s">
        <v>11</v>
      </c>
      <c r="W24" s="5" t="s">
        <v>11</v>
      </c>
      <c r="X24" s="5" t="s">
        <v>10</v>
      </c>
      <c r="Y24" s="5" t="s">
        <v>10</v>
      </c>
      <c r="Z24" s="5" t="s">
        <v>10</v>
      </c>
      <c r="AA24" s="5" t="s">
        <v>33</v>
      </c>
      <c r="AB24" s="5" t="s">
        <v>10</v>
      </c>
      <c r="AC24" s="3" t="n">
        <f aca="false">COUNTIF(E24:AB24,"Absent")</f>
        <v>11</v>
      </c>
      <c r="AD24" s="3" t="n">
        <f aca="false">COUNTIF(E24:AB24,"Present")</f>
        <v>12</v>
      </c>
      <c r="AE24" s="3" t="n">
        <f aca="false">(AD24*5)+(AC24*-5)</f>
        <v>5</v>
      </c>
    </row>
    <row r="25" customFormat="false" ht="21.75" hidden="false" customHeight="true" outlineLevel="0" collapsed="false">
      <c r="A25" s="3" t="n">
        <v>24</v>
      </c>
      <c r="B25" s="3" t="s">
        <v>197</v>
      </c>
      <c r="C25" s="4" t="s">
        <v>198</v>
      </c>
      <c r="D25" s="3" t="s">
        <v>199</v>
      </c>
      <c r="E25" s="5" t="s">
        <v>10</v>
      </c>
      <c r="F25" s="5" t="s">
        <v>10</v>
      </c>
      <c r="G25" s="5" t="s">
        <v>33</v>
      </c>
      <c r="H25" s="5" t="s">
        <v>10</v>
      </c>
      <c r="I25" s="5" t="s">
        <v>10</v>
      </c>
      <c r="J25" s="5" t="s">
        <v>10</v>
      </c>
      <c r="K25" s="5" t="s">
        <v>10</v>
      </c>
      <c r="L25" s="5" t="s">
        <v>10</v>
      </c>
      <c r="M25" s="5" t="s">
        <v>11</v>
      </c>
      <c r="N25" s="5" t="s">
        <v>10</v>
      </c>
      <c r="O25" s="5" t="s">
        <v>10</v>
      </c>
      <c r="P25" s="5" t="s">
        <v>10</v>
      </c>
      <c r="Q25" s="5" t="s">
        <v>10</v>
      </c>
      <c r="R25" s="5" t="s">
        <v>10</v>
      </c>
      <c r="S25" s="5" t="s">
        <v>11</v>
      </c>
      <c r="T25" s="5" t="s">
        <v>11</v>
      </c>
      <c r="U25" s="5" t="s">
        <v>11</v>
      </c>
      <c r="V25" s="5" t="s">
        <v>10</v>
      </c>
      <c r="W25" s="5" t="s">
        <v>11</v>
      </c>
      <c r="X25" s="5" t="s">
        <v>11</v>
      </c>
      <c r="Y25" s="5" t="s">
        <v>10</v>
      </c>
      <c r="Z25" s="5" t="s">
        <v>10</v>
      </c>
      <c r="AA25" s="5" t="s">
        <v>33</v>
      </c>
      <c r="AB25" s="5" t="s">
        <v>10</v>
      </c>
      <c r="AC25" s="3" t="n">
        <f aca="false">COUNTIF(E25:AB25,"Absent")</f>
        <v>6</v>
      </c>
      <c r="AD25" s="3" t="n">
        <f aca="false">COUNTIF(E25:AB25,"Present")</f>
        <v>16</v>
      </c>
      <c r="AE25" s="3" t="n">
        <f aca="false">(AD25*5)+(AC25*-5)</f>
        <v>50</v>
      </c>
    </row>
    <row r="26" customFormat="false" ht="21.75" hidden="false" customHeight="true" outlineLevel="0" collapsed="false">
      <c r="A26" s="3" t="n">
        <v>25</v>
      </c>
      <c r="B26" s="3" t="s">
        <v>200</v>
      </c>
      <c r="C26" s="4" t="s">
        <v>201</v>
      </c>
      <c r="D26" s="3" t="s">
        <v>202</v>
      </c>
      <c r="E26" s="5" t="s">
        <v>10</v>
      </c>
      <c r="F26" s="5" t="s">
        <v>10</v>
      </c>
      <c r="G26" s="5" t="s">
        <v>11</v>
      </c>
      <c r="H26" s="5" t="s">
        <v>10</v>
      </c>
      <c r="I26" s="5" t="s">
        <v>11</v>
      </c>
      <c r="J26" s="5" t="s">
        <v>11</v>
      </c>
      <c r="K26" s="5" t="s">
        <v>10</v>
      </c>
      <c r="L26" s="5" t="s">
        <v>11</v>
      </c>
      <c r="M26" s="5" t="s">
        <v>11</v>
      </c>
      <c r="N26" s="5" t="s">
        <v>10</v>
      </c>
      <c r="O26" s="5" t="s">
        <v>10</v>
      </c>
      <c r="P26" s="5" t="s">
        <v>11</v>
      </c>
      <c r="Q26" s="5" t="s">
        <v>11</v>
      </c>
      <c r="R26" s="5" t="s">
        <v>11</v>
      </c>
      <c r="S26" s="5" t="s">
        <v>10</v>
      </c>
      <c r="T26" s="5" t="s">
        <v>11</v>
      </c>
      <c r="U26" s="5" t="s">
        <v>10</v>
      </c>
      <c r="V26" s="5" t="s">
        <v>10</v>
      </c>
      <c r="W26" s="5" t="s">
        <v>11</v>
      </c>
      <c r="X26" s="5" t="s">
        <v>10</v>
      </c>
      <c r="Y26" s="5" t="s">
        <v>10</v>
      </c>
      <c r="Z26" s="5" t="s">
        <v>10</v>
      </c>
      <c r="AA26" s="5" t="s">
        <v>11</v>
      </c>
      <c r="AB26" s="5" t="s">
        <v>11</v>
      </c>
      <c r="AC26" s="3" t="n">
        <f aca="false">COUNTIF(E26:AB26,"Absent")</f>
        <v>12</v>
      </c>
      <c r="AD26" s="3" t="n">
        <f aca="false">COUNTIF(E26:AB26,"Present")</f>
        <v>12</v>
      </c>
      <c r="AE26" s="3" t="n">
        <f aca="false">(AD26*5)+(AC26*-5)</f>
        <v>0</v>
      </c>
    </row>
    <row r="27" customFormat="false" ht="21.75" hidden="false" customHeight="true" outlineLevel="0" collapsed="false">
      <c r="A27" s="3" t="n">
        <v>26</v>
      </c>
      <c r="B27" s="3" t="s">
        <v>203</v>
      </c>
      <c r="C27" s="4" t="s">
        <v>204</v>
      </c>
      <c r="D27" s="3" t="s">
        <v>205</v>
      </c>
      <c r="E27" s="5" t="s">
        <v>10</v>
      </c>
      <c r="F27" s="5" t="s">
        <v>10</v>
      </c>
      <c r="G27" s="5" t="s">
        <v>10</v>
      </c>
      <c r="H27" s="5" t="s">
        <v>10</v>
      </c>
      <c r="I27" s="5" t="s">
        <v>11</v>
      </c>
      <c r="J27" s="5" t="s">
        <v>10</v>
      </c>
      <c r="K27" s="5" t="s">
        <v>10</v>
      </c>
      <c r="L27" s="5" t="s">
        <v>10</v>
      </c>
      <c r="M27" s="5" t="s">
        <v>10</v>
      </c>
      <c r="N27" s="5" t="s">
        <v>11</v>
      </c>
      <c r="O27" s="5" t="s">
        <v>10</v>
      </c>
      <c r="P27" s="5" t="s">
        <v>10</v>
      </c>
      <c r="Q27" s="5" t="s">
        <v>11</v>
      </c>
      <c r="R27" s="5" t="s">
        <v>10</v>
      </c>
      <c r="S27" s="5" t="s">
        <v>11</v>
      </c>
      <c r="T27" s="5" t="s">
        <v>10</v>
      </c>
      <c r="U27" s="5" t="s">
        <v>11</v>
      </c>
      <c r="V27" s="5" t="s">
        <v>10</v>
      </c>
      <c r="W27" s="5" t="s">
        <v>11</v>
      </c>
      <c r="X27" s="5" t="s">
        <v>11</v>
      </c>
      <c r="Y27" s="5" t="s">
        <v>10</v>
      </c>
      <c r="Z27" s="5" t="s">
        <v>11</v>
      </c>
      <c r="AA27" s="5" t="s">
        <v>10</v>
      </c>
      <c r="AB27" s="5" t="s">
        <v>10</v>
      </c>
      <c r="AC27" s="3" t="n">
        <f aca="false">COUNTIF(E27:AB27,"Absent")</f>
        <v>8</v>
      </c>
      <c r="AD27" s="3" t="n">
        <f aca="false">COUNTIF(E27:AB27,"Present")</f>
        <v>16</v>
      </c>
      <c r="AE27" s="3" t="n">
        <f aca="false">(AD27*5)+(AC27*-5)</f>
        <v>40</v>
      </c>
    </row>
    <row r="28" customFormat="false" ht="21.75" hidden="false" customHeight="true" outlineLevel="0" collapsed="false">
      <c r="A28" s="3" t="n">
        <v>27</v>
      </c>
      <c r="B28" s="3" t="s">
        <v>206</v>
      </c>
      <c r="C28" s="4" t="s">
        <v>207</v>
      </c>
      <c r="D28" s="3" t="s">
        <v>208</v>
      </c>
      <c r="E28" s="5" t="s">
        <v>11</v>
      </c>
      <c r="F28" s="5" t="s">
        <v>10</v>
      </c>
      <c r="G28" s="5" t="s">
        <v>10</v>
      </c>
      <c r="H28" s="5" t="s">
        <v>11</v>
      </c>
      <c r="I28" s="5" t="s">
        <v>10</v>
      </c>
      <c r="J28" s="5" t="s">
        <v>11</v>
      </c>
      <c r="K28" s="5" t="s">
        <v>10</v>
      </c>
      <c r="L28" s="5" t="s">
        <v>11</v>
      </c>
      <c r="M28" s="5" t="s">
        <v>11</v>
      </c>
      <c r="N28" s="5" t="s">
        <v>10</v>
      </c>
      <c r="O28" s="5" t="s">
        <v>10</v>
      </c>
      <c r="P28" s="5" t="s">
        <v>11</v>
      </c>
      <c r="Q28" s="5" t="s">
        <v>11</v>
      </c>
      <c r="R28" s="5" t="s">
        <v>10</v>
      </c>
      <c r="S28" s="5" t="s">
        <v>10</v>
      </c>
      <c r="T28" s="5" t="s">
        <v>11</v>
      </c>
      <c r="U28" s="5" t="s">
        <v>11</v>
      </c>
      <c r="V28" s="5" t="s">
        <v>10</v>
      </c>
      <c r="W28" s="5" t="s">
        <v>11</v>
      </c>
      <c r="X28" s="5" t="s">
        <v>10</v>
      </c>
      <c r="Y28" s="5" t="s">
        <v>10</v>
      </c>
      <c r="Z28" s="5" t="s">
        <v>11</v>
      </c>
      <c r="AA28" s="5" t="s">
        <v>11</v>
      </c>
      <c r="AB28" s="5" t="s">
        <v>11</v>
      </c>
      <c r="AC28" s="3" t="n">
        <f aca="false">COUNTIF(E28:AB28,"Absent")</f>
        <v>13</v>
      </c>
      <c r="AD28" s="3" t="n">
        <f aca="false">COUNTIF(E28:AB28,"Present")</f>
        <v>11</v>
      </c>
      <c r="AE28" s="3" t="n">
        <f aca="false">(AD28*5)+(AC28*-5)</f>
        <v>-10</v>
      </c>
    </row>
    <row r="29" customFormat="false" ht="21.75" hidden="false" customHeight="true" outlineLevel="0" collapsed="false">
      <c r="A29" s="3" t="n">
        <v>28</v>
      </c>
      <c r="B29" s="3" t="s">
        <v>209</v>
      </c>
      <c r="C29" s="4" t="s">
        <v>210</v>
      </c>
      <c r="D29" s="3" t="s">
        <v>211</v>
      </c>
      <c r="E29" s="5" t="s">
        <v>10</v>
      </c>
      <c r="F29" s="5" t="s">
        <v>11</v>
      </c>
      <c r="G29" s="5" t="s">
        <v>10</v>
      </c>
      <c r="H29" s="5" t="s">
        <v>10</v>
      </c>
      <c r="I29" s="5" t="s">
        <v>11</v>
      </c>
      <c r="J29" s="5" t="s">
        <v>10</v>
      </c>
      <c r="K29" s="5" t="s">
        <v>10</v>
      </c>
      <c r="L29" s="5" t="s">
        <v>10</v>
      </c>
      <c r="M29" s="5" t="s">
        <v>11</v>
      </c>
      <c r="N29" s="5" t="s">
        <v>10</v>
      </c>
      <c r="O29" s="5" t="s">
        <v>11</v>
      </c>
      <c r="P29" s="5" t="s">
        <v>11</v>
      </c>
      <c r="Q29" s="5" t="s">
        <v>10</v>
      </c>
      <c r="R29" s="5" t="s">
        <v>10</v>
      </c>
      <c r="S29" s="5" t="s">
        <v>10</v>
      </c>
      <c r="T29" s="5" t="s">
        <v>10</v>
      </c>
      <c r="U29" s="5" t="s">
        <v>10</v>
      </c>
      <c r="V29" s="5" t="s">
        <v>10</v>
      </c>
      <c r="W29" s="5" t="s">
        <v>11</v>
      </c>
      <c r="X29" s="5" t="s">
        <v>11</v>
      </c>
      <c r="Y29" s="5" t="s">
        <v>11</v>
      </c>
      <c r="Z29" s="5" t="s">
        <v>11</v>
      </c>
      <c r="AA29" s="5" t="s">
        <v>10</v>
      </c>
      <c r="AB29" s="5" t="s">
        <v>11</v>
      </c>
      <c r="AC29" s="3" t="n">
        <f aca="false">COUNTIF(E29:AB29,"Absent")</f>
        <v>10</v>
      </c>
      <c r="AD29" s="3" t="n">
        <f aca="false">COUNTIF(E29:AB29,"Present")</f>
        <v>14</v>
      </c>
      <c r="AE29" s="3" t="n">
        <f aca="false">(AD29*5)+(AC29*-5)</f>
        <v>20</v>
      </c>
    </row>
    <row r="30" customFormat="false" ht="21.75" hidden="false" customHeight="true" outlineLevel="0" collapsed="false">
      <c r="A30" s="3" t="n">
        <v>29</v>
      </c>
      <c r="B30" s="3" t="s">
        <v>212</v>
      </c>
      <c r="C30" s="4" t="s">
        <v>213</v>
      </c>
      <c r="D30" s="3" t="s">
        <v>214</v>
      </c>
      <c r="E30" s="5" t="s">
        <v>10</v>
      </c>
      <c r="F30" s="5" t="s">
        <v>11</v>
      </c>
      <c r="G30" s="5" t="s">
        <v>10</v>
      </c>
      <c r="H30" s="5" t="s">
        <v>10</v>
      </c>
      <c r="I30" s="5" t="s">
        <v>10</v>
      </c>
      <c r="J30" s="5" t="s">
        <v>11</v>
      </c>
      <c r="K30" s="5" t="s">
        <v>10</v>
      </c>
      <c r="L30" s="5" t="s">
        <v>10</v>
      </c>
      <c r="M30" s="5" t="s">
        <v>11</v>
      </c>
      <c r="N30" s="5" t="s">
        <v>10</v>
      </c>
      <c r="O30" s="5" t="s">
        <v>11</v>
      </c>
      <c r="P30" s="5" t="s">
        <v>10</v>
      </c>
      <c r="Q30" s="5" t="s">
        <v>10</v>
      </c>
      <c r="R30" s="5" t="s">
        <v>11</v>
      </c>
      <c r="S30" s="5" t="s">
        <v>11</v>
      </c>
      <c r="T30" s="5" t="s">
        <v>10</v>
      </c>
      <c r="U30" s="5" t="s">
        <v>11</v>
      </c>
      <c r="V30" s="5" t="s">
        <v>10</v>
      </c>
      <c r="W30" s="5" t="s">
        <v>11</v>
      </c>
      <c r="X30" s="5" t="s">
        <v>10</v>
      </c>
      <c r="Y30" s="5" t="s">
        <v>11</v>
      </c>
      <c r="Z30" s="5" t="s">
        <v>10</v>
      </c>
      <c r="AA30" s="5" t="s">
        <v>33</v>
      </c>
      <c r="AB30" s="5" t="s">
        <v>10</v>
      </c>
      <c r="AC30" s="3" t="n">
        <f aca="false">COUNTIF(E30:AB30,"Absent")</f>
        <v>9</v>
      </c>
      <c r="AD30" s="3" t="n">
        <f aca="false">COUNTIF(E30:AB30,"Present")</f>
        <v>14</v>
      </c>
      <c r="AE30" s="3" t="n">
        <f aca="false">(AD30*5)+(AC30*-5)</f>
        <v>25</v>
      </c>
    </row>
    <row r="31" customFormat="false" ht="21.75" hidden="false" customHeight="true" outlineLevel="0" collapsed="false">
      <c r="A31" s="3" t="n">
        <v>30</v>
      </c>
      <c r="B31" s="3" t="s">
        <v>215</v>
      </c>
      <c r="C31" s="4" t="s">
        <v>216</v>
      </c>
      <c r="D31" s="3" t="s">
        <v>217</v>
      </c>
      <c r="E31" s="5" t="s">
        <v>10</v>
      </c>
      <c r="F31" s="5" t="s">
        <v>10</v>
      </c>
      <c r="G31" s="5" t="s">
        <v>10</v>
      </c>
      <c r="H31" s="5" t="s">
        <v>10</v>
      </c>
      <c r="I31" s="5" t="s">
        <v>10</v>
      </c>
      <c r="J31" s="5" t="s">
        <v>10</v>
      </c>
      <c r="K31" s="5" t="s">
        <v>10</v>
      </c>
      <c r="L31" s="5" t="s">
        <v>10</v>
      </c>
      <c r="M31" s="5" t="s">
        <v>10</v>
      </c>
      <c r="N31" s="5" t="s">
        <v>11</v>
      </c>
      <c r="O31" s="5" t="s">
        <v>10</v>
      </c>
      <c r="P31" s="5" t="s">
        <v>11</v>
      </c>
      <c r="Q31" s="5" t="s">
        <v>10</v>
      </c>
      <c r="R31" s="5" t="s">
        <v>10</v>
      </c>
      <c r="S31" s="5" t="s">
        <v>11</v>
      </c>
      <c r="T31" s="5" t="s">
        <v>11</v>
      </c>
      <c r="U31" s="5" t="s">
        <v>11</v>
      </c>
      <c r="V31" s="5" t="s">
        <v>10</v>
      </c>
      <c r="W31" s="5" t="s">
        <v>11</v>
      </c>
      <c r="X31" s="5" t="s">
        <v>10</v>
      </c>
      <c r="Y31" s="5" t="s">
        <v>10</v>
      </c>
      <c r="Z31" s="5" t="s">
        <v>10</v>
      </c>
      <c r="AA31" s="5" t="s">
        <v>33</v>
      </c>
      <c r="AB31" s="5" t="s">
        <v>11</v>
      </c>
      <c r="AC31" s="3" t="n">
        <f aca="false">COUNTIF(E31:AB31,"Absent")</f>
        <v>7</v>
      </c>
      <c r="AD31" s="3" t="n">
        <f aca="false">COUNTIF(E31:AB31,"Present")</f>
        <v>16</v>
      </c>
      <c r="AE31" s="3" t="n">
        <f aca="false">(AD31*5)+(AC31*-5)</f>
        <v>45</v>
      </c>
    </row>
    <row r="32" customFormat="false" ht="21.75" hidden="false" customHeight="true" outlineLevel="0" collapsed="false">
      <c r="A32" s="3" t="n">
        <v>31</v>
      </c>
      <c r="B32" s="3" t="s">
        <v>218</v>
      </c>
      <c r="C32" s="4" t="s">
        <v>219</v>
      </c>
      <c r="D32" s="3" t="s">
        <v>220</v>
      </c>
      <c r="E32" s="5" t="s">
        <v>10</v>
      </c>
      <c r="F32" s="5" t="s">
        <v>10</v>
      </c>
      <c r="G32" s="5" t="s">
        <v>10</v>
      </c>
      <c r="H32" s="5" t="s">
        <v>10</v>
      </c>
      <c r="I32" s="5" t="s">
        <v>10</v>
      </c>
      <c r="J32" s="5" t="s">
        <v>10</v>
      </c>
      <c r="K32" s="5" t="s">
        <v>10</v>
      </c>
      <c r="L32" s="5" t="s">
        <v>10</v>
      </c>
      <c r="M32" s="5" t="s">
        <v>10</v>
      </c>
      <c r="N32" s="5" t="s">
        <v>11</v>
      </c>
      <c r="O32" s="5" t="s">
        <v>10</v>
      </c>
      <c r="P32" s="5" t="s">
        <v>10</v>
      </c>
      <c r="Q32" s="5" t="s">
        <v>10</v>
      </c>
      <c r="R32" s="5" t="s">
        <v>10</v>
      </c>
      <c r="S32" s="5" t="s">
        <v>10</v>
      </c>
      <c r="T32" s="5" t="s">
        <v>11</v>
      </c>
      <c r="U32" s="5" t="s">
        <v>11</v>
      </c>
      <c r="V32" s="5" t="s">
        <v>11</v>
      </c>
      <c r="W32" s="5" t="s">
        <v>11</v>
      </c>
      <c r="X32" s="5" t="s">
        <v>10</v>
      </c>
      <c r="Y32" s="5" t="s">
        <v>11</v>
      </c>
      <c r="Z32" s="5" t="s">
        <v>10</v>
      </c>
      <c r="AA32" s="5" t="s">
        <v>10</v>
      </c>
      <c r="AB32" s="5" t="s">
        <v>10</v>
      </c>
      <c r="AC32" s="3" t="n">
        <f aca="false">COUNTIF(E32:AB32,"Absent")</f>
        <v>6</v>
      </c>
      <c r="AD32" s="3" t="n">
        <f aca="false">COUNTIF(E32:AB32,"Present")</f>
        <v>18</v>
      </c>
      <c r="AE32" s="3" t="n">
        <f aca="false">(AD32*5)+(AC32*-5)</f>
        <v>60</v>
      </c>
    </row>
    <row r="33" customFormat="false" ht="21.75" hidden="false" customHeight="true" outlineLevel="0" collapsed="false">
      <c r="A33" s="3" t="n">
        <v>32</v>
      </c>
      <c r="B33" s="3" t="s">
        <v>221</v>
      </c>
      <c r="C33" s="4" t="s">
        <v>222</v>
      </c>
      <c r="D33" s="3" t="s">
        <v>223</v>
      </c>
      <c r="E33" s="5" t="s">
        <v>10</v>
      </c>
      <c r="F33" s="5" t="s">
        <v>10</v>
      </c>
      <c r="G33" s="5" t="s">
        <v>11</v>
      </c>
      <c r="H33" s="5" t="s">
        <v>10</v>
      </c>
      <c r="I33" s="5" t="s">
        <v>33</v>
      </c>
      <c r="J33" s="5" t="s">
        <v>33</v>
      </c>
      <c r="K33" s="5" t="s">
        <v>11</v>
      </c>
      <c r="L33" s="5" t="s">
        <v>11</v>
      </c>
      <c r="M33" s="5" t="s">
        <v>11</v>
      </c>
      <c r="N33" s="5" t="s">
        <v>10</v>
      </c>
      <c r="O33" s="5" t="s">
        <v>10</v>
      </c>
      <c r="P33" s="5" t="s">
        <v>10</v>
      </c>
      <c r="Q33" s="5" t="s">
        <v>10</v>
      </c>
      <c r="R33" s="5" t="s">
        <v>10</v>
      </c>
      <c r="S33" s="5" t="s">
        <v>10</v>
      </c>
      <c r="T33" s="5" t="s">
        <v>10</v>
      </c>
      <c r="U33" s="5" t="s">
        <v>10</v>
      </c>
      <c r="V33" s="5" t="s">
        <v>11</v>
      </c>
      <c r="W33" s="5" t="s">
        <v>11</v>
      </c>
      <c r="X33" s="5" t="s">
        <v>10</v>
      </c>
      <c r="Y33" s="5" t="s">
        <v>11</v>
      </c>
      <c r="Z33" s="5" t="s">
        <v>11</v>
      </c>
      <c r="AA33" s="5" t="s">
        <v>11</v>
      </c>
      <c r="AB33" s="5" t="s">
        <v>10</v>
      </c>
      <c r="AC33" s="3" t="n">
        <f aca="false">COUNTIF(E33:AB33,"Absent")</f>
        <v>9</v>
      </c>
      <c r="AD33" s="3" t="n">
        <f aca="false">COUNTIF(E33:AB33,"Present")</f>
        <v>13</v>
      </c>
      <c r="AE33" s="3" t="n">
        <f aca="false">(AD33*5)+(AC33*-5)</f>
        <v>20</v>
      </c>
    </row>
    <row r="34" customFormat="false" ht="21.75" hidden="false" customHeight="true" outlineLevel="0" collapsed="false">
      <c r="A34" s="3" t="n">
        <v>33</v>
      </c>
      <c r="B34" s="3" t="s">
        <v>224</v>
      </c>
      <c r="C34" s="4" t="s">
        <v>225</v>
      </c>
      <c r="D34" s="3" t="s">
        <v>226</v>
      </c>
      <c r="E34" s="5" t="s">
        <v>10</v>
      </c>
      <c r="F34" s="5" t="s">
        <v>10</v>
      </c>
      <c r="G34" s="5" t="s">
        <v>11</v>
      </c>
      <c r="H34" s="5" t="s">
        <v>10</v>
      </c>
      <c r="I34" s="5" t="s">
        <v>10</v>
      </c>
      <c r="J34" s="5" t="s">
        <v>11</v>
      </c>
      <c r="K34" s="5" t="s">
        <v>10</v>
      </c>
      <c r="L34" s="5" t="s">
        <v>10</v>
      </c>
      <c r="M34" s="5" t="s">
        <v>10</v>
      </c>
      <c r="N34" s="5" t="s">
        <v>10</v>
      </c>
      <c r="O34" s="5" t="s">
        <v>10</v>
      </c>
      <c r="P34" s="5" t="s">
        <v>10</v>
      </c>
      <c r="Q34" s="5" t="s">
        <v>10</v>
      </c>
      <c r="R34" s="5" t="s">
        <v>11</v>
      </c>
      <c r="S34" s="5" t="s">
        <v>10</v>
      </c>
      <c r="T34" s="5" t="s">
        <v>10</v>
      </c>
      <c r="U34" s="5" t="s">
        <v>10</v>
      </c>
      <c r="V34" s="5" t="s">
        <v>10</v>
      </c>
      <c r="W34" s="5" t="s">
        <v>10</v>
      </c>
      <c r="X34" s="5" t="s">
        <v>10</v>
      </c>
      <c r="Y34" s="5" t="s">
        <v>10</v>
      </c>
      <c r="Z34" s="5" t="s">
        <v>10</v>
      </c>
      <c r="AA34" s="5" t="s">
        <v>10</v>
      </c>
      <c r="AB34" s="5" t="s">
        <v>10</v>
      </c>
      <c r="AC34" s="3" t="n">
        <f aca="false">COUNTIF(E34:AB34,"Absent")</f>
        <v>3</v>
      </c>
      <c r="AD34" s="3" t="n">
        <f aca="false">COUNTIF(E34:AB34,"Present")</f>
        <v>21</v>
      </c>
      <c r="AE34" s="3" t="n">
        <f aca="false">(AD34*5)+(AC34*-5)</f>
        <v>90</v>
      </c>
    </row>
    <row r="35" customFormat="false" ht="21.75" hidden="false" customHeight="true" outlineLevel="0" collapsed="false">
      <c r="A35" s="3" t="n">
        <v>34</v>
      </c>
      <c r="B35" s="3" t="s">
        <v>227</v>
      </c>
      <c r="C35" s="4" t="s">
        <v>228</v>
      </c>
      <c r="D35" s="3" t="s">
        <v>229</v>
      </c>
      <c r="E35" s="5" t="s">
        <v>10</v>
      </c>
      <c r="F35" s="5" t="s">
        <v>10</v>
      </c>
      <c r="G35" s="5" t="s">
        <v>10</v>
      </c>
      <c r="H35" s="5" t="s">
        <v>10</v>
      </c>
      <c r="I35" s="5" t="s">
        <v>10</v>
      </c>
      <c r="J35" s="5" t="s">
        <v>10</v>
      </c>
      <c r="K35" s="5" t="s">
        <v>10</v>
      </c>
      <c r="L35" s="5" t="s">
        <v>10</v>
      </c>
      <c r="M35" s="5" t="s">
        <v>10</v>
      </c>
      <c r="N35" s="5" t="s">
        <v>10</v>
      </c>
      <c r="O35" s="5" t="s">
        <v>10</v>
      </c>
      <c r="P35" s="5" t="s">
        <v>10</v>
      </c>
      <c r="Q35" s="5" t="s">
        <v>10</v>
      </c>
      <c r="R35" s="5" t="s">
        <v>11</v>
      </c>
      <c r="S35" s="5" t="s">
        <v>11</v>
      </c>
      <c r="T35" s="5" t="s">
        <v>11</v>
      </c>
      <c r="U35" s="5" t="s">
        <v>11</v>
      </c>
      <c r="V35" s="5" t="s">
        <v>11</v>
      </c>
      <c r="W35" s="5" t="s">
        <v>11</v>
      </c>
      <c r="X35" s="5" t="s">
        <v>10</v>
      </c>
      <c r="Y35" s="5" t="s">
        <v>10</v>
      </c>
      <c r="Z35" s="5" t="s">
        <v>11</v>
      </c>
      <c r="AA35" s="5" t="s">
        <v>10</v>
      </c>
      <c r="AB35" s="5" t="s">
        <v>10</v>
      </c>
      <c r="AC35" s="3" t="n">
        <f aca="false">COUNTIF(E35:AB35,"Absent")</f>
        <v>7</v>
      </c>
      <c r="AD35" s="3" t="n">
        <f aca="false">COUNTIF(E35:AB35,"Present")</f>
        <v>17</v>
      </c>
      <c r="AE35" s="3" t="n">
        <f aca="false">(AD35*5)+(AC35*-5)</f>
        <v>50</v>
      </c>
    </row>
    <row r="36" customFormat="false" ht="21.75" hidden="false" customHeight="true" outlineLevel="0" collapsed="false">
      <c r="A36" s="3" t="n">
        <v>35</v>
      </c>
      <c r="B36" s="3" t="s">
        <v>230</v>
      </c>
      <c r="C36" s="4" t="s">
        <v>231</v>
      </c>
      <c r="D36" s="3" t="s">
        <v>232</v>
      </c>
      <c r="E36" s="5" t="s">
        <v>10</v>
      </c>
      <c r="F36" s="5" t="s">
        <v>10</v>
      </c>
      <c r="G36" s="5" t="s">
        <v>10</v>
      </c>
      <c r="H36" s="5" t="s">
        <v>10</v>
      </c>
      <c r="I36" s="5" t="s">
        <v>10</v>
      </c>
      <c r="J36" s="5" t="s">
        <v>10</v>
      </c>
      <c r="K36" s="5" t="s">
        <v>11</v>
      </c>
      <c r="L36" s="5" t="s">
        <v>11</v>
      </c>
      <c r="M36" s="5" t="s">
        <v>11</v>
      </c>
      <c r="N36" s="5" t="s">
        <v>11</v>
      </c>
      <c r="O36" s="5" t="s">
        <v>11</v>
      </c>
      <c r="P36" s="5" t="s">
        <v>11</v>
      </c>
      <c r="Q36" s="5" t="s">
        <v>11</v>
      </c>
      <c r="R36" s="5" t="s">
        <v>11</v>
      </c>
      <c r="S36" s="5" t="s">
        <v>11</v>
      </c>
      <c r="T36" s="5" t="s">
        <v>11</v>
      </c>
      <c r="U36" s="5" t="s">
        <v>11</v>
      </c>
      <c r="V36" s="5" t="s">
        <v>11</v>
      </c>
      <c r="W36" s="5" t="s">
        <v>11</v>
      </c>
      <c r="X36" s="5" t="s">
        <v>10</v>
      </c>
      <c r="Y36" s="5" t="s">
        <v>10</v>
      </c>
      <c r="Z36" s="5" t="s">
        <v>10</v>
      </c>
      <c r="AA36" s="5" t="s">
        <v>11</v>
      </c>
      <c r="AB36" s="5" t="s">
        <v>10</v>
      </c>
      <c r="AC36" s="3" t="n">
        <f aca="false">COUNTIF(E36:AB36,"Absent")</f>
        <v>14</v>
      </c>
      <c r="AD36" s="3" t="n">
        <f aca="false">COUNTIF(E36:AB36,"Present")</f>
        <v>10</v>
      </c>
      <c r="AE36" s="3" t="n">
        <f aca="false">(AD36*5)+(AC36*-5)</f>
        <v>-20</v>
      </c>
    </row>
    <row r="37" customFormat="false" ht="21.75" hidden="false" customHeight="true" outlineLevel="0" collapsed="false">
      <c r="A37" s="3" t="n">
        <v>36</v>
      </c>
      <c r="B37" s="3" t="s">
        <v>233</v>
      </c>
      <c r="C37" s="4" t="s">
        <v>234</v>
      </c>
      <c r="D37" s="3" t="s">
        <v>235</v>
      </c>
      <c r="E37" s="5" t="s">
        <v>10</v>
      </c>
      <c r="F37" s="5" t="s">
        <v>10</v>
      </c>
      <c r="G37" s="5" t="s">
        <v>10</v>
      </c>
      <c r="H37" s="5" t="s">
        <v>10</v>
      </c>
      <c r="I37" s="5" t="s">
        <v>10</v>
      </c>
      <c r="J37" s="5" t="s">
        <v>10</v>
      </c>
      <c r="K37" s="5" t="s">
        <v>10</v>
      </c>
      <c r="L37" s="5" t="s">
        <v>10</v>
      </c>
      <c r="M37" s="5" t="s">
        <v>10</v>
      </c>
      <c r="N37" s="5" t="s">
        <v>10</v>
      </c>
      <c r="O37" s="5" t="s">
        <v>10</v>
      </c>
      <c r="P37" s="5" t="s">
        <v>10</v>
      </c>
      <c r="Q37" s="5" t="s">
        <v>11</v>
      </c>
      <c r="R37" s="5" t="s">
        <v>10</v>
      </c>
      <c r="S37" s="5" t="s">
        <v>10</v>
      </c>
      <c r="T37" s="5" t="s">
        <v>10</v>
      </c>
      <c r="U37" s="5" t="s">
        <v>10</v>
      </c>
      <c r="V37" s="5" t="s">
        <v>10</v>
      </c>
      <c r="W37" s="5" t="s">
        <v>10</v>
      </c>
      <c r="X37" s="5" t="s">
        <v>10</v>
      </c>
      <c r="Y37" s="5" t="s">
        <v>10</v>
      </c>
      <c r="Z37" s="5" t="s">
        <v>11</v>
      </c>
      <c r="AA37" s="5" t="s">
        <v>10</v>
      </c>
      <c r="AB37" s="5" t="s">
        <v>11</v>
      </c>
      <c r="AC37" s="3" t="n">
        <f aca="false">COUNTIF(E37:AB37,"Absent")</f>
        <v>3</v>
      </c>
      <c r="AD37" s="3" t="n">
        <f aca="false">COUNTIF(E37:AB37,"Present")</f>
        <v>21</v>
      </c>
      <c r="AE37" s="3" t="n">
        <f aca="false">(AD37*5)+(AC37*-5)</f>
        <v>90</v>
      </c>
    </row>
    <row r="38" customFormat="false" ht="21.75" hidden="false" customHeight="true" outlineLevel="0" collapsed="false">
      <c r="A38" s="3" t="n">
        <v>37</v>
      </c>
      <c r="B38" s="3" t="s">
        <v>236</v>
      </c>
      <c r="C38" s="4" t="s">
        <v>237</v>
      </c>
      <c r="D38" s="3" t="s">
        <v>238</v>
      </c>
      <c r="E38" s="5" t="s">
        <v>10</v>
      </c>
      <c r="F38" s="5" t="s">
        <v>10</v>
      </c>
      <c r="G38" s="5" t="s">
        <v>10</v>
      </c>
      <c r="H38" s="5" t="s">
        <v>10</v>
      </c>
      <c r="I38" s="5" t="s">
        <v>11</v>
      </c>
      <c r="J38" s="5" t="s">
        <v>10</v>
      </c>
      <c r="K38" s="5" t="s">
        <v>10</v>
      </c>
      <c r="L38" s="5" t="s">
        <v>10</v>
      </c>
      <c r="M38" s="5" t="s">
        <v>10</v>
      </c>
      <c r="N38" s="5" t="s">
        <v>10</v>
      </c>
      <c r="O38" s="5" t="s">
        <v>11</v>
      </c>
      <c r="P38" s="5" t="s">
        <v>10</v>
      </c>
      <c r="Q38" s="5" t="s">
        <v>10</v>
      </c>
      <c r="R38" s="5" t="s">
        <v>10</v>
      </c>
      <c r="S38" s="5" t="s">
        <v>10</v>
      </c>
      <c r="T38" s="5" t="s">
        <v>10</v>
      </c>
      <c r="U38" s="5" t="s">
        <v>10</v>
      </c>
      <c r="V38" s="5" t="s">
        <v>10</v>
      </c>
      <c r="W38" s="5" t="s">
        <v>10</v>
      </c>
      <c r="X38" s="5" t="s">
        <v>10</v>
      </c>
      <c r="Y38" s="5" t="s">
        <v>11</v>
      </c>
      <c r="Z38" s="5" t="s">
        <v>10</v>
      </c>
      <c r="AA38" s="5" t="s">
        <v>10</v>
      </c>
      <c r="AB38" s="5" t="s">
        <v>10</v>
      </c>
      <c r="AC38" s="3" t="n">
        <f aca="false">COUNTIF(E38:AB38,"Absent")</f>
        <v>3</v>
      </c>
      <c r="AD38" s="3" t="n">
        <f aca="false">COUNTIF(E38:AB38,"Present")</f>
        <v>21</v>
      </c>
      <c r="AE38" s="3" t="n">
        <f aca="false">(AD38*5)+(AC38*-5)</f>
        <v>90</v>
      </c>
    </row>
    <row r="39" customFormat="false" ht="21.75" hidden="false" customHeight="true" outlineLevel="0" collapsed="false">
      <c r="A39" s="3" t="n">
        <v>38</v>
      </c>
      <c r="B39" s="3" t="s">
        <v>239</v>
      </c>
      <c r="C39" s="4" t="s">
        <v>240</v>
      </c>
      <c r="D39" s="3" t="s">
        <v>241</v>
      </c>
      <c r="E39" s="5" t="s">
        <v>10</v>
      </c>
      <c r="F39" s="5" t="s">
        <v>11</v>
      </c>
      <c r="G39" s="5" t="s">
        <v>11</v>
      </c>
      <c r="H39" s="5" t="s">
        <v>10</v>
      </c>
      <c r="I39" s="5" t="s">
        <v>11</v>
      </c>
      <c r="J39" s="5" t="s">
        <v>10</v>
      </c>
      <c r="K39" s="5" t="s">
        <v>10</v>
      </c>
      <c r="L39" s="5" t="s">
        <v>10</v>
      </c>
      <c r="M39" s="5" t="s">
        <v>11</v>
      </c>
      <c r="N39" s="5" t="s">
        <v>10</v>
      </c>
      <c r="O39" s="5" t="s">
        <v>11</v>
      </c>
      <c r="P39" s="5" t="s">
        <v>11</v>
      </c>
      <c r="Q39" s="5" t="s">
        <v>11</v>
      </c>
      <c r="R39" s="5" t="s">
        <v>11</v>
      </c>
      <c r="S39" s="5" t="s">
        <v>10</v>
      </c>
      <c r="T39" s="5" t="s">
        <v>10</v>
      </c>
      <c r="U39" s="5" t="s">
        <v>11</v>
      </c>
      <c r="V39" s="5" t="s">
        <v>10</v>
      </c>
      <c r="W39" s="5" t="s">
        <v>11</v>
      </c>
      <c r="X39" s="5" t="s">
        <v>10</v>
      </c>
      <c r="Y39" s="5" t="s">
        <v>10</v>
      </c>
      <c r="Z39" s="5" t="s">
        <v>11</v>
      </c>
      <c r="AA39" s="5" t="s">
        <v>11</v>
      </c>
      <c r="AB39" s="5" t="s">
        <v>11</v>
      </c>
      <c r="AC39" s="3" t="n">
        <f aca="false">COUNTIF(E39:AB39,"Absent")</f>
        <v>13</v>
      </c>
      <c r="AD39" s="3" t="n">
        <f aca="false">COUNTIF(E39:AB39,"Present")</f>
        <v>11</v>
      </c>
      <c r="AE39" s="3" t="n">
        <f aca="false">(AD39*5)+(AC39*-5)</f>
        <v>-10</v>
      </c>
    </row>
    <row r="40" customFormat="false" ht="21.75" hidden="false" customHeight="true" outlineLevel="0" collapsed="false">
      <c r="A40" s="3" t="n">
        <v>39</v>
      </c>
      <c r="B40" s="3" t="s">
        <v>242</v>
      </c>
      <c r="C40" s="4" t="s">
        <v>243</v>
      </c>
      <c r="D40" s="3" t="s">
        <v>244</v>
      </c>
      <c r="E40" s="5" t="s">
        <v>11</v>
      </c>
      <c r="F40" s="5" t="s">
        <v>11</v>
      </c>
      <c r="G40" s="5" t="s">
        <v>11</v>
      </c>
      <c r="H40" s="5" t="s">
        <v>11</v>
      </c>
      <c r="I40" s="5" t="s">
        <v>10</v>
      </c>
      <c r="J40" s="5" t="s">
        <v>10</v>
      </c>
      <c r="K40" s="5" t="s">
        <v>10</v>
      </c>
      <c r="L40" s="5" t="s">
        <v>10</v>
      </c>
      <c r="M40" s="5" t="s">
        <v>10</v>
      </c>
      <c r="N40" s="5" t="s">
        <v>11</v>
      </c>
      <c r="O40" s="5" t="s">
        <v>11</v>
      </c>
      <c r="P40" s="5" t="s">
        <v>11</v>
      </c>
      <c r="Q40" s="5" t="s">
        <v>10</v>
      </c>
      <c r="R40" s="5" t="s">
        <v>10</v>
      </c>
      <c r="S40" s="5" t="s">
        <v>10</v>
      </c>
      <c r="T40" s="5" t="s">
        <v>10</v>
      </c>
      <c r="U40" s="5" t="s">
        <v>10</v>
      </c>
      <c r="V40" s="5" t="s">
        <v>10</v>
      </c>
      <c r="W40" s="5" t="s">
        <v>11</v>
      </c>
      <c r="X40" s="5" t="s">
        <v>33</v>
      </c>
      <c r="Y40" s="5" t="s">
        <v>10</v>
      </c>
      <c r="Z40" s="5" t="s">
        <v>10</v>
      </c>
      <c r="AA40" s="5" t="s">
        <v>10</v>
      </c>
      <c r="AB40" s="5" t="s">
        <v>10</v>
      </c>
      <c r="AC40" s="3" t="n">
        <f aca="false">COUNTIF(E40:AB40,"Absent")</f>
        <v>8</v>
      </c>
      <c r="AD40" s="3" t="n">
        <f aca="false">COUNTIF(E40:AB40,"Present")</f>
        <v>15</v>
      </c>
      <c r="AE40" s="3" t="n">
        <f aca="false">(AD40*5)+(AC40*-5)</f>
        <v>35</v>
      </c>
    </row>
    <row r="41" customFormat="false" ht="21.75" hidden="false" customHeight="true" outlineLevel="0" collapsed="false">
      <c r="A41" s="3"/>
      <c r="B41" s="3" t="s">
        <v>245</v>
      </c>
      <c r="C41" s="4" t="s">
        <v>246</v>
      </c>
      <c r="D41" s="3" t="s">
        <v>247</v>
      </c>
      <c r="E41" s="4" t="s">
        <v>248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5" t="s">
        <v>10</v>
      </c>
      <c r="W41" s="5" t="s">
        <v>11</v>
      </c>
      <c r="X41" s="5" t="s">
        <v>10</v>
      </c>
      <c r="Y41" s="5" t="s">
        <v>11</v>
      </c>
      <c r="Z41" s="5" t="s">
        <v>10</v>
      </c>
      <c r="AA41" s="5" t="s">
        <v>10</v>
      </c>
      <c r="AB41" s="5" t="s">
        <v>10</v>
      </c>
      <c r="AC41" s="3" t="n">
        <f aca="false">COUNTIF(E41:AB41,"Absent")</f>
        <v>2</v>
      </c>
      <c r="AD41" s="3" t="n">
        <f aca="false">COUNTIF(E41:AB41,"Present")</f>
        <v>5</v>
      </c>
      <c r="AE41" s="3" t="n">
        <f aca="false">(AD41*5)+(AC41*-5)</f>
        <v>15</v>
      </c>
    </row>
    <row r="42" customFormat="false" ht="21.75" hidden="false" customHeight="true" outlineLevel="0" collapsed="false">
      <c r="A42" s="3"/>
      <c r="B42" s="3"/>
      <c r="C42" s="3"/>
      <c r="D42" s="3"/>
      <c r="E42" s="3" t="s">
        <v>10</v>
      </c>
      <c r="F42" s="3" t="s">
        <v>10</v>
      </c>
      <c r="G42" s="3" t="s">
        <v>10</v>
      </c>
      <c r="H42" s="3" t="s">
        <v>11</v>
      </c>
      <c r="I42" s="3" t="s">
        <v>10</v>
      </c>
      <c r="J42" s="3" t="s">
        <v>10</v>
      </c>
      <c r="K42" s="3" t="s">
        <v>10</v>
      </c>
      <c r="L42" s="3" t="s">
        <v>10</v>
      </c>
      <c r="M42" s="3" t="s">
        <v>10</v>
      </c>
      <c r="N42" s="3" t="s">
        <v>10</v>
      </c>
      <c r="O42" s="3" t="s">
        <v>11</v>
      </c>
      <c r="P42" s="3" t="s">
        <v>10</v>
      </c>
      <c r="Q42" s="3" t="s">
        <v>10</v>
      </c>
      <c r="R42" s="3" t="s">
        <v>11</v>
      </c>
      <c r="S42" s="3" t="s">
        <v>11</v>
      </c>
      <c r="T42" s="3" t="s">
        <v>10</v>
      </c>
      <c r="U42" s="3" t="s">
        <v>11</v>
      </c>
      <c r="V42" s="3" t="s">
        <v>10</v>
      </c>
      <c r="W42" s="3" t="s">
        <v>10</v>
      </c>
      <c r="X42" s="3" t="s">
        <v>11</v>
      </c>
      <c r="Y42" s="3" t="s">
        <v>10</v>
      </c>
      <c r="Z42" s="3" t="s">
        <v>10</v>
      </c>
      <c r="AA42" s="3" t="s">
        <v>11</v>
      </c>
      <c r="AB42" s="5" t="s">
        <v>33</v>
      </c>
      <c r="AC42" s="3" t="s">
        <v>10</v>
      </c>
      <c r="AD42" s="3" t="s">
        <v>11</v>
      </c>
      <c r="AE42" s="3" t="s">
        <v>10</v>
      </c>
    </row>
  </sheetData>
  <autoFilter ref="A1:AE42"/>
  <mergeCells count="1">
    <mergeCell ref="E41:U41"/>
  </mergeCells>
  <conditionalFormatting sqref="AC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conditionalFormatting sqref="AC1:AE1">
    <cfRule type="cellIs" priority="4" operator="equal" aboveAverage="0" equalAverage="0" bottom="0" percent="0" rank="0" text="" dxfId="9">
      <formula>"Present"</formula>
    </cfRule>
    <cfRule type="cellIs" priority="5" operator="equal" aboveAverage="0" equalAverage="0" bottom="0" percent="0" rank="0" text="" dxfId="10">
      <formula>"Absent"</formula>
    </cfRule>
  </conditionalFormatting>
  <conditionalFormatting sqref="N2:AB2 N3:V40 V41 W3:AA41 AB3:AB42">
    <cfRule type="cellIs" priority="6" operator="equal" aboveAverage="0" equalAverage="0" bottom="0" percent="0" rank="0" text="" dxfId="9">
      <formula>"Present"</formula>
    </cfRule>
    <cfRule type="cellIs" priority="7" operator="equal" aboveAverage="0" equalAverage="0" bottom="0" percent="0" rank="0" text="" dxfId="10">
      <formula>"Absent"</formula>
    </cfRule>
  </conditionalFormatting>
  <conditionalFormatting sqref="I2:M40">
    <cfRule type="cellIs" priority="8" operator="equal" aboveAverage="0" equalAverage="0" bottom="0" percent="0" rank="0" text="" dxfId="9">
      <formula>"Present"</formula>
    </cfRule>
    <cfRule type="cellIs" priority="9" operator="equal" aboveAverage="0" equalAverage="0" bottom="0" percent="0" rank="0" text="" dxfId="10">
      <formula>"Absent"</formula>
    </cfRule>
  </conditionalFormatting>
  <conditionalFormatting sqref="S1:AB1">
    <cfRule type="cellIs" priority="10" operator="equal" aboveAverage="0" equalAverage="0" bottom="0" percent="0" rank="0" text="" dxfId="9">
      <formula>"Present"</formula>
    </cfRule>
    <cfRule type="cellIs" priority="11" operator="equal" aboveAverage="0" equalAverage="0" bottom="0" percent="0" rank="0" text="" dxfId="10">
      <formula>"Absent"</formula>
    </cfRule>
  </conditionalFormatting>
  <conditionalFormatting sqref="Q1">
    <cfRule type="cellIs" priority="12" operator="equal" aboveAverage="0" equalAverage="0" bottom="0" percent="0" rank="0" text="" dxfId="9">
      <formula>"Present"</formula>
    </cfRule>
    <cfRule type="cellIs" priority="13" operator="equal" aboveAverage="0" equalAverage="0" bottom="0" percent="0" rank="0" text="" dxfId="10">
      <formula>"Absent"</formula>
    </cfRule>
  </conditionalFormatting>
  <conditionalFormatting sqref="Q1:R1">
    <cfRule type="cellIs" priority="14" operator="equal" aboveAverage="0" equalAverage="0" bottom="0" percent="0" rank="0" text="" dxfId="9">
      <formula>"Present"</formula>
    </cfRule>
    <cfRule type="cellIs" priority="15" operator="equal" aboveAverage="0" equalAverage="0" bottom="0" percent="0" rank="0" text="" dxfId="10">
      <formula>"Absent"</formula>
    </cfRule>
  </conditionalFormatting>
  <conditionalFormatting sqref="A1:P1 E2:H40">
    <cfRule type="cellIs" priority="16" operator="equal" aboveAverage="0" equalAverage="0" bottom="0" percent="0" rank="0" text="" dxfId="9">
      <formula>"Present"</formula>
    </cfRule>
    <cfRule type="cellIs" priority="17" operator="equal" aboveAverage="0" equalAverage="0" bottom="0" percent="0" rank="0" text="" dxfId="10">
      <formula>"Absent"</formula>
    </cfRule>
  </conditionalFormatting>
  <dataValidations count="2">
    <dataValidation allowBlank="true" errorStyle="stop" operator="between" showDropDown="false" showErrorMessage="true" showInputMessage="true" sqref="E1:AE1" type="list">
      <formula1>$A$1:$AE$1</formula1>
      <formula2>0</formula2>
    </dataValidation>
    <dataValidation allowBlank="true" errorStyle="stop" operator="between" showDropDown="false" showErrorMessage="true" showInputMessage="true" sqref="E2:AB40 V41:AB41 AB42" type="list">
      <formula1>"Present,Absent,Excused absence"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3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&amp;L&amp;"Arial,Regular"&amp;1 #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37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C2" activeCellId="0" sqref="AC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31" min="5" style="0" width="13"/>
    <col collapsed="false" customWidth="true" hidden="false" outlineLevel="0" max="32" min="32" style="0" width="16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n">
        <v>45931</v>
      </c>
      <c r="F1" s="2" t="n">
        <v>45936</v>
      </c>
      <c r="G1" s="2" t="n">
        <v>45937</v>
      </c>
      <c r="H1" s="2" t="n">
        <v>45938</v>
      </c>
      <c r="I1" s="2" t="n">
        <v>45943</v>
      </c>
      <c r="J1" s="2" t="n">
        <v>45945</v>
      </c>
      <c r="K1" s="2" t="n">
        <v>45950</v>
      </c>
      <c r="L1" s="2" t="n">
        <v>45952</v>
      </c>
      <c r="M1" s="2" t="n">
        <v>45957</v>
      </c>
      <c r="N1" s="2" t="n">
        <v>45959</v>
      </c>
      <c r="O1" s="2" t="n">
        <v>45964</v>
      </c>
      <c r="P1" s="2" t="n">
        <v>45966</v>
      </c>
      <c r="Q1" s="2" t="n">
        <v>45971</v>
      </c>
      <c r="R1" s="2" t="n">
        <v>45973</v>
      </c>
      <c r="S1" s="2" t="n">
        <v>45992</v>
      </c>
      <c r="T1" s="2" t="n">
        <v>45994</v>
      </c>
      <c r="U1" s="2" t="n">
        <v>45999</v>
      </c>
      <c r="V1" s="2" t="n">
        <v>46001</v>
      </c>
      <c r="W1" s="2" t="n">
        <v>46006</v>
      </c>
      <c r="X1" s="2" t="n">
        <v>46008</v>
      </c>
      <c r="Y1" s="2" t="n">
        <v>46013</v>
      </c>
      <c r="Z1" s="2" t="n">
        <v>46015</v>
      </c>
      <c r="AA1" s="2" t="n">
        <v>46020</v>
      </c>
      <c r="AB1" s="2" t="n">
        <v>45961</v>
      </c>
      <c r="AC1" s="1" t="s">
        <v>4</v>
      </c>
      <c r="AD1" s="1" t="s">
        <v>5</v>
      </c>
      <c r="AE1" s="1" t="s">
        <v>6</v>
      </c>
    </row>
    <row r="2" customFormat="false" ht="21.75" hidden="false" customHeight="true" outlineLevel="0" collapsed="false">
      <c r="A2" s="3" t="n">
        <v>1</v>
      </c>
      <c r="B2" s="3" t="s">
        <v>249</v>
      </c>
      <c r="C2" s="4" t="s">
        <v>250</v>
      </c>
      <c r="D2" s="3" t="s">
        <v>251</v>
      </c>
      <c r="E2" s="5" t="s">
        <v>10</v>
      </c>
      <c r="F2" s="5" t="s">
        <v>10</v>
      </c>
      <c r="G2" s="5" t="s">
        <v>33</v>
      </c>
      <c r="H2" s="5" t="s">
        <v>10</v>
      </c>
      <c r="I2" s="5" t="s">
        <v>10</v>
      </c>
      <c r="J2" s="5" t="s">
        <v>11</v>
      </c>
      <c r="K2" s="5" t="s">
        <v>10</v>
      </c>
      <c r="L2" s="5" t="s">
        <v>10</v>
      </c>
      <c r="M2" s="5" t="s">
        <v>10</v>
      </c>
      <c r="N2" s="5" t="s">
        <v>10</v>
      </c>
      <c r="O2" s="5" t="s">
        <v>11</v>
      </c>
      <c r="P2" s="5" t="s">
        <v>10</v>
      </c>
      <c r="Q2" s="5" t="s">
        <v>10</v>
      </c>
      <c r="R2" s="5" t="s">
        <v>10</v>
      </c>
      <c r="S2" s="5" t="s">
        <v>11</v>
      </c>
      <c r="T2" s="5" t="s">
        <v>11</v>
      </c>
      <c r="U2" s="5" t="s">
        <v>11</v>
      </c>
      <c r="V2" s="5" t="s">
        <v>10</v>
      </c>
      <c r="W2" s="5" t="s">
        <v>11</v>
      </c>
      <c r="X2" s="5" t="s">
        <v>10</v>
      </c>
      <c r="Y2" s="5" t="s">
        <v>11</v>
      </c>
      <c r="Z2" s="5" t="s">
        <v>10</v>
      </c>
      <c r="AA2" s="5" t="s">
        <v>10</v>
      </c>
      <c r="AB2" s="5" t="s">
        <v>10</v>
      </c>
      <c r="AC2" s="3" t="n">
        <f aca="false">COUNTIF(E2:AB2,"Absent")</f>
        <v>7</v>
      </c>
      <c r="AD2" s="3" t="n">
        <f aca="false">COUNTIF(E2:AB2,"Present")</f>
        <v>16</v>
      </c>
      <c r="AE2" s="3" t="n">
        <f aca="false">(AD2*5)+(AC2*-5)</f>
        <v>45</v>
      </c>
    </row>
    <row r="3" customFormat="false" ht="21.75" hidden="false" customHeight="true" outlineLevel="0" collapsed="false">
      <c r="A3" s="3" t="n">
        <v>2</v>
      </c>
      <c r="B3" s="3" t="s">
        <v>252</v>
      </c>
      <c r="C3" s="4" t="s">
        <v>253</v>
      </c>
      <c r="D3" s="3" t="s">
        <v>254</v>
      </c>
      <c r="E3" s="5" t="s">
        <v>10</v>
      </c>
      <c r="F3" s="5" t="s">
        <v>10</v>
      </c>
      <c r="G3" s="5" t="s">
        <v>10</v>
      </c>
      <c r="H3" s="5" t="s">
        <v>10</v>
      </c>
      <c r="I3" s="5" t="s">
        <v>10</v>
      </c>
      <c r="J3" s="5" t="s">
        <v>10</v>
      </c>
      <c r="K3" s="5" t="s">
        <v>11</v>
      </c>
      <c r="L3" s="5" t="s">
        <v>10</v>
      </c>
      <c r="M3" s="5" t="s">
        <v>10</v>
      </c>
      <c r="N3" s="5" t="s">
        <v>10</v>
      </c>
      <c r="O3" s="5" t="s">
        <v>11</v>
      </c>
      <c r="P3" s="5" t="s">
        <v>10</v>
      </c>
      <c r="Q3" s="5" t="s">
        <v>10</v>
      </c>
      <c r="R3" s="5" t="s">
        <v>10</v>
      </c>
      <c r="S3" s="5" t="s">
        <v>11</v>
      </c>
      <c r="T3" s="5" t="s">
        <v>10</v>
      </c>
      <c r="U3" s="5" t="s">
        <v>10</v>
      </c>
      <c r="V3" s="5" t="s">
        <v>10</v>
      </c>
      <c r="W3" s="5" t="s">
        <v>11</v>
      </c>
      <c r="X3" s="5" t="s">
        <v>10</v>
      </c>
      <c r="Y3" s="5" t="s">
        <v>10</v>
      </c>
      <c r="Z3" s="5" t="s">
        <v>10</v>
      </c>
      <c r="AA3" s="5" t="s">
        <v>11</v>
      </c>
      <c r="AB3" s="5" t="s">
        <v>10</v>
      </c>
      <c r="AC3" s="3" t="n">
        <f aca="false">COUNTIF(E3:AB3,"Absent")</f>
        <v>5</v>
      </c>
      <c r="AD3" s="3" t="n">
        <f aca="false">COUNTIF(E3:AB3,"Present")</f>
        <v>19</v>
      </c>
      <c r="AE3" s="3" t="n">
        <f aca="false">(AD3*5)+(AC3*-5)</f>
        <v>70</v>
      </c>
    </row>
    <row r="4" customFormat="false" ht="21.75" hidden="false" customHeight="true" outlineLevel="0" collapsed="false">
      <c r="A4" s="3" t="n">
        <v>3</v>
      </c>
      <c r="B4" s="3" t="s">
        <v>255</v>
      </c>
      <c r="C4" s="4" t="s">
        <v>256</v>
      </c>
      <c r="D4" s="3" t="s">
        <v>257</v>
      </c>
      <c r="E4" s="5" t="s">
        <v>10</v>
      </c>
      <c r="F4" s="5" t="s">
        <v>10</v>
      </c>
      <c r="G4" s="5" t="s">
        <v>10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  <c r="M4" s="5" t="s">
        <v>10</v>
      </c>
      <c r="N4" s="5" t="s">
        <v>10</v>
      </c>
      <c r="O4" s="5" t="s">
        <v>10</v>
      </c>
      <c r="P4" s="5" t="s">
        <v>10</v>
      </c>
      <c r="Q4" s="5" t="s">
        <v>10</v>
      </c>
      <c r="R4" s="5" t="s">
        <v>10</v>
      </c>
      <c r="S4" s="5" t="s">
        <v>11</v>
      </c>
      <c r="T4" s="5" t="s">
        <v>11</v>
      </c>
      <c r="U4" s="5" t="s">
        <v>10</v>
      </c>
      <c r="V4" s="5" t="s">
        <v>10</v>
      </c>
      <c r="W4" s="5" t="s">
        <v>10</v>
      </c>
      <c r="X4" s="5" t="s">
        <v>11</v>
      </c>
      <c r="Y4" s="5" t="s">
        <v>10</v>
      </c>
      <c r="Z4" s="5" t="s">
        <v>11</v>
      </c>
      <c r="AA4" s="5" t="s">
        <v>10</v>
      </c>
      <c r="AB4" s="5" t="s">
        <v>10</v>
      </c>
      <c r="AC4" s="3" t="n">
        <f aca="false">COUNTIF(E4:AB4,"Absent")</f>
        <v>4</v>
      </c>
      <c r="AD4" s="3" t="n">
        <f aca="false">COUNTIF(E4:AB4,"Present")</f>
        <v>20</v>
      </c>
      <c r="AE4" s="3" t="n">
        <f aca="false">(AD4*5)+(AC4*-5)</f>
        <v>80</v>
      </c>
    </row>
    <row r="5" customFormat="false" ht="21.75" hidden="false" customHeight="true" outlineLevel="0" collapsed="false">
      <c r="A5" s="3" t="n">
        <v>4</v>
      </c>
      <c r="B5" s="3" t="s">
        <v>258</v>
      </c>
      <c r="C5" s="4" t="s">
        <v>259</v>
      </c>
      <c r="D5" s="3" t="s">
        <v>260</v>
      </c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11</v>
      </c>
      <c r="Q5" s="5" t="s">
        <v>10</v>
      </c>
      <c r="R5" s="5" t="s">
        <v>10</v>
      </c>
      <c r="S5" s="5" t="s">
        <v>11</v>
      </c>
      <c r="T5" s="5" t="s">
        <v>11</v>
      </c>
      <c r="U5" s="5" t="s">
        <v>10</v>
      </c>
      <c r="V5" s="5" t="s">
        <v>10</v>
      </c>
      <c r="W5" s="5" t="s">
        <v>11</v>
      </c>
      <c r="X5" s="5" t="s">
        <v>10</v>
      </c>
      <c r="Y5" s="5" t="s">
        <v>10</v>
      </c>
      <c r="Z5" s="5" t="s">
        <v>10</v>
      </c>
      <c r="AA5" s="5" t="s">
        <v>33</v>
      </c>
      <c r="AB5" s="5" t="s">
        <v>10</v>
      </c>
      <c r="AC5" s="3" t="n">
        <f aca="false">COUNTIF(E5:AB5,"Absent")</f>
        <v>4</v>
      </c>
      <c r="AD5" s="3" t="n">
        <f aca="false">COUNTIF(E5:AB5,"Present")</f>
        <v>19</v>
      </c>
      <c r="AE5" s="3" t="n">
        <f aca="false">(AD5*5)+(AC5*-5)</f>
        <v>75</v>
      </c>
    </row>
    <row r="6" customFormat="false" ht="21.75" hidden="false" customHeight="true" outlineLevel="0" collapsed="false">
      <c r="A6" s="3" t="n">
        <v>5</v>
      </c>
      <c r="B6" s="3" t="s">
        <v>261</v>
      </c>
      <c r="C6" s="4" t="s">
        <v>262</v>
      </c>
      <c r="D6" s="3" t="s">
        <v>263</v>
      </c>
      <c r="E6" s="5" t="s">
        <v>33</v>
      </c>
      <c r="F6" s="5" t="s">
        <v>10</v>
      </c>
      <c r="G6" s="5" t="s">
        <v>11</v>
      </c>
      <c r="H6" s="5" t="s">
        <v>10</v>
      </c>
      <c r="I6" s="5" t="s">
        <v>10</v>
      </c>
      <c r="J6" s="5" t="s">
        <v>10</v>
      </c>
      <c r="K6" s="5" t="s">
        <v>10</v>
      </c>
      <c r="L6" s="5" t="s">
        <v>10</v>
      </c>
      <c r="M6" s="5" t="s">
        <v>10</v>
      </c>
      <c r="N6" s="5" t="s">
        <v>10</v>
      </c>
      <c r="O6" s="5" t="s">
        <v>10</v>
      </c>
      <c r="P6" s="5" t="s">
        <v>10</v>
      </c>
      <c r="Q6" s="5" t="s">
        <v>10</v>
      </c>
      <c r="R6" s="5" t="s">
        <v>10</v>
      </c>
      <c r="S6" s="5" t="s">
        <v>10</v>
      </c>
      <c r="T6" s="5" t="s">
        <v>11</v>
      </c>
      <c r="U6" s="5" t="s">
        <v>10</v>
      </c>
      <c r="V6" s="5" t="s">
        <v>11</v>
      </c>
      <c r="W6" s="5" t="s">
        <v>10</v>
      </c>
      <c r="X6" s="5" t="s">
        <v>10</v>
      </c>
      <c r="Y6" s="5" t="s">
        <v>10</v>
      </c>
      <c r="Z6" s="5" t="s">
        <v>10</v>
      </c>
      <c r="AA6" s="5" t="s">
        <v>11</v>
      </c>
      <c r="AB6" s="5" t="s">
        <v>10</v>
      </c>
      <c r="AC6" s="3" t="n">
        <f aca="false">COUNTIF(E6:AB6,"Absent")</f>
        <v>4</v>
      </c>
      <c r="AD6" s="3" t="n">
        <f aca="false">COUNTIF(E6:AB6,"Present")</f>
        <v>19</v>
      </c>
      <c r="AE6" s="3" t="n">
        <f aca="false">(AD6*5)+(AC6*-5)</f>
        <v>75</v>
      </c>
    </row>
    <row r="7" customFormat="false" ht="21.75" hidden="false" customHeight="true" outlineLevel="0" collapsed="false">
      <c r="A7" s="3" t="n">
        <v>6</v>
      </c>
      <c r="B7" s="3" t="s">
        <v>264</v>
      </c>
      <c r="C7" s="4" t="s">
        <v>265</v>
      </c>
      <c r="D7" s="3" t="s">
        <v>266</v>
      </c>
      <c r="E7" s="5" t="s">
        <v>10</v>
      </c>
      <c r="F7" s="5" t="s">
        <v>33</v>
      </c>
      <c r="G7" s="5" t="s">
        <v>11</v>
      </c>
      <c r="H7" s="5" t="s">
        <v>10</v>
      </c>
      <c r="I7" s="5" t="s">
        <v>11</v>
      </c>
      <c r="J7" s="5" t="s">
        <v>10</v>
      </c>
      <c r="K7" s="5" t="s">
        <v>10</v>
      </c>
      <c r="L7" s="5" t="s">
        <v>11</v>
      </c>
      <c r="M7" s="5" t="s">
        <v>10</v>
      </c>
      <c r="N7" s="5" t="s">
        <v>10</v>
      </c>
      <c r="O7" s="5" t="s">
        <v>11</v>
      </c>
      <c r="P7" s="5" t="s">
        <v>10</v>
      </c>
      <c r="Q7" s="5" t="s">
        <v>11</v>
      </c>
      <c r="R7" s="5" t="s">
        <v>11</v>
      </c>
      <c r="S7" s="5" t="s">
        <v>11</v>
      </c>
      <c r="T7" s="5" t="s">
        <v>11</v>
      </c>
      <c r="U7" s="5" t="s">
        <v>11</v>
      </c>
      <c r="V7" s="5" t="s">
        <v>11</v>
      </c>
      <c r="W7" s="5" t="s">
        <v>11</v>
      </c>
      <c r="X7" s="5" t="s">
        <v>10</v>
      </c>
      <c r="Y7" s="5" t="s">
        <v>10</v>
      </c>
      <c r="Z7" s="5" t="s">
        <v>10</v>
      </c>
      <c r="AA7" s="5" t="s">
        <v>33</v>
      </c>
      <c r="AB7" s="5" t="s">
        <v>11</v>
      </c>
      <c r="AC7" s="3" t="n">
        <f aca="false">COUNTIF(E7:AB7,"Absent")</f>
        <v>12</v>
      </c>
      <c r="AD7" s="3" t="n">
        <f aca="false">COUNTIF(E7:AB7,"Present")</f>
        <v>10</v>
      </c>
      <c r="AE7" s="3" t="n">
        <f aca="false">(AD7*5)+(AC7*-5)</f>
        <v>-10</v>
      </c>
    </row>
    <row r="8" customFormat="false" ht="21.75" hidden="false" customHeight="true" outlineLevel="0" collapsed="false">
      <c r="A8" s="3" t="n">
        <v>7</v>
      </c>
      <c r="B8" s="3" t="s">
        <v>267</v>
      </c>
      <c r="C8" s="4" t="s">
        <v>268</v>
      </c>
      <c r="D8" s="3" t="s">
        <v>269</v>
      </c>
      <c r="E8" s="5" t="s">
        <v>33</v>
      </c>
      <c r="F8" s="5" t="s">
        <v>10</v>
      </c>
      <c r="G8" s="5" t="s">
        <v>11</v>
      </c>
      <c r="H8" s="5" t="s">
        <v>10</v>
      </c>
      <c r="I8" s="5" t="s">
        <v>11</v>
      </c>
      <c r="J8" s="5" t="s">
        <v>10</v>
      </c>
      <c r="K8" s="5" t="s">
        <v>10</v>
      </c>
      <c r="L8" s="5" t="s">
        <v>11</v>
      </c>
      <c r="M8" s="5" t="s">
        <v>10</v>
      </c>
      <c r="N8" s="5" t="s">
        <v>10</v>
      </c>
      <c r="O8" s="5" t="s">
        <v>10</v>
      </c>
      <c r="P8" s="5" t="s">
        <v>11</v>
      </c>
      <c r="Q8" s="5" t="s">
        <v>10</v>
      </c>
      <c r="R8" s="5" t="s">
        <v>10</v>
      </c>
      <c r="S8" s="5" t="s">
        <v>10</v>
      </c>
      <c r="T8" s="5" t="s">
        <v>11</v>
      </c>
      <c r="U8" s="5" t="s">
        <v>10</v>
      </c>
      <c r="V8" s="5" t="s">
        <v>11</v>
      </c>
      <c r="W8" s="5" t="s">
        <v>11</v>
      </c>
      <c r="X8" s="5" t="s">
        <v>11</v>
      </c>
      <c r="Y8" s="5" t="s">
        <v>10</v>
      </c>
      <c r="Z8" s="5" t="s">
        <v>10</v>
      </c>
      <c r="AA8" s="5" t="s">
        <v>10</v>
      </c>
      <c r="AB8" s="5" t="s">
        <v>11</v>
      </c>
      <c r="AC8" s="3" t="n">
        <f aca="false">COUNTIF(E8:AB8,"Absent")</f>
        <v>9</v>
      </c>
      <c r="AD8" s="3" t="n">
        <f aca="false">COUNTIF(E8:AB8,"Present")</f>
        <v>14</v>
      </c>
      <c r="AE8" s="3" t="n">
        <f aca="false">(AD8*5)+(AC8*-5)</f>
        <v>25</v>
      </c>
    </row>
    <row r="9" customFormat="false" ht="21.75" hidden="false" customHeight="true" outlineLevel="0" collapsed="false">
      <c r="A9" s="3" t="n">
        <v>8</v>
      </c>
      <c r="B9" s="3" t="s">
        <v>270</v>
      </c>
      <c r="C9" s="4" t="s">
        <v>271</v>
      </c>
      <c r="D9" s="3" t="s">
        <v>272</v>
      </c>
      <c r="E9" s="5" t="s">
        <v>10</v>
      </c>
      <c r="F9" s="5" t="s">
        <v>10</v>
      </c>
      <c r="G9" s="5" t="s">
        <v>10</v>
      </c>
      <c r="H9" s="5" t="s">
        <v>10</v>
      </c>
      <c r="I9" s="5" t="s">
        <v>10</v>
      </c>
      <c r="J9" s="5" t="s">
        <v>10</v>
      </c>
      <c r="K9" s="5" t="s">
        <v>10</v>
      </c>
      <c r="L9" s="5" t="s">
        <v>10</v>
      </c>
      <c r="M9" s="5" t="s">
        <v>10</v>
      </c>
      <c r="N9" s="5" t="s">
        <v>10</v>
      </c>
      <c r="O9" s="5" t="s">
        <v>10</v>
      </c>
      <c r="P9" s="5" t="s">
        <v>10</v>
      </c>
      <c r="Q9" s="5" t="s">
        <v>10</v>
      </c>
      <c r="R9" s="5" t="s">
        <v>10</v>
      </c>
      <c r="S9" s="5" t="s">
        <v>11</v>
      </c>
      <c r="T9" s="5" t="s">
        <v>10</v>
      </c>
      <c r="U9" s="5" t="s">
        <v>11</v>
      </c>
      <c r="V9" s="5" t="s">
        <v>10</v>
      </c>
      <c r="W9" s="5" t="s">
        <v>11</v>
      </c>
      <c r="X9" s="5" t="s">
        <v>10</v>
      </c>
      <c r="Y9" s="5" t="s">
        <v>11</v>
      </c>
      <c r="Z9" s="5" t="s">
        <v>10</v>
      </c>
      <c r="AA9" s="5" t="s">
        <v>11</v>
      </c>
      <c r="AB9" s="5" t="s">
        <v>10</v>
      </c>
      <c r="AC9" s="3" t="n">
        <f aca="false">COUNTIF(E9:AB9,"Absent")</f>
        <v>5</v>
      </c>
      <c r="AD9" s="3" t="n">
        <f aca="false">COUNTIF(E9:AB9,"Present")</f>
        <v>19</v>
      </c>
      <c r="AE9" s="3" t="n">
        <f aca="false">(AD9*5)+(AC9*-5)</f>
        <v>70</v>
      </c>
    </row>
    <row r="10" customFormat="false" ht="21.75" hidden="false" customHeight="true" outlineLevel="0" collapsed="false">
      <c r="A10" s="3" t="n">
        <v>9</v>
      </c>
      <c r="B10" s="3" t="s">
        <v>273</v>
      </c>
      <c r="C10" s="4" t="s">
        <v>274</v>
      </c>
      <c r="D10" s="3" t="s">
        <v>275</v>
      </c>
      <c r="E10" s="5" t="s">
        <v>10</v>
      </c>
      <c r="F10" s="5" t="s">
        <v>10</v>
      </c>
      <c r="G10" s="5" t="s">
        <v>10</v>
      </c>
      <c r="H10" s="5" t="s">
        <v>10</v>
      </c>
      <c r="I10" s="5" t="s">
        <v>10</v>
      </c>
      <c r="J10" s="5" t="s">
        <v>10</v>
      </c>
      <c r="K10" s="5" t="s">
        <v>10</v>
      </c>
      <c r="L10" s="5" t="s">
        <v>10</v>
      </c>
      <c r="M10" s="5" t="s">
        <v>11</v>
      </c>
      <c r="N10" s="5" t="s">
        <v>10</v>
      </c>
      <c r="O10" s="5" t="s">
        <v>11</v>
      </c>
      <c r="P10" s="5" t="s">
        <v>11</v>
      </c>
      <c r="Q10" s="5" t="s">
        <v>10</v>
      </c>
      <c r="R10" s="5" t="s">
        <v>10</v>
      </c>
      <c r="S10" s="5" t="s">
        <v>11</v>
      </c>
      <c r="T10" s="5" t="s">
        <v>10</v>
      </c>
      <c r="U10" s="5" t="s">
        <v>11</v>
      </c>
      <c r="V10" s="5" t="s">
        <v>11</v>
      </c>
      <c r="W10" s="5" t="s">
        <v>11</v>
      </c>
      <c r="X10" s="5" t="s">
        <v>11</v>
      </c>
      <c r="Y10" s="5" t="s">
        <v>10</v>
      </c>
      <c r="Z10" s="5" t="s">
        <v>10</v>
      </c>
      <c r="AA10" s="5" t="s">
        <v>10</v>
      </c>
      <c r="AB10" s="5" t="s">
        <v>10</v>
      </c>
      <c r="AC10" s="3" t="n">
        <f aca="false">COUNTIF(E10:AB10,"Absent")</f>
        <v>8</v>
      </c>
      <c r="AD10" s="3" t="n">
        <f aca="false">COUNTIF(E10:AB10,"Present")</f>
        <v>16</v>
      </c>
      <c r="AE10" s="3" t="n">
        <f aca="false">(AD10*5)+(AC10*-5)</f>
        <v>40</v>
      </c>
    </row>
    <row r="11" customFormat="false" ht="21.75" hidden="false" customHeight="true" outlineLevel="0" collapsed="false">
      <c r="A11" s="3" t="n">
        <v>10</v>
      </c>
      <c r="B11" s="3" t="s">
        <v>276</v>
      </c>
      <c r="C11" s="4" t="s">
        <v>277</v>
      </c>
      <c r="D11" s="3" t="s">
        <v>278</v>
      </c>
      <c r="E11" s="5" t="s">
        <v>10</v>
      </c>
      <c r="F11" s="5" t="s">
        <v>33</v>
      </c>
      <c r="G11" s="5" t="s">
        <v>10</v>
      </c>
      <c r="H11" s="5" t="s">
        <v>10</v>
      </c>
      <c r="I11" s="5" t="s">
        <v>10</v>
      </c>
      <c r="J11" s="5" t="s">
        <v>10</v>
      </c>
      <c r="K11" s="5" t="s">
        <v>11</v>
      </c>
      <c r="L11" s="5" t="s">
        <v>11</v>
      </c>
      <c r="M11" s="5" t="s">
        <v>10</v>
      </c>
      <c r="N11" s="5" t="s">
        <v>11</v>
      </c>
      <c r="O11" s="5" t="s">
        <v>10</v>
      </c>
      <c r="P11" s="5" t="s">
        <v>11</v>
      </c>
      <c r="Q11" s="5" t="s">
        <v>10</v>
      </c>
      <c r="R11" s="5" t="s">
        <v>11</v>
      </c>
      <c r="S11" s="5" t="s">
        <v>10</v>
      </c>
      <c r="T11" s="5" t="s">
        <v>11</v>
      </c>
      <c r="U11" s="5" t="s">
        <v>10</v>
      </c>
      <c r="V11" s="5" t="s">
        <v>10</v>
      </c>
      <c r="W11" s="5" t="s">
        <v>10</v>
      </c>
      <c r="X11" s="5" t="s">
        <v>10</v>
      </c>
      <c r="Y11" s="5" t="s">
        <v>10</v>
      </c>
      <c r="Z11" s="5" t="s">
        <v>10</v>
      </c>
      <c r="AA11" s="5" t="s">
        <v>10</v>
      </c>
      <c r="AB11" s="5" t="s">
        <v>33</v>
      </c>
      <c r="AC11" s="3" t="n">
        <f aca="false">COUNTIF(E11:AB11,"Absent")</f>
        <v>6</v>
      </c>
      <c r="AD11" s="3" t="n">
        <f aca="false">COUNTIF(E11:AB11,"Present")</f>
        <v>16</v>
      </c>
      <c r="AE11" s="3" t="n">
        <f aca="false">(AD11*5)+(AC11*-5)</f>
        <v>50</v>
      </c>
    </row>
    <row r="12" customFormat="false" ht="21.75" hidden="false" customHeight="true" outlineLevel="0" collapsed="false">
      <c r="A12" s="3" t="n">
        <v>11</v>
      </c>
      <c r="B12" s="3" t="s">
        <v>279</v>
      </c>
      <c r="C12" s="4" t="s">
        <v>280</v>
      </c>
      <c r="D12" s="3" t="s">
        <v>281</v>
      </c>
      <c r="E12" s="5" t="s">
        <v>10</v>
      </c>
      <c r="F12" s="5" t="s">
        <v>11</v>
      </c>
      <c r="G12" s="5" t="s">
        <v>10</v>
      </c>
      <c r="H12" s="5" t="s">
        <v>10</v>
      </c>
      <c r="I12" s="5" t="s">
        <v>10</v>
      </c>
      <c r="J12" s="5" t="s">
        <v>10</v>
      </c>
      <c r="K12" s="5" t="s">
        <v>10</v>
      </c>
      <c r="L12" s="5" t="s">
        <v>10</v>
      </c>
      <c r="M12" s="5" t="s">
        <v>10</v>
      </c>
      <c r="N12" s="5" t="s">
        <v>11</v>
      </c>
      <c r="O12" s="5" t="s">
        <v>11</v>
      </c>
      <c r="P12" s="5" t="s">
        <v>11</v>
      </c>
      <c r="Q12" s="5" t="s">
        <v>11</v>
      </c>
      <c r="R12" s="5" t="s">
        <v>10</v>
      </c>
      <c r="S12" s="5" t="s">
        <v>10</v>
      </c>
      <c r="T12" s="5" t="s">
        <v>10</v>
      </c>
      <c r="U12" s="5" t="s">
        <v>11</v>
      </c>
      <c r="V12" s="5" t="s">
        <v>11</v>
      </c>
      <c r="W12" s="5" t="s">
        <v>11</v>
      </c>
      <c r="X12" s="5" t="s">
        <v>10</v>
      </c>
      <c r="Y12" s="5" t="s">
        <v>10</v>
      </c>
      <c r="Z12" s="5" t="s">
        <v>10</v>
      </c>
      <c r="AA12" s="5" t="s">
        <v>11</v>
      </c>
      <c r="AB12" s="5" t="s">
        <v>10</v>
      </c>
      <c r="AC12" s="3" t="n">
        <f aca="false">COUNTIF(E12:AB12,"Absent")</f>
        <v>9</v>
      </c>
      <c r="AD12" s="3" t="n">
        <f aca="false">COUNTIF(E12:AB12,"Present")</f>
        <v>15</v>
      </c>
      <c r="AE12" s="3" t="n">
        <f aca="false">(AD12*5)+(AC12*-5)</f>
        <v>30</v>
      </c>
    </row>
    <row r="13" customFormat="false" ht="21.75" hidden="false" customHeight="true" outlineLevel="0" collapsed="false">
      <c r="A13" s="3" t="n">
        <v>12</v>
      </c>
      <c r="B13" s="3" t="s">
        <v>282</v>
      </c>
      <c r="C13" s="4" t="s">
        <v>283</v>
      </c>
      <c r="D13" s="3" t="s">
        <v>284</v>
      </c>
      <c r="E13" s="5" t="s">
        <v>10</v>
      </c>
      <c r="F13" s="5" t="s">
        <v>10</v>
      </c>
      <c r="G13" s="5" t="s">
        <v>11</v>
      </c>
      <c r="H13" s="5" t="s">
        <v>10</v>
      </c>
      <c r="I13" s="5" t="s">
        <v>10</v>
      </c>
      <c r="J13" s="5" t="s">
        <v>10</v>
      </c>
      <c r="K13" s="5" t="s">
        <v>10</v>
      </c>
      <c r="L13" s="5" t="s">
        <v>10</v>
      </c>
      <c r="M13" s="5" t="s">
        <v>10</v>
      </c>
      <c r="N13" s="5" t="s">
        <v>10</v>
      </c>
      <c r="O13" s="5" t="s">
        <v>10</v>
      </c>
      <c r="P13" s="5" t="s">
        <v>10</v>
      </c>
      <c r="Q13" s="5" t="s">
        <v>10</v>
      </c>
      <c r="R13" s="5" t="s">
        <v>10</v>
      </c>
      <c r="S13" s="5" t="s">
        <v>10</v>
      </c>
      <c r="T13" s="5" t="s">
        <v>10</v>
      </c>
      <c r="U13" s="5" t="s">
        <v>11</v>
      </c>
      <c r="V13" s="5" t="s">
        <v>10</v>
      </c>
      <c r="W13" s="5" t="s">
        <v>11</v>
      </c>
      <c r="X13" s="5" t="s">
        <v>10</v>
      </c>
      <c r="Y13" s="5" t="s">
        <v>10</v>
      </c>
      <c r="Z13" s="5" t="s">
        <v>10</v>
      </c>
      <c r="AA13" s="5" t="s">
        <v>10</v>
      </c>
      <c r="AB13" s="5" t="s">
        <v>11</v>
      </c>
      <c r="AC13" s="3" t="n">
        <f aca="false">COUNTIF(E13:AB13,"Absent")</f>
        <v>4</v>
      </c>
      <c r="AD13" s="3" t="n">
        <f aca="false">COUNTIF(E13:AB13,"Present")</f>
        <v>20</v>
      </c>
      <c r="AE13" s="3" t="n">
        <f aca="false">(AD13*5)+(AC13*-5)</f>
        <v>80</v>
      </c>
    </row>
    <row r="14" customFormat="false" ht="21.75" hidden="false" customHeight="true" outlineLevel="0" collapsed="false">
      <c r="A14" s="3" t="n">
        <v>13</v>
      </c>
      <c r="B14" s="3" t="s">
        <v>285</v>
      </c>
      <c r="C14" s="4" t="s">
        <v>286</v>
      </c>
      <c r="D14" s="3" t="s">
        <v>287</v>
      </c>
      <c r="E14" s="5" t="s">
        <v>10</v>
      </c>
      <c r="F14" s="5" t="s">
        <v>10</v>
      </c>
      <c r="G14" s="5" t="s">
        <v>11</v>
      </c>
      <c r="H14" s="5" t="s">
        <v>10</v>
      </c>
      <c r="I14" s="5" t="s">
        <v>10</v>
      </c>
      <c r="J14" s="5" t="s">
        <v>11</v>
      </c>
      <c r="K14" s="5" t="s">
        <v>11</v>
      </c>
      <c r="L14" s="5" t="s">
        <v>11</v>
      </c>
      <c r="M14" s="5" t="s">
        <v>11</v>
      </c>
      <c r="N14" s="5" t="s">
        <v>11</v>
      </c>
      <c r="O14" s="5" t="s">
        <v>11</v>
      </c>
      <c r="P14" s="5" t="s">
        <v>11</v>
      </c>
      <c r="Q14" s="5" t="s">
        <v>11</v>
      </c>
      <c r="R14" s="5" t="s">
        <v>11</v>
      </c>
      <c r="S14" s="5" t="s">
        <v>11</v>
      </c>
      <c r="T14" s="5" t="s">
        <v>11</v>
      </c>
      <c r="U14" s="5" t="s">
        <v>11</v>
      </c>
      <c r="V14" s="5" t="s">
        <v>11</v>
      </c>
      <c r="W14" s="5" t="s">
        <v>11</v>
      </c>
      <c r="X14" s="5" t="s">
        <v>10</v>
      </c>
      <c r="Y14" s="5" t="s">
        <v>10</v>
      </c>
      <c r="Z14" s="5" t="s">
        <v>10</v>
      </c>
      <c r="AA14" s="5" t="s">
        <v>10</v>
      </c>
      <c r="AB14" s="5" t="s">
        <v>11</v>
      </c>
      <c r="AC14" s="3" t="n">
        <f aca="false">COUNTIF(E14:AB14,"Absent")</f>
        <v>16</v>
      </c>
      <c r="AD14" s="3" t="n">
        <f aca="false">COUNTIF(E14:AB14,"Present")</f>
        <v>8</v>
      </c>
      <c r="AE14" s="3" t="n">
        <f aca="false">(AD14*5)+(AC14*-5)</f>
        <v>-40</v>
      </c>
    </row>
    <row r="15" customFormat="false" ht="21.75" hidden="false" customHeight="true" outlineLevel="0" collapsed="false">
      <c r="A15" s="3" t="n">
        <v>14</v>
      </c>
      <c r="B15" s="3" t="s">
        <v>288</v>
      </c>
      <c r="C15" s="4" t="s">
        <v>289</v>
      </c>
      <c r="D15" s="3" t="s">
        <v>290</v>
      </c>
      <c r="E15" s="5" t="s">
        <v>10</v>
      </c>
      <c r="F15" s="5" t="s">
        <v>10</v>
      </c>
      <c r="G15" s="5" t="s">
        <v>10</v>
      </c>
      <c r="H15" s="5" t="s">
        <v>10</v>
      </c>
      <c r="I15" s="5" t="s">
        <v>10</v>
      </c>
      <c r="J15" s="5" t="s">
        <v>33</v>
      </c>
      <c r="K15" s="5" t="s">
        <v>11</v>
      </c>
      <c r="L15" s="5" t="s">
        <v>11</v>
      </c>
      <c r="M15" s="5" t="s">
        <v>11</v>
      </c>
      <c r="N15" s="5" t="s">
        <v>11</v>
      </c>
      <c r="O15" s="5" t="s">
        <v>11</v>
      </c>
      <c r="P15" s="5" t="s">
        <v>11</v>
      </c>
      <c r="Q15" s="5" t="s">
        <v>11</v>
      </c>
      <c r="R15" s="5" t="s">
        <v>11</v>
      </c>
      <c r="S15" s="5" t="s">
        <v>11</v>
      </c>
      <c r="T15" s="5" t="s">
        <v>11</v>
      </c>
      <c r="U15" s="5" t="s">
        <v>11</v>
      </c>
      <c r="V15" s="5" t="s">
        <v>11</v>
      </c>
      <c r="W15" s="5" t="s">
        <v>11</v>
      </c>
      <c r="X15" s="5" t="s">
        <v>11</v>
      </c>
      <c r="Y15" s="5" t="s">
        <v>10</v>
      </c>
      <c r="Z15" s="5" t="s">
        <v>10</v>
      </c>
      <c r="AA15" s="5" t="s">
        <v>10</v>
      </c>
      <c r="AB15" s="5" t="s">
        <v>11</v>
      </c>
      <c r="AC15" s="3" t="n">
        <f aca="false">COUNTIF(E15:AB15,"Absent")</f>
        <v>15</v>
      </c>
      <c r="AD15" s="3" t="n">
        <f aca="false">COUNTIF(E15:AB15,"Present")</f>
        <v>8</v>
      </c>
      <c r="AE15" s="3" t="n">
        <f aca="false">(AD15*5)+(AC15*-5)</f>
        <v>-35</v>
      </c>
    </row>
    <row r="16" customFormat="false" ht="21.75" hidden="false" customHeight="true" outlineLevel="0" collapsed="false">
      <c r="A16" s="3" t="n">
        <v>15</v>
      </c>
      <c r="B16" s="3" t="s">
        <v>291</v>
      </c>
      <c r="C16" s="4" t="s">
        <v>292</v>
      </c>
      <c r="D16" s="3" t="s">
        <v>293</v>
      </c>
      <c r="E16" s="5" t="s">
        <v>10</v>
      </c>
      <c r="F16" s="5" t="s">
        <v>11</v>
      </c>
      <c r="G16" s="5" t="s">
        <v>10</v>
      </c>
      <c r="H16" s="5" t="s">
        <v>10</v>
      </c>
      <c r="I16" s="5" t="s">
        <v>10</v>
      </c>
      <c r="J16" s="5" t="s">
        <v>11</v>
      </c>
      <c r="K16" s="5" t="s">
        <v>10</v>
      </c>
      <c r="L16" s="5" t="s">
        <v>10</v>
      </c>
      <c r="M16" s="5" t="s">
        <v>11</v>
      </c>
      <c r="N16" s="5" t="s">
        <v>10</v>
      </c>
      <c r="O16" s="5" t="s">
        <v>10</v>
      </c>
      <c r="P16" s="5" t="s">
        <v>10</v>
      </c>
      <c r="Q16" s="5" t="s">
        <v>11</v>
      </c>
      <c r="R16" s="5" t="s">
        <v>10</v>
      </c>
      <c r="S16" s="5" t="s">
        <v>11</v>
      </c>
      <c r="T16" s="5" t="s">
        <v>11</v>
      </c>
      <c r="U16" s="5" t="s">
        <v>10</v>
      </c>
      <c r="V16" s="5" t="s">
        <v>10</v>
      </c>
      <c r="W16" s="5" t="s">
        <v>10</v>
      </c>
      <c r="X16" s="5" t="s">
        <v>11</v>
      </c>
      <c r="Y16" s="5" t="s">
        <v>10</v>
      </c>
      <c r="Z16" s="5" t="s">
        <v>33</v>
      </c>
      <c r="AA16" s="5" t="s">
        <v>10</v>
      </c>
      <c r="AB16" s="5" t="s">
        <v>10</v>
      </c>
      <c r="AC16" s="3" t="n">
        <f aca="false">COUNTIF(E16:AB16,"Absent")</f>
        <v>7</v>
      </c>
      <c r="AD16" s="3" t="n">
        <f aca="false">COUNTIF(E16:AB16,"Present")</f>
        <v>16</v>
      </c>
      <c r="AE16" s="3" t="n">
        <f aca="false">(AD16*5)+(AC16*-5)</f>
        <v>45</v>
      </c>
    </row>
    <row r="17" customFormat="false" ht="21.75" hidden="false" customHeight="true" outlineLevel="0" collapsed="false">
      <c r="A17" s="3" t="n">
        <v>16</v>
      </c>
      <c r="B17" s="3" t="s">
        <v>294</v>
      </c>
      <c r="C17" s="4" t="s">
        <v>295</v>
      </c>
      <c r="D17" s="3" t="s">
        <v>296</v>
      </c>
      <c r="E17" s="5" t="s">
        <v>11</v>
      </c>
      <c r="F17" s="5" t="s">
        <v>10</v>
      </c>
      <c r="G17" s="5" t="s">
        <v>10</v>
      </c>
      <c r="H17" s="5" t="s">
        <v>10</v>
      </c>
      <c r="I17" s="5" t="s">
        <v>11</v>
      </c>
      <c r="J17" s="5" t="s">
        <v>10</v>
      </c>
      <c r="K17" s="5" t="s">
        <v>10</v>
      </c>
      <c r="L17" s="5" t="s">
        <v>10</v>
      </c>
      <c r="M17" s="5" t="s">
        <v>10</v>
      </c>
      <c r="N17" s="5" t="s">
        <v>10</v>
      </c>
      <c r="O17" s="5" t="s">
        <v>10</v>
      </c>
      <c r="P17" s="5" t="s">
        <v>10</v>
      </c>
      <c r="Q17" s="5" t="s">
        <v>10</v>
      </c>
      <c r="R17" s="5" t="s">
        <v>10</v>
      </c>
      <c r="S17" s="5" t="s">
        <v>11</v>
      </c>
      <c r="T17" s="5" t="s">
        <v>11</v>
      </c>
      <c r="U17" s="5" t="s">
        <v>10</v>
      </c>
      <c r="V17" s="5" t="s">
        <v>11</v>
      </c>
      <c r="W17" s="5" t="s">
        <v>10</v>
      </c>
      <c r="X17" s="5" t="s">
        <v>11</v>
      </c>
      <c r="Y17" s="5" t="s">
        <v>10</v>
      </c>
      <c r="Z17" s="5" t="s">
        <v>10</v>
      </c>
      <c r="AA17" s="5" t="s">
        <v>10</v>
      </c>
      <c r="AB17" s="5" t="s">
        <v>10</v>
      </c>
      <c r="AC17" s="3" t="n">
        <f aca="false">COUNTIF(E17:AB17,"Absent")</f>
        <v>6</v>
      </c>
      <c r="AD17" s="3" t="n">
        <f aca="false">COUNTIF(E17:AB17,"Present")</f>
        <v>18</v>
      </c>
      <c r="AE17" s="3" t="n">
        <f aca="false">(AD17*5)+(AC17*-5)</f>
        <v>60</v>
      </c>
    </row>
    <row r="18" customFormat="false" ht="21.75" hidden="false" customHeight="true" outlineLevel="0" collapsed="false">
      <c r="A18" s="3" t="n">
        <v>17</v>
      </c>
      <c r="B18" s="3" t="s">
        <v>297</v>
      </c>
      <c r="C18" s="4" t="s">
        <v>298</v>
      </c>
      <c r="D18" s="3" t="s">
        <v>299</v>
      </c>
      <c r="E18" s="5" t="s">
        <v>10</v>
      </c>
      <c r="F18" s="5" t="s">
        <v>10</v>
      </c>
      <c r="G18" s="5" t="s">
        <v>10</v>
      </c>
      <c r="H18" s="5" t="s">
        <v>33</v>
      </c>
      <c r="I18" s="5" t="s">
        <v>10</v>
      </c>
      <c r="J18" s="5" t="s">
        <v>11</v>
      </c>
      <c r="K18" s="5" t="s">
        <v>10</v>
      </c>
      <c r="L18" s="5" t="s">
        <v>10</v>
      </c>
      <c r="M18" s="5" t="s">
        <v>10</v>
      </c>
      <c r="N18" s="5" t="s">
        <v>10</v>
      </c>
      <c r="O18" s="5" t="s">
        <v>10</v>
      </c>
      <c r="P18" s="5" t="s">
        <v>10</v>
      </c>
      <c r="Q18" s="5" t="s">
        <v>11</v>
      </c>
      <c r="R18" s="5" t="s">
        <v>10</v>
      </c>
      <c r="S18" s="5" t="s">
        <v>11</v>
      </c>
      <c r="T18" s="5" t="s">
        <v>11</v>
      </c>
      <c r="U18" s="5" t="s">
        <v>10</v>
      </c>
      <c r="V18" s="5" t="s">
        <v>11</v>
      </c>
      <c r="W18" s="5" t="s">
        <v>11</v>
      </c>
      <c r="X18" s="5" t="s">
        <v>10</v>
      </c>
      <c r="Y18" s="5" t="s">
        <v>10</v>
      </c>
      <c r="Z18" s="5" t="s">
        <v>11</v>
      </c>
      <c r="AA18" s="5" t="s">
        <v>11</v>
      </c>
      <c r="AB18" s="5" t="s">
        <v>11</v>
      </c>
      <c r="AC18" s="3" t="n">
        <f aca="false">COUNTIF(E18:AB18,"Absent")</f>
        <v>9</v>
      </c>
      <c r="AD18" s="3" t="n">
        <f aca="false">COUNTIF(E18:AB18,"Present")</f>
        <v>14</v>
      </c>
      <c r="AE18" s="3" t="n">
        <f aca="false">(AD18*5)+(AC18*-5)</f>
        <v>25</v>
      </c>
    </row>
    <row r="19" customFormat="false" ht="21.75" hidden="false" customHeight="true" outlineLevel="0" collapsed="false">
      <c r="A19" s="3" t="n">
        <v>18</v>
      </c>
      <c r="B19" s="3" t="s">
        <v>300</v>
      </c>
      <c r="C19" s="4" t="s">
        <v>301</v>
      </c>
      <c r="D19" s="3" t="s">
        <v>302</v>
      </c>
      <c r="E19" s="5" t="s">
        <v>10</v>
      </c>
      <c r="F19" s="5" t="s">
        <v>11</v>
      </c>
      <c r="G19" s="5" t="s">
        <v>11</v>
      </c>
      <c r="H19" s="5" t="s">
        <v>11</v>
      </c>
      <c r="I19" s="5" t="s">
        <v>10</v>
      </c>
      <c r="J19" s="5" t="s">
        <v>11</v>
      </c>
      <c r="K19" s="5" t="s">
        <v>11</v>
      </c>
      <c r="L19" s="5" t="s">
        <v>11</v>
      </c>
      <c r="M19" s="5" t="s">
        <v>11</v>
      </c>
      <c r="N19" s="5" t="s">
        <v>11</v>
      </c>
      <c r="O19" s="5" t="s">
        <v>11</v>
      </c>
      <c r="P19" s="5" t="s">
        <v>11</v>
      </c>
      <c r="Q19" s="5" t="s">
        <v>11</v>
      </c>
      <c r="R19" s="5" t="s">
        <v>11</v>
      </c>
      <c r="S19" s="5" t="s">
        <v>11</v>
      </c>
      <c r="T19" s="5" t="s">
        <v>11</v>
      </c>
      <c r="U19" s="5" t="s">
        <v>11</v>
      </c>
      <c r="V19" s="5" t="s">
        <v>11</v>
      </c>
      <c r="W19" s="5" t="s">
        <v>11</v>
      </c>
      <c r="X19" s="5" t="s">
        <v>11</v>
      </c>
      <c r="Y19" s="5" t="s">
        <v>11</v>
      </c>
      <c r="Z19" s="5" t="s">
        <v>10</v>
      </c>
      <c r="AA19" s="5" t="s">
        <v>10</v>
      </c>
      <c r="AB19" s="5" t="s">
        <v>11</v>
      </c>
      <c r="AC19" s="3" t="n">
        <f aca="false">COUNTIF(E19:AB19,"Absent")</f>
        <v>20</v>
      </c>
      <c r="AD19" s="3" t="n">
        <f aca="false">COUNTIF(E19:AB19,"Present")</f>
        <v>4</v>
      </c>
      <c r="AE19" s="3" t="n">
        <f aca="false">(AD19*5)+(AC19*-5)</f>
        <v>-80</v>
      </c>
    </row>
    <row r="20" customFormat="false" ht="21.75" hidden="false" customHeight="true" outlineLevel="0" collapsed="false">
      <c r="A20" s="3" t="n">
        <v>19</v>
      </c>
      <c r="B20" s="3" t="s">
        <v>303</v>
      </c>
      <c r="C20" s="4" t="s">
        <v>304</v>
      </c>
      <c r="D20" s="3" t="s">
        <v>305</v>
      </c>
      <c r="E20" s="5" t="s">
        <v>10</v>
      </c>
      <c r="F20" s="5" t="s">
        <v>10</v>
      </c>
      <c r="G20" s="5" t="s">
        <v>10</v>
      </c>
      <c r="H20" s="5" t="s">
        <v>10</v>
      </c>
      <c r="I20" s="5" t="s">
        <v>11</v>
      </c>
      <c r="J20" s="5" t="s">
        <v>11</v>
      </c>
      <c r="K20" s="5" t="s">
        <v>11</v>
      </c>
      <c r="L20" s="5" t="s">
        <v>11</v>
      </c>
      <c r="M20" s="5" t="s">
        <v>11</v>
      </c>
      <c r="N20" s="5" t="s">
        <v>10</v>
      </c>
      <c r="O20" s="5" t="s">
        <v>10</v>
      </c>
      <c r="P20" s="5" t="s">
        <v>11</v>
      </c>
      <c r="Q20" s="5" t="s">
        <v>10</v>
      </c>
      <c r="R20" s="5" t="s">
        <v>10</v>
      </c>
      <c r="S20" s="5" t="s">
        <v>10</v>
      </c>
      <c r="T20" s="5" t="s">
        <v>10</v>
      </c>
      <c r="U20" s="5" t="s">
        <v>11</v>
      </c>
      <c r="V20" s="5" t="s">
        <v>11</v>
      </c>
      <c r="W20" s="5" t="s">
        <v>11</v>
      </c>
      <c r="X20" s="5" t="s">
        <v>11</v>
      </c>
      <c r="Y20" s="5" t="s">
        <v>11</v>
      </c>
      <c r="Z20" s="5" t="s">
        <v>11</v>
      </c>
      <c r="AA20" s="5" t="s">
        <v>33</v>
      </c>
      <c r="AB20" s="5" t="s">
        <v>10</v>
      </c>
      <c r="AC20" s="3" t="n">
        <f aca="false">COUNTIF(E20:AB20,"Absent")</f>
        <v>12</v>
      </c>
      <c r="AD20" s="3" t="n">
        <f aca="false">COUNTIF(E20:AB20,"Present")</f>
        <v>11</v>
      </c>
      <c r="AE20" s="3" t="n">
        <f aca="false">(AD20*5)+(AC20*-5)</f>
        <v>-5</v>
      </c>
    </row>
    <row r="21" customFormat="false" ht="21.75" hidden="false" customHeight="true" outlineLevel="0" collapsed="false">
      <c r="A21" s="3" t="n">
        <v>20</v>
      </c>
      <c r="B21" s="3" t="s">
        <v>306</v>
      </c>
      <c r="C21" s="4" t="s">
        <v>307</v>
      </c>
      <c r="D21" s="3" t="s">
        <v>308</v>
      </c>
      <c r="E21" s="5" t="s">
        <v>11</v>
      </c>
      <c r="F21" s="5" t="s">
        <v>11</v>
      </c>
      <c r="G21" s="5" t="s">
        <v>10</v>
      </c>
      <c r="H21" s="5" t="s">
        <v>10</v>
      </c>
      <c r="I21" s="5" t="s">
        <v>10</v>
      </c>
      <c r="J21" s="5" t="s">
        <v>10</v>
      </c>
      <c r="K21" s="5" t="s">
        <v>11</v>
      </c>
      <c r="L21" s="5" t="s">
        <v>11</v>
      </c>
      <c r="M21" s="5" t="s">
        <v>10</v>
      </c>
      <c r="N21" s="5" t="s">
        <v>10</v>
      </c>
      <c r="O21" s="5" t="s">
        <v>11</v>
      </c>
      <c r="P21" s="5" t="s">
        <v>11</v>
      </c>
      <c r="Q21" s="5" t="s">
        <v>11</v>
      </c>
      <c r="R21" s="5" t="s">
        <v>10</v>
      </c>
      <c r="S21" s="5" t="s">
        <v>11</v>
      </c>
      <c r="T21" s="5" t="s">
        <v>10</v>
      </c>
      <c r="U21" s="5" t="s">
        <v>11</v>
      </c>
      <c r="V21" s="5" t="s">
        <v>10</v>
      </c>
      <c r="W21" s="5" t="s">
        <v>11</v>
      </c>
      <c r="X21" s="5" t="s">
        <v>10</v>
      </c>
      <c r="Y21" s="5" t="s">
        <v>10</v>
      </c>
      <c r="Z21" s="5" t="s">
        <v>11</v>
      </c>
      <c r="AA21" s="5" t="s">
        <v>33</v>
      </c>
      <c r="AB21" s="5" t="s">
        <v>10</v>
      </c>
      <c r="AC21" s="3" t="n">
        <f aca="false">COUNTIF(E21:AB21,"Absent")</f>
        <v>11</v>
      </c>
      <c r="AD21" s="3" t="n">
        <f aca="false">COUNTIF(E21:AB21,"Present")</f>
        <v>12</v>
      </c>
      <c r="AE21" s="3" t="n">
        <f aca="false">(AD21*5)+(AC21*-5)</f>
        <v>5</v>
      </c>
    </row>
    <row r="22" customFormat="false" ht="21.75" hidden="false" customHeight="true" outlineLevel="0" collapsed="false">
      <c r="A22" s="3" t="n">
        <v>21</v>
      </c>
      <c r="B22" s="3" t="s">
        <v>309</v>
      </c>
      <c r="C22" s="4" t="s">
        <v>310</v>
      </c>
      <c r="D22" s="3" t="s">
        <v>311</v>
      </c>
      <c r="E22" s="5" t="s">
        <v>10</v>
      </c>
      <c r="F22" s="5" t="s">
        <v>10</v>
      </c>
      <c r="G22" s="5" t="s">
        <v>10</v>
      </c>
      <c r="H22" s="5" t="s">
        <v>33</v>
      </c>
      <c r="I22" s="5" t="s">
        <v>10</v>
      </c>
      <c r="J22" s="5" t="s">
        <v>10</v>
      </c>
      <c r="K22" s="5" t="s">
        <v>10</v>
      </c>
      <c r="L22" s="5" t="s">
        <v>11</v>
      </c>
      <c r="M22" s="5" t="s">
        <v>10</v>
      </c>
      <c r="N22" s="5" t="s">
        <v>10</v>
      </c>
      <c r="O22" s="5" t="s">
        <v>11</v>
      </c>
      <c r="P22" s="5" t="s">
        <v>11</v>
      </c>
      <c r="Q22" s="5" t="s">
        <v>10</v>
      </c>
      <c r="R22" s="5" t="s">
        <v>10</v>
      </c>
      <c r="S22" s="5" t="s">
        <v>11</v>
      </c>
      <c r="T22" s="5" t="s">
        <v>11</v>
      </c>
      <c r="U22" s="5" t="s">
        <v>10</v>
      </c>
      <c r="V22" s="5" t="s">
        <v>11</v>
      </c>
      <c r="W22" s="5" t="s">
        <v>11</v>
      </c>
      <c r="X22" s="5" t="s">
        <v>10</v>
      </c>
      <c r="Y22" s="5" t="s">
        <v>10</v>
      </c>
      <c r="Z22" s="5" t="s">
        <v>10</v>
      </c>
      <c r="AA22" s="5" t="s">
        <v>10</v>
      </c>
      <c r="AB22" s="5" t="s">
        <v>10</v>
      </c>
      <c r="AC22" s="3" t="n">
        <f aca="false">COUNTIF(E22:AB22,"Absent")</f>
        <v>7</v>
      </c>
      <c r="AD22" s="3" t="n">
        <f aca="false">COUNTIF(E22:AB22,"Present")</f>
        <v>16</v>
      </c>
      <c r="AE22" s="3" t="n">
        <f aca="false">(AD22*5)+(AC22*-5)</f>
        <v>45</v>
      </c>
    </row>
    <row r="23" customFormat="false" ht="21.75" hidden="false" customHeight="true" outlineLevel="0" collapsed="false">
      <c r="A23" s="3" t="n">
        <v>22</v>
      </c>
      <c r="B23" s="3" t="s">
        <v>312</v>
      </c>
      <c r="C23" s="4" t="s">
        <v>313</v>
      </c>
      <c r="D23" s="3" t="s">
        <v>314</v>
      </c>
      <c r="E23" s="5" t="s">
        <v>10</v>
      </c>
      <c r="F23" s="5" t="s">
        <v>33</v>
      </c>
      <c r="G23" s="5" t="s">
        <v>10</v>
      </c>
      <c r="H23" s="5" t="s">
        <v>11</v>
      </c>
      <c r="I23" s="5" t="s">
        <v>10</v>
      </c>
      <c r="J23" s="5" t="s">
        <v>11</v>
      </c>
      <c r="K23" s="5" t="s">
        <v>11</v>
      </c>
      <c r="L23" s="5" t="s">
        <v>11</v>
      </c>
      <c r="M23" s="5" t="s">
        <v>10</v>
      </c>
      <c r="N23" s="5" t="s">
        <v>11</v>
      </c>
      <c r="O23" s="5" t="s">
        <v>10</v>
      </c>
      <c r="P23" s="5" t="s">
        <v>11</v>
      </c>
      <c r="Q23" s="5" t="s">
        <v>11</v>
      </c>
      <c r="R23" s="5" t="s">
        <v>10</v>
      </c>
      <c r="S23" s="5" t="s">
        <v>11</v>
      </c>
      <c r="T23" s="5" t="s">
        <v>10</v>
      </c>
      <c r="U23" s="5" t="s">
        <v>11</v>
      </c>
      <c r="V23" s="5" t="s">
        <v>11</v>
      </c>
      <c r="W23" s="5" t="s">
        <v>11</v>
      </c>
      <c r="X23" s="5" t="s">
        <v>10</v>
      </c>
      <c r="Y23" s="5" t="s">
        <v>11</v>
      </c>
      <c r="Z23" s="5" t="s">
        <v>10</v>
      </c>
      <c r="AA23" s="5" t="s">
        <v>10</v>
      </c>
      <c r="AB23" s="5" t="s">
        <v>10</v>
      </c>
      <c r="AC23" s="3" t="n">
        <f aca="false">COUNTIF(E23:AB23,"Absent")</f>
        <v>12</v>
      </c>
      <c r="AD23" s="3" t="n">
        <f aca="false">COUNTIF(E23:AB23,"Present")</f>
        <v>11</v>
      </c>
      <c r="AE23" s="3" t="n">
        <f aca="false">(AD23*5)+(AC23*-5)</f>
        <v>-5</v>
      </c>
    </row>
    <row r="24" customFormat="false" ht="21.75" hidden="false" customHeight="true" outlineLevel="0" collapsed="false">
      <c r="A24" s="3" t="n">
        <v>23</v>
      </c>
      <c r="B24" s="3" t="s">
        <v>315</v>
      </c>
      <c r="C24" s="4" t="s">
        <v>316</v>
      </c>
      <c r="D24" s="3" t="s">
        <v>317</v>
      </c>
      <c r="E24" s="5" t="s">
        <v>10</v>
      </c>
      <c r="F24" s="5" t="s">
        <v>33</v>
      </c>
      <c r="G24" s="5" t="s">
        <v>10</v>
      </c>
      <c r="H24" s="5" t="s">
        <v>10</v>
      </c>
      <c r="I24" s="5" t="s">
        <v>33</v>
      </c>
      <c r="J24" s="5" t="s">
        <v>10</v>
      </c>
      <c r="K24" s="5" t="s">
        <v>10</v>
      </c>
      <c r="L24" s="5" t="s">
        <v>10</v>
      </c>
      <c r="M24" s="5" t="s">
        <v>11</v>
      </c>
      <c r="N24" s="5" t="s">
        <v>10</v>
      </c>
      <c r="O24" s="5" t="s">
        <v>10</v>
      </c>
      <c r="P24" s="5" t="s">
        <v>10</v>
      </c>
      <c r="Q24" s="5" t="s">
        <v>11</v>
      </c>
      <c r="R24" s="5" t="s">
        <v>10</v>
      </c>
      <c r="S24" s="5" t="s">
        <v>10</v>
      </c>
      <c r="T24" s="5" t="s">
        <v>11</v>
      </c>
      <c r="U24" s="5" t="s">
        <v>11</v>
      </c>
      <c r="V24" s="5" t="s">
        <v>11</v>
      </c>
      <c r="W24" s="5" t="s">
        <v>10</v>
      </c>
      <c r="X24" s="5" t="s">
        <v>10</v>
      </c>
      <c r="Y24" s="5" t="s">
        <v>10</v>
      </c>
      <c r="Z24" s="5" t="s">
        <v>10</v>
      </c>
      <c r="AA24" s="5" t="s">
        <v>10</v>
      </c>
      <c r="AB24" s="5" t="s">
        <v>10</v>
      </c>
      <c r="AC24" s="3" t="n">
        <f aca="false">COUNTIF(E24:AB24,"Absent")</f>
        <v>5</v>
      </c>
      <c r="AD24" s="3" t="n">
        <f aca="false">COUNTIF(E24:AB24,"Present")</f>
        <v>17</v>
      </c>
      <c r="AE24" s="3" t="n">
        <f aca="false">(AD24*5)+(AC24*-5)</f>
        <v>60</v>
      </c>
    </row>
    <row r="25" customFormat="false" ht="21.75" hidden="false" customHeight="true" outlineLevel="0" collapsed="false">
      <c r="A25" s="3" t="n">
        <v>24</v>
      </c>
      <c r="B25" s="3" t="s">
        <v>318</v>
      </c>
      <c r="C25" s="4" t="s">
        <v>319</v>
      </c>
      <c r="D25" s="3" t="s">
        <v>320</v>
      </c>
      <c r="E25" s="5" t="s">
        <v>33</v>
      </c>
      <c r="F25" s="5" t="s">
        <v>10</v>
      </c>
      <c r="G25" s="5" t="s">
        <v>10</v>
      </c>
      <c r="H25" s="5" t="s">
        <v>33</v>
      </c>
      <c r="I25" s="5" t="s">
        <v>10</v>
      </c>
      <c r="J25" s="5" t="s">
        <v>33</v>
      </c>
      <c r="K25" s="5" t="s">
        <v>10</v>
      </c>
      <c r="L25" s="5" t="s">
        <v>11</v>
      </c>
      <c r="M25" s="5" t="s">
        <v>11</v>
      </c>
      <c r="N25" s="5" t="s">
        <v>11</v>
      </c>
      <c r="O25" s="5" t="s">
        <v>11</v>
      </c>
      <c r="P25" s="5" t="s">
        <v>11</v>
      </c>
      <c r="Q25" s="5" t="s">
        <v>11</v>
      </c>
      <c r="R25" s="5" t="s">
        <v>11</v>
      </c>
      <c r="S25" s="5" t="s">
        <v>11</v>
      </c>
      <c r="T25" s="5" t="s">
        <v>11</v>
      </c>
      <c r="U25" s="5" t="s">
        <v>11</v>
      </c>
      <c r="V25" s="5" t="s">
        <v>11</v>
      </c>
      <c r="W25" s="5" t="s">
        <v>11</v>
      </c>
      <c r="X25" s="5" t="s">
        <v>10</v>
      </c>
      <c r="Y25" s="5" t="s">
        <v>10</v>
      </c>
      <c r="Z25" s="5" t="s">
        <v>11</v>
      </c>
      <c r="AA25" s="5" t="s">
        <v>10</v>
      </c>
      <c r="AB25" s="5" t="s">
        <v>10</v>
      </c>
      <c r="AC25" s="3" t="n">
        <f aca="false">COUNTIF(E25:AB25,"Absent")</f>
        <v>13</v>
      </c>
      <c r="AD25" s="3" t="n">
        <f aca="false">COUNTIF(E25:AB25,"Present")</f>
        <v>8</v>
      </c>
      <c r="AE25" s="3" t="n">
        <f aca="false">(AD25*5)+(AC25*-5)</f>
        <v>-25</v>
      </c>
    </row>
    <row r="26" customFormat="false" ht="21.75" hidden="false" customHeight="true" outlineLevel="0" collapsed="false">
      <c r="A26" s="3" t="n">
        <v>25</v>
      </c>
      <c r="B26" s="3" t="s">
        <v>321</v>
      </c>
      <c r="C26" s="4" t="s">
        <v>322</v>
      </c>
      <c r="D26" s="3" t="s">
        <v>323</v>
      </c>
      <c r="E26" s="5" t="s">
        <v>33</v>
      </c>
      <c r="F26" s="5" t="s">
        <v>33</v>
      </c>
      <c r="G26" s="5" t="s">
        <v>10</v>
      </c>
      <c r="H26" s="5" t="s">
        <v>33</v>
      </c>
      <c r="I26" s="5" t="s">
        <v>10</v>
      </c>
      <c r="J26" s="5" t="s">
        <v>33</v>
      </c>
      <c r="K26" s="5" t="s">
        <v>10</v>
      </c>
      <c r="L26" s="5" t="s">
        <v>11</v>
      </c>
      <c r="M26" s="5" t="s">
        <v>10</v>
      </c>
      <c r="N26" s="5" t="s">
        <v>11</v>
      </c>
      <c r="O26" s="5" t="s">
        <v>11</v>
      </c>
      <c r="P26" s="5" t="s">
        <v>11</v>
      </c>
      <c r="Q26" s="5" t="s">
        <v>11</v>
      </c>
      <c r="R26" s="5" t="s">
        <v>11</v>
      </c>
      <c r="S26" s="5" t="s">
        <v>11</v>
      </c>
      <c r="T26" s="5" t="s">
        <v>11</v>
      </c>
      <c r="U26" s="5" t="s">
        <v>11</v>
      </c>
      <c r="V26" s="5" t="s">
        <v>11</v>
      </c>
      <c r="W26" s="5" t="s">
        <v>11</v>
      </c>
      <c r="X26" s="5" t="s">
        <v>33</v>
      </c>
      <c r="Y26" s="5" t="s">
        <v>10</v>
      </c>
      <c r="Z26" s="5" t="s">
        <v>11</v>
      </c>
      <c r="AA26" s="5" t="s">
        <v>11</v>
      </c>
      <c r="AB26" s="5" t="s">
        <v>11</v>
      </c>
      <c r="AC26" s="3" t="n">
        <f aca="false">COUNTIF(E26:AB26,"Absent")</f>
        <v>14</v>
      </c>
      <c r="AD26" s="3" t="n">
        <f aca="false">COUNTIF(E26:AB26,"Present")</f>
        <v>5</v>
      </c>
      <c r="AE26" s="3" t="n">
        <f aca="false">(AD26*5)+(AC26*-5)</f>
        <v>-45</v>
      </c>
    </row>
    <row r="27" customFormat="false" ht="21.75" hidden="false" customHeight="true" outlineLevel="0" collapsed="false">
      <c r="A27" s="3" t="n">
        <v>26</v>
      </c>
      <c r="B27" s="3" t="s">
        <v>324</v>
      </c>
      <c r="C27" s="4" t="s">
        <v>325</v>
      </c>
      <c r="D27" s="3" t="s">
        <v>326</v>
      </c>
      <c r="E27" s="5" t="s">
        <v>10</v>
      </c>
      <c r="F27" s="5" t="s">
        <v>10</v>
      </c>
      <c r="G27" s="5" t="s">
        <v>10</v>
      </c>
      <c r="H27" s="5" t="s">
        <v>10</v>
      </c>
      <c r="I27" s="5" t="s">
        <v>10</v>
      </c>
      <c r="J27" s="5" t="s">
        <v>11</v>
      </c>
      <c r="K27" s="5" t="s">
        <v>11</v>
      </c>
      <c r="L27" s="5" t="s">
        <v>11</v>
      </c>
      <c r="M27" s="5" t="s">
        <v>11</v>
      </c>
      <c r="N27" s="5" t="s">
        <v>11</v>
      </c>
      <c r="O27" s="5" t="s">
        <v>11</v>
      </c>
      <c r="P27" s="5" t="s">
        <v>11</v>
      </c>
      <c r="Q27" s="5" t="s">
        <v>11</v>
      </c>
      <c r="R27" s="5" t="s">
        <v>11</v>
      </c>
      <c r="S27" s="5" t="s">
        <v>11</v>
      </c>
      <c r="T27" s="5" t="s">
        <v>11</v>
      </c>
      <c r="U27" s="5" t="s">
        <v>11</v>
      </c>
      <c r="V27" s="5" t="s">
        <v>11</v>
      </c>
      <c r="W27" s="5" t="s">
        <v>11</v>
      </c>
      <c r="X27" s="5" t="s">
        <v>10</v>
      </c>
      <c r="Y27" s="5" t="s">
        <v>11</v>
      </c>
      <c r="Z27" s="5" t="s">
        <v>10</v>
      </c>
      <c r="AA27" s="5" t="s">
        <v>10</v>
      </c>
      <c r="AB27" s="5" t="s">
        <v>10</v>
      </c>
      <c r="AC27" s="3" t="n">
        <f aca="false">COUNTIF(E27:AB27,"Absent")</f>
        <v>15</v>
      </c>
      <c r="AD27" s="3" t="n">
        <f aca="false">COUNTIF(E27:AB27,"Present")</f>
        <v>9</v>
      </c>
      <c r="AE27" s="3" t="n">
        <f aca="false">(AD27*5)+(AC27*-5)</f>
        <v>-30</v>
      </c>
    </row>
    <row r="28" customFormat="false" ht="21.75" hidden="false" customHeight="true" outlineLevel="0" collapsed="false">
      <c r="A28" s="3" t="n">
        <v>27</v>
      </c>
      <c r="B28" s="3" t="s">
        <v>327</v>
      </c>
      <c r="C28" s="4" t="s">
        <v>328</v>
      </c>
      <c r="D28" s="3" t="s">
        <v>329</v>
      </c>
      <c r="E28" s="5" t="s">
        <v>10</v>
      </c>
      <c r="F28" s="5" t="s">
        <v>10</v>
      </c>
      <c r="G28" s="5" t="s">
        <v>10</v>
      </c>
      <c r="H28" s="5" t="s">
        <v>10</v>
      </c>
      <c r="I28" s="5" t="s">
        <v>11</v>
      </c>
      <c r="J28" s="5" t="s">
        <v>10</v>
      </c>
      <c r="K28" s="5" t="s">
        <v>11</v>
      </c>
      <c r="L28" s="5" t="s">
        <v>10</v>
      </c>
      <c r="M28" s="5" t="s">
        <v>11</v>
      </c>
      <c r="N28" s="5" t="s">
        <v>11</v>
      </c>
      <c r="O28" s="5" t="s">
        <v>11</v>
      </c>
      <c r="P28" s="5" t="s">
        <v>11</v>
      </c>
      <c r="Q28" s="5" t="s">
        <v>11</v>
      </c>
      <c r="R28" s="5" t="s">
        <v>11</v>
      </c>
      <c r="S28" s="5" t="s">
        <v>11</v>
      </c>
      <c r="T28" s="5" t="s">
        <v>11</v>
      </c>
      <c r="U28" s="5" t="s">
        <v>11</v>
      </c>
      <c r="V28" s="5" t="s">
        <v>11</v>
      </c>
      <c r="W28" s="5" t="s">
        <v>11</v>
      </c>
      <c r="X28" s="5" t="s">
        <v>11</v>
      </c>
      <c r="Y28" s="5" t="s">
        <v>10</v>
      </c>
      <c r="Z28" s="5" t="s">
        <v>10</v>
      </c>
      <c r="AA28" s="5" t="s">
        <v>10</v>
      </c>
      <c r="AB28" s="5" t="s">
        <v>10</v>
      </c>
      <c r="AC28" s="3" t="n">
        <f aca="false">COUNTIF(E28:AB28,"Absent")</f>
        <v>14</v>
      </c>
      <c r="AD28" s="3" t="n">
        <f aca="false">COUNTIF(E28:AB28,"Present")</f>
        <v>10</v>
      </c>
      <c r="AE28" s="3" t="n">
        <f aca="false">(AD28*5)+(AC28*-5)</f>
        <v>-20</v>
      </c>
    </row>
    <row r="29" customFormat="false" ht="21.75" hidden="false" customHeight="true" outlineLevel="0" collapsed="false">
      <c r="A29" s="3" t="n">
        <v>28</v>
      </c>
      <c r="B29" s="3" t="s">
        <v>330</v>
      </c>
      <c r="C29" s="4" t="s">
        <v>331</v>
      </c>
      <c r="D29" s="3" t="s">
        <v>332</v>
      </c>
      <c r="E29" s="5" t="s">
        <v>10</v>
      </c>
      <c r="F29" s="5" t="s">
        <v>10</v>
      </c>
      <c r="G29" s="5" t="s">
        <v>10</v>
      </c>
      <c r="H29" s="5" t="s">
        <v>10</v>
      </c>
      <c r="I29" s="5" t="s">
        <v>10</v>
      </c>
      <c r="J29" s="5" t="s">
        <v>11</v>
      </c>
      <c r="K29" s="5" t="s">
        <v>10</v>
      </c>
      <c r="L29" s="5" t="s">
        <v>10</v>
      </c>
      <c r="M29" s="5" t="s">
        <v>10</v>
      </c>
      <c r="N29" s="5" t="s">
        <v>10</v>
      </c>
      <c r="O29" s="5" t="s">
        <v>11</v>
      </c>
      <c r="P29" s="5" t="s">
        <v>11</v>
      </c>
      <c r="Q29" s="5" t="s">
        <v>11</v>
      </c>
      <c r="R29" s="5" t="s">
        <v>10</v>
      </c>
      <c r="S29" s="5" t="s">
        <v>11</v>
      </c>
      <c r="T29" s="5" t="s">
        <v>10</v>
      </c>
      <c r="U29" s="5" t="s">
        <v>11</v>
      </c>
      <c r="V29" s="5" t="s">
        <v>11</v>
      </c>
      <c r="W29" s="5" t="s">
        <v>11</v>
      </c>
      <c r="X29" s="5" t="s">
        <v>10</v>
      </c>
      <c r="Y29" s="5" t="s">
        <v>11</v>
      </c>
      <c r="Z29" s="5" t="s">
        <v>11</v>
      </c>
      <c r="AA29" s="5" t="s">
        <v>10</v>
      </c>
      <c r="AB29" s="5" t="s">
        <v>10</v>
      </c>
      <c r="AC29" s="3" t="n">
        <f aca="false">COUNTIF(E29:AB29,"Absent")</f>
        <v>10</v>
      </c>
      <c r="AD29" s="3" t="n">
        <f aca="false">COUNTIF(E29:AB29,"Present")</f>
        <v>14</v>
      </c>
      <c r="AE29" s="3" t="n">
        <f aca="false">(AD29*5)+(AC29*-5)</f>
        <v>20</v>
      </c>
    </row>
    <row r="30" customFormat="false" ht="21.75" hidden="false" customHeight="true" outlineLevel="0" collapsed="false">
      <c r="A30" s="3" t="n">
        <v>29</v>
      </c>
      <c r="B30" s="3" t="s">
        <v>333</v>
      </c>
      <c r="C30" s="4" t="s">
        <v>334</v>
      </c>
      <c r="D30" s="3" t="s">
        <v>335</v>
      </c>
      <c r="E30" s="5" t="s">
        <v>11</v>
      </c>
      <c r="F30" s="5" t="s">
        <v>10</v>
      </c>
      <c r="G30" s="5" t="s">
        <v>10</v>
      </c>
      <c r="H30" s="5" t="s">
        <v>33</v>
      </c>
      <c r="I30" s="5" t="s">
        <v>10</v>
      </c>
      <c r="J30" s="5" t="s">
        <v>11</v>
      </c>
      <c r="K30" s="5" t="s">
        <v>10</v>
      </c>
      <c r="L30" s="5" t="s">
        <v>11</v>
      </c>
      <c r="M30" s="5" t="s">
        <v>10</v>
      </c>
      <c r="N30" s="5" t="s">
        <v>10</v>
      </c>
      <c r="O30" s="5" t="s">
        <v>11</v>
      </c>
      <c r="P30" s="5" t="s">
        <v>11</v>
      </c>
      <c r="Q30" s="5" t="s">
        <v>10</v>
      </c>
      <c r="R30" s="5" t="s">
        <v>11</v>
      </c>
      <c r="S30" s="5" t="s">
        <v>11</v>
      </c>
      <c r="T30" s="5" t="s">
        <v>10</v>
      </c>
      <c r="U30" s="5" t="s">
        <v>11</v>
      </c>
      <c r="V30" s="5" t="s">
        <v>11</v>
      </c>
      <c r="W30" s="5" t="s">
        <v>11</v>
      </c>
      <c r="X30" s="5" t="s">
        <v>10</v>
      </c>
      <c r="Y30" s="5" t="s">
        <v>10</v>
      </c>
      <c r="Z30" s="5" t="s">
        <v>10</v>
      </c>
      <c r="AA30" s="5" t="s">
        <v>10</v>
      </c>
      <c r="AB30" s="5" t="s">
        <v>10</v>
      </c>
      <c r="AC30" s="3" t="n">
        <f aca="false">COUNTIF(E30:AB30,"Absent")</f>
        <v>10</v>
      </c>
      <c r="AD30" s="3" t="n">
        <f aca="false">COUNTIF(E30:AB30,"Present")</f>
        <v>13</v>
      </c>
      <c r="AE30" s="3" t="n">
        <f aca="false">(AD30*5)+(AC30*-5)</f>
        <v>15</v>
      </c>
    </row>
    <row r="31" customFormat="false" ht="21.75" hidden="false" customHeight="true" outlineLevel="0" collapsed="false">
      <c r="A31" s="3" t="n">
        <v>30</v>
      </c>
      <c r="B31" s="3" t="s">
        <v>336</v>
      </c>
      <c r="C31" s="4" t="s">
        <v>337</v>
      </c>
      <c r="D31" s="3" t="s">
        <v>338</v>
      </c>
      <c r="E31" s="5" t="s">
        <v>11</v>
      </c>
      <c r="F31" s="5" t="s">
        <v>10</v>
      </c>
      <c r="G31" s="5" t="s">
        <v>10</v>
      </c>
      <c r="H31" s="5" t="s">
        <v>11</v>
      </c>
      <c r="I31" s="5" t="s">
        <v>33</v>
      </c>
      <c r="J31" s="5" t="s">
        <v>10</v>
      </c>
      <c r="K31" s="5" t="s">
        <v>10</v>
      </c>
      <c r="L31" s="5" t="s">
        <v>10</v>
      </c>
      <c r="M31" s="5" t="s">
        <v>10</v>
      </c>
      <c r="N31" s="5" t="s">
        <v>11</v>
      </c>
      <c r="O31" s="5" t="s">
        <v>11</v>
      </c>
      <c r="P31" s="5" t="s">
        <v>11</v>
      </c>
      <c r="Q31" s="5" t="s">
        <v>10</v>
      </c>
      <c r="R31" s="5" t="s">
        <v>10</v>
      </c>
      <c r="S31" s="5" t="s">
        <v>10</v>
      </c>
      <c r="T31" s="5" t="s">
        <v>11</v>
      </c>
      <c r="U31" s="5" t="s">
        <v>11</v>
      </c>
      <c r="V31" s="5" t="s">
        <v>10</v>
      </c>
      <c r="W31" s="5" t="s">
        <v>10</v>
      </c>
      <c r="X31" s="5" t="s">
        <v>11</v>
      </c>
      <c r="Y31" s="5" t="s">
        <v>33</v>
      </c>
      <c r="Z31" s="5" t="s">
        <v>10</v>
      </c>
      <c r="AA31" s="5" t="s">
        <v>10</v>
      </c>
      <c r="AB31" s="5" t="s">
        <v>11</v>
      </c>
      <c r="AC31" s="3" t="n">
        <f aca="false">COUNTIF(E31:AB31,"Absent")</f>
        <v>9</v>
      </c>
      <c r="AD31" s="3" t="n">
        <f aca="false">COUNTIF(E31:AB31,"Present")</f>
        <v>13</v>
      </c>
      <c r="AE31" s="3" t="n">
        <f aca="false">(AD31*5)+(AC31*-5)</f>
        <v>20</v>
      </c>
    </row>
    <row r="32" customFormat="false" ht="21.75" hidden="false" customHeight="true" outlineLevel="0" collapsed="false">
      <c r="A32" s="3" t="n">
        <v>31</v>
      </c>
      <c r="B32" s="3" t="s">
        <v>339</v>
      </c>
      <c r="C32" s="4" t="s">
        <v>340</v>
      </c>
      <c r="D32" s="3" t="s">
        <v>341</v>
      </c>
      <c r="E32" s="5" t="s">
        <v>10</v>
      </c>
      <c r="F32" s="5" t="s">
        <v>10</v>
      </c>
      <c r="G32" s="5" t="s">
        <v>10</v>
      </c>
      <c r="H32" s="5" t="s">
        <v>10</v>
      </c>
      <c r="I32" s="5" t="s">
        <v>10</v>
      </c>
      <c r="J32" s="5" t="s">
        <v>11</v>
      </c>
      <c r="K32" s="5" t="s">
        <v>11</v>
      </c>
      <c r="L32" s="5" t="s">
        <v>10</v>
      </c>
      <c r="M32" s="5" t="s">
        <v>10</v>
      </c>
      <c r="N32" s="5" t="s">
        <v>11</v>
      </c>
      <c r="O32" s="5" t="s">
        <v>10</v>
      </c>
      <c r="P32" s="5" t="s">
        <v>11</v>
      </c>
      <c r="Q32" s="5" t="s">
        <v>10</v>
      </c>
      <c r="R32" s="5" t="s">
        <v>10</v>
      </c>
      <c r="S32" s="5" t="s">
        <v>11</v>
      </c>
      <c r="T32" s="5" t="s">
        <v>10</v>
      </c>
      <c r="U32" s="5" t="s">
        <v>11</v>
      </c>
      <c r="V32" s="5" t="s">
        <v>10</v>
      </c>
      <c r="W32" s="5" t="s">
        <v>11</v>
      </c>
      <c r="X32" s="5" t="s">
        <v>10</v>
      </c>
      <c r="Y32" s="5" t="s">
        <v>33</v>
      </c>
      <c r="Z32" s="5" t="s">
        <v>10</v>
      </c>
      <c r="AA32" s="5" t="s">
        <v>10</v>
      </c>
      <c r="AB32" s="5" t="s">
        <v>10</v>
      </c>
      <c r="AC32" s="3" t="n">
        <f aca="false">COUNTIF(E32:AB32,"Absent")</f>
        <v>7</v>
      </c>
      <c r="AD32" s="3" t="n">
        <f aca="false">COUNTIF(E32:AB32,"Present")</f>
        <v>16</v>
      </c>
      <c r="AE32" s="3" t="n">
        <f aca="false">(AD32*5)+(AC32*-5)</f>
        <v>45</v>
      </c>
    </row>
    <row r="33" customFormat="false" ht="21.75" hidden="false" customHeight="true" outlineLevel="0" collapsed="false">
      <c r="A33" s="3" t="n">
        <v>32</v>
      </c>
      <c r="B33" s="3" t="s">
        <v>342</v>
      </c>
      <c r="C33" s="4" t="s">
        <v>343</v>
      </c>
      <c r="D33" s="3" t="s">
        <v>344</v>
      </c>
      <c r="E33" s="5" t="s">
        <v>10</v>
      </c>
      <c r="F33" s="5" t="s">
        <v>33</v>
      </c>
      <c r="G33" s="5" t="s">
        <v>11</v>
      </c>
      <c r="H33" s="5" t="s">
        <v>11</v>
      </c>
      <c r="I33" s="5" t="s">
        <v>33</v>
      </c>
      <c r="J33" s="5" t="s">
        <v>33</v>
      </c>
      <c r="K33" s="5" t="s">
        <v>11</v>
      </c>
      <c r="L33" s="5" t="s">
        <v>11</v>
      </c>
      <c r="M33" s="5" t="s">
        <v>11</v>
      </c>
      <c r="N33" s="5" t="s">
        <v>11</v>
      </c>
      <c r="O33" s="5" t="s">
        <v>11</v>
      </c>
      <c r="P33" s="5" t="s">
        <v>11</v>
      </c>
      <c r="Q33" s="5" t="s">
        <v>11</v>
      </c>
      <c r="R33" s="5" t="s">
        <v>11</v>
      </c>
      <c r="S33" s="5" t="s">
        <v>11</v>
      </c>
      <c r="T33" s="5" t="s">
        <v>11</v>
      </c>
      <c r="U33" s="5" t="s">
        <v>11</v>
      </c>
      <c r="V33" s="5" t="s">
        <v>10</v>
      </c>
      <c r="W33" s="5" t="s">
        <v>11</v>
      </c>
      <c r="X33" s="5" t="s">
        <v>11</v>
      </c>
      <c r="Y33" s="5" t="s">
        <v>11</v>
      </c>
      <c r="Z33" s="5" t="s">
        <v>10</v>
      </c>
      <c r="AA33" s="5" t="s">
        <v>11</v>
      </c>
      <c r="AB33" s="5" t="s">
        <v>10</v>
      </c>
      <c r="AC33" s="3" t="n">
        <f aca="false">COUNTIF(E33:AB33,"Absent")</f>
        <v>17</v>
      </c>
      <c r="AD33" s="3" t="n">
        <f aca="false">COUNTIF(E33:AB33,"Present")</f>
        <v>4</v>
      </c>
      <c r="AE33" s="3" t="n">
        <f aca="false">(AD33*5)+(AC33*-5)</f>
        <v>-65</v>
      </c>
    </row>
    <row r="34" customFormat="false" ht="21.75" hidden="false" customHeight="true" outlineLevel="0" collapsed="false">
      <c r="A34" s="3" t="n">
        <v>33</v>
      </c>
      <c r="B34" s="3" t="s">
        <v>345</v>
      </c>
      <c r="C34" s="4" t="s">
        <v>346</v>
      </c>
      <c r="D34" s="3" t="s">
        <v>347</v>
      </c>
      <c r="E34" s="5" t="s">
        <v>11</v>
      </c>
      <c r="F34" s="5" t="s">
        <v>11</v>
      </c>
      <c r="G34" s="5" t="s">
        <v>10</v>
      </c>
      <c r="H34" s="5" t="s">
        <v>10</v>
      </c>
      <c r="I34" s="5" t="s">
        <v>10</v>
      </c>
      <c r="J34" s="5" t="s">
        <v>10</v>
      </c>
      <c r="K34" s="5" t="s">
        <v>10</v>
      </c>
      <c r="L34" s="5" t="s">
        <v>11</v>
      </c>
      <c r="M34" s="5" t="s">
        <v>10</v>
      </c>
      <c r="N34" s="5" t="s">
        <v>10</v>
      </c>
      <c r="O34" s="5" t="s">
        <v>11</v>
      </c>
      <c r="P34" s="5" t="s">
        <v>11</v>
      </c>
      <c r="Q34" s="5" t="s">
        <v>11</v>
      </c>
      <c r="R34" s="5" t="s">
        <v>11</v>
      </c>
      <c r="S34" s="5" t="s">
        <v>11</v>
      </c>
      <c r="T34" s="5" t="s">
        <v>11</v>
      </c>
      <c r="U34" s="5" t="s">
        <v>10</v>
      </c>
      <c r="V34" s="5" t="s">
        <v>10</v>
      </c>
      <c r="W34" s="5" t="s">
        <v>11</v>
      </c>
      <c r="X34" s="5" t="s">
        <v>33</v>
      </c>
      <c r="Y34" s="5" t="s">
        <v>10</v>
      </c>
      <c r="Z34" s="5" t="s">
        <v>10</v>
      </c>
      <c r="AA34" s="5" t="s">
        <v>10</v>
      </c>
      <c r="AB34" s="5" t="s">
        <v>11</v>
      </c>
      <c r="AC34" s="3" t="n">
        <f aca="false">COUNTIF(E34:AB34,"Absent")</f>
        <v>11</v>
      </c>
      <c r="AD34" s="3" t="n">
        <f aca="false">COUNTIF(E34:AB34,"Present")</f>
        <v>12</v>
      </c>
      <c r="AE34" s="3" t="n">
        <f aca="false">(AD34*5)+(AC34*-5)</f>
        <v>5</v>
      </c>
    </row>
    <row r="35" customFormat="false" ht="21.75" hidden="false" customHeight="true" outlineLevel="0" collapsed="false">
      <c r="A35" s="3"/>
      <c r="B35" s="3" t="s">
        <v>348</v>
      </c>
      <c r="C35" s="4" t="s">
        <v>349</v>
      </c>
      <c r="D35" s="3" t="s">
        <v>350</v>
      </c>
      <c r="E35" s="4" t="s">
        <v>351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5" t="s">
        <v>10</v>
      </c>
      <c r="U35" s="5" t="s">
        <v>11</v>
      </c>
      <c r="V35" s="5" t="s">
        <v>11</v>
      </c>
      <c r="W35" s="5" t="s">
        <v>11</v>
      </c>
      <c r="X35" s="5" t="s">
        <v>11</v>
      </c>
      <c r="Y35" s="5" t="s">
        <v>10</v>
      </c>
      <c r="Z35" s="5" t="s">
        <v>10</v>
      </c>
      <c r="AA35" s="5" t="s">
        <v>10</v>
      </c>
      <c r="AB35" s="5" t="s">
        <v>10</v>
      </c>
      <c r="AC35" s="3" t="n">
        <f aca="false">COUNTIF(E35:AB35,"Absent")</f>
        <v>4</v>
      </c>
      <c r="AD35" s="3" t="n">
        <f aca="false">COUNTIF(E35:AB35,"Present")</f>
        <v>5</v>
      </c>
      <c r="AE35" s="3" t="n">
        <f aca="false">(AD35*5)+(AC35*-5)</f>
        <v>5</v>
      </c>
    </row>
    <row r="36" customFormat="false" ht="21.75" hidden="false" customHeight="true" outlineLevel="0" collapsed="false">
      <c r="A36" s="3"/>
      <c r="B36" s="3" t="s">
        <v>352</v>
      </c>
      <c r="C36" s="4" t="s">
        <v>353</v>
      </c>
      <c r="D36" s="3" t="s">
        <v>354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 t="s">
        <v>10</v>
      </c>
      <c r="U36" s="5" t="s">
        <v>11</v>
      </c>
      <c r="V36" s="5" t="s">
        <v>11</v>
      </c>
      <c r="W36" s="5" t="s">
        <v>10</v>
      </c>
      <c r="X36" s="5" t="s">
        <v>10</v>
      </c>
      <c r="Y36" s="5" t="s">
        <v>11</v>
      </c>
      <c r="Z36" s="5" t="s">
        <v>11</v>
      </c>
      <c r="AA36" s="5" t="s">
        <v>10</v>
      </c>
      <c r="AB36" s="5" t="s">
        <v>10</v>
      </c>
      <c r="AC36" s="3" t="n">
        <f aca="false">COUNTIF(E36:AB36,"Absent")</f>
        <v>4</v>
      </c>
      <c r="AD36" s="3" t="n">
        <f aca="false">COUNTIF(E36:AB36,"Present")</f>
        <v>5</v>
      </c>
      <c r="AE36" s="3" t="n">
        <f aca="false">(AD36*5)+(AC36*-5)</f>
        <v>5</v>
      </c>
    </row>
    <row r="37" customFormat="false" ht="21.75" hidden="false" customHeight="true" outlineLevel="0" collapsed="false">
      <c r="A37" s="3"/>
      <c r="B37" s="3"/>
      <c r="C37" s="3"/>
      <c r="D37" s="3"/>
      <c r="E37" s="3" t="s">
        <v>10</v>
      </c>
      <c r="F37" s="3" t="s">
        <v>10</v>
      </c>
      <c r="G37" s="3" t="s">
        <v>11</v>
      </c>
      <c r="H37" s="3" t="s">
        <v>10</v>
      </c>
      <c r="I37" s="3" t="s">
        <v>10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  <c r="O37" s="3" t="s">
        <v>10</v>
      </c>
      <c r="P37" s="3" t="s">
        <v>10</v>
      </c>
      <c r="Q37" s="3" t="s">
        <v>11</v>
      </c>
      <c r="R37" s="3" t="s">
        <v>11</v>
      </c>
      <c r="S37" s="3" t="s">
        <v>10</v>
      </c>
      <c r="T37" s="3" t="s">
        <v>10</v>
      </c>
      <c r="U37" s="3" t="s">
        <v>10</v>
      </c>
      <c r="V37" s="3" t="s">
        <v>10</v>
      </c>
      <c r="W37" s="3" t="s">
        <v>11</v>
      </c>
      <c r="X37" s="3" t="s">
        <v>10</v>
      </c>
      <c r="Y37" s="3" t="s">
        <v>33</v>
      </c>
      <c r="Z37" s="3" t="s">
        <v>10</v>
      </c>
      <c r="AA37" s="3" t="s">
        <v>10</v>
      </c>
      <c r="AB37" s="3" t="s">
        <v>11</v>
      </c>
      <c r="AC37" s="3" t="s">
        <v>10</v>
      </c>
      <c r="AD37" s="3" t="s">
        <v>10</v>
      </c>
      <c r="AE37" s="3" t="s">
        <v>10</v>
      </c>
    </row>
  </sheetData>
  <autoFilter ref="A1:AE37"/>
  <mergeCells count="1">
    <mergeCell ref="E35:S36"/>
  </mergeCells>
  <conditionalFormatting sqref="AC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conditionalFormatting sqref="AC1:AE1">
    <cfRule type="cellIs" priority="4" operator="equal" aboveAverage="0" equalAverage="0" bottom="0" percent="0" rank="0" text="" dxfId="9">
      <formula>"Present"</formula>
    </cfRule>
    <cfRule type="cellIs" priority="5" operator="equal" aboveAverage="0" equalAverage="0" bottom="0" percent="0" rank="0" text="" dxfId="10">
      <formula>"Absent"</formula>
    </cfRule>
  </conditionalFormatting>
  <conditionalFormatting sqref="N2:AB2 N3:T34 T35:T36 U3:AB36">
    <cfRule type="cellIs" priority="6" operator="equal" aboveAverage="0" equalAverage="0" bottom="0" percent="0" rank="0" text="" dxfId="9">
      <formula>"Present"</formula>
    </cfRule>
    <cfRule type="cellIs" priority="7" operator="equal" aboveAverage="0" equalAverage="0" bottom="0" percent="0" rank="0" text="" dxfId="10">
      <formula>"Absent"</formula>
    </cfRule>
  </conditionalFormatting>
  <conditionalFormatting sqref="I2:M34">
    <cfRule type="cellIs" priority="8" operator="equal" aboveAverage="0" equalAverage="0" bottom="0" percent="0" rank="0" text="" dxfId="9">
      <formula>"Present"</formula>
    </cfRule>
    <cfRule type="cellIs" priority="9" operator="equal" aboveAverage="0" equalAverage="0" bottom="0" percent="0" rank="0" text="" dxfId="10">
      <formula>"Absent"</formula>
    </cfRule>
  </conditionalFormatting>
  <conditionalFormatting sqref="S1:AB1">
    <cfRule type="cellIs" priority="10" operator="equal" aboveAverage="0" equalAverage="0" bottom="0" percent="0" rank="0" text="" dxfId="9">
      <formula>"Present"</formula>
    </cfRule>
    <cfRule type="cellIs" priority="11" operator="equal" aboveAverage="0" equalAverage="0" bottom="0" percent="0" rank="0" text="" dxfId="10">
      <formula>"Absent"</formula>
    </cfRule>
  </conditionalFormatting>
  <conditionalFormatting sqref="Q1">
    <cfRule type="cellIs" priority="12" operator="equal" aboveAverage="0" equalAverage="0" bottom="0" percent="0" rank="0" text="" dxfId="9">
      <formula>"Present"</formula>
    </cfRule>
    <cfRule type="cellIs" priority="13" operator="equal" aboveAverage="0" equalAverage="0" bottom="0" percent="0" rank="0" text="" dxfId="10">
      <formula>"Absent"</formula>
    </cfRule>
  </conditionalFormatting>
  <conditionalFormatting sqref="Q1:R1">
    <cfRule type="cellIs" priority="14" operator="equal" aboveAverage="0" equalAverage="0" bottom="0" percent="0" rank="0" text="" dxfId="9">
      <formula>"Present"</formula>
    </cfRule>
    <cfRule type="cellIs" priority="15" operator="equal" aboveAverage="0" equalAverage="0" bottom="0" percent="0" rank="0" text="" dxfId="10">
      <formula>"Absent"</formula>
    </cfRule>
  </conditionalFormatting>
  <conditionalFormatting sqref="A1:P1 E2:H34">
    <cfRule type="cellIs" priority="16" operator="equal" aboveAverage="0" equalAverage="0" bottom="0" percent="0" rank="0" text="" dxfId="9">
      <formula>"Present"</formula>
    </cfRule>
    <cfRule type="cellIs" priority="17" operator="equal" aboveAverage="0" equalAverage="0" bottom="0" percent="0" rank="0" text="" dxfId="10">
      <formula>"Absent"</formula>
    </cfRule>
  </conditionalFormatting>
  <dataValidations count="2">
    <dataValidation allowBlank="true" errorStyle="stop" operator="between" showDropDown="false" showErrorMessage="true" showInputMessage="true" sqref="E2:AB34 T35:AB36" type="list">
      <formula1>"Present,Absent,Excused absence"</formula1>
      <formula2>0</formula2>
    </dataValidation>
    <dataValidation allowBlank="true" errorStyle="stop" operator="between" showDropDown="false" showErrorMessage="true" showInputMessage="true" sqref="E1:AE1" type="list">
      <formula1>$A$1:$AE$1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3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&amp;L&amp;"Arial,Regular"&amp;1 #</oddHead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38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N47" activeCellId="0" sqref="N4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31" min="5" style="0" width="13"/>
    <col collapsed="false" customWidth="true" hidden="false" outlineLevel="0" max="32" min="32" style="0" width="11.71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n">
        <v>45931</v>
      </c>
      <c r="F1" s="2" t="n">
        <v>45936</v>
      </c>
      <c r="G1" s="2" t="n">
        <v>45937</v>
      </c>
      <c r="H1" s="2" t="n">
        <v>45938</v>
      </c>
      <c r="I1" s="2" t="n">
        <v>45943</v>
      </c>
      <c r="J1" s="2" t="n">
        <v>45945</v>
      </c>
      <c r="K1" s="2" t="n">
        <v>45950</v>
      </c>
      <c r="L1" s="2" t="n">
        <v>45952</v>
      </c>
      <c r="M1" s="2" t="n">
        <v>45957</v>
      </c>
      <c r="N1" s="2" t="n">
        <v>45959</v>
      </c>
      <c r="O1" s="2" t="n">
        <v>45964</v>
      </c>
      <c r="P1" s="2" t="n">
        <v>45966</v>
      </c>
      <c r="Q1" s="2" t="n">
        <v>45971</v>
      </c>
      <c r="R1" s="2" t="n">
        <v>45973</v>
      </c>
      <c r="S1" s="2" t="n">
        <v>45992</v>
      </c>
      <c r="T1" s="2" t="n">
        <v>45994</v>
      </c>
      <c r="U1" s="2" t="n">
        <v>45999</v>
      </c>
      <c r="V1" s="2" t="n">
        <v>46001</v>
      </c>
      <c r="W1" s="2" t="n">
        <v>46006</v>
      </c>
      <c r="X1" s="2" t="n">
        <v>46008</v>
      </c>
      <c r="Y1" s="2" t="n">
        <v>46013</v>
      </c>
      <c r="Z1" s="2" t="n">
        <v>46015</v>
      </c>
      <c r="AA1" s="2" t="n">
        <v>46020</v>
      </c>
      <c r="AB1" s="2" t="n">
        <v>45961</v>
      </c>
      <c r="AC1" s="1" t="s">
        <v>4</v>
      </c>
      <c r="AD1" s="1" t="s">
        <v>5</v>
      </c>
      <c r="AE1" s="1" t="s">
        <v>6</v>
      </c>
    </row>
    <row r="2" customFormat="false" ht="21.75" hidden="false" customHeight="true" outlineLevel="0" collapsed="false">
      <c r="A2" s="3" t="n">
        <v>1</v>
      </c>
      <c r="B2" s="3" t="s">
        <v>355</v>
      </c>
      <c r="C2" s="4" t="s">
        <v>356</v>
      </c>
      <c r="D2" s="3" t="s">
        <v>357</v>
      </c>
      <c r="E2" s="5" t="s">
        <v>10</v>
      </c>
      <c r="F2" s="5" t="s">
        <v>10</v>
      </c>
      <c r="G2" s="5" t="s">
        <v>10</v>
      </c>
      <c r="H2" s="5" t="s">
        <v>10</v>
      </c>
      <c r="I2" s="5" t="s">
        <v>10</v>
      </c>
      <c r="J2" s="5" t="s">
        <v>10</v>
      </c>
      <c r="K2" s="5" t="s">
        <v>10</v>
      </c>
      <c r="L2" s="5" t="s">
        <v>10</v>
      </c>
      <c r="M2" s="5" t="s">
        <v>10</v>
      </c>
      <c r="N2" s="5" t="s">
        <v>10</v>
      </c>
      <c r="O2" s="5" t="s">
        <v>11</v>
      </c>
      <c r="P2" s="5" t="s">
        <v>10</v>
      </c>
      <c r="Q2" s="5" t="s">
        <v>11</v>
      </c>
      <c r="R2" s="5" t="s">
        <v>10</v>
      </c>
      <c r="S2" s="5" t="s">
        <v>10</v>
      </c>
      <c r="T2" s="5" t="s">
        <v>10</v>
      </c>
      <c r="U2" s="5" t="s">
        <v>10</v>
      </c>
      <c r="V2" s="5" t="s">
        <v>10</v>
      </c>
      <c r="W2" s="5" t="s">
        <v>10</v>
      </c>
      <c r="X2" s="5" t="s">
        <v>10</v>
      </c>
      <c r="Y2" s="5" t="s">
        <v>10</v>
      </c>
      <c r="Z2" s="5" t="s">
        <v>10</v>
      </c>
      <c r="AA2" s="5" t="s">
        <v>10</v>
      </c>
      <c r="AB2" s="5" t="s">
        <v>10</v>
      </c>
      <c r="AC2" s="3" t="n">
        <f aca="false">COUNTIF(E2:AB2,"Absent")</f>
        <v>2</v>
      </c>
      <c r="AD2" s="3" t="n">
        <f aca="false">COUNTIF(E2:AB2,"Present")</f>
        <v>22</v>
      </c>
      <c r="AE2" s="3" t="n">
        <f aca="false">(AD2*5)+(AC2*-5)</f>
        <v>100</v>
      </c>
    </row>
    <row r="3" customFormat="false" ht="21.75" hidden="false" customHeight="true" outlineLevel="0" collapsed="false">
      <c r="A3" s="3" t="n">
        <v>2</v>
      </c>
      <c r="B3" s="3" t="s">
        <v>358</v>
      </c>
      <c r="C3" s="4" t="s">
        <v>359</v>
      </c>
      <c r="D3" s="3" t="s">
        <v>360</v>
      </c>
      <c r="E3" s="5" t="s">
        <v>10</v>
      </c>
      <c r="F3" s="5" t="s">
        <v>11</v>
      </c>
      <c r="G3" s="5" t="s">
        <v>10</v>
      </c>
      <c r="H3" s="5" t="s">
        <v>11</v>
      </c>
      <c r="I3" s="5" t="s">
        <v>10</v>
      </c>
      <c r="J3" s="5" t="s">
        <v>10</v>
      </c>
      <c r="K3" s="5" t="s">
        <v>11</v>
      </c>
      <c r="L3" s="5" t="s">
        <v>11</v>
      </c>
      <c r="M3" s="5" t="s">
        <v>10</v>
      </c>
      <c r="N3" s="5" t="s">
        <v>11</v>
      </c>
      <c r="O3" s="5" t="s">
        <v>11</v>
      </c>
      <c r="P3" s="5" t="s">
        <v>11</v>
      </c>
      <c r="Q3" s="5" t="s">
        <v>11</v>
      </c>
      <c r="R3" s="5" t="s">
        <v>11</v>
      </c>
      <c r="S3" s="5" t="s">
        <v>11</v>
      </c>
      <c r="T3" s="5" t="s">
        <v>11</v>
      </c>
      <c r="U3" s="5" t="s">
        <v>11</v>
      </c>
      <c r="V3" s="5" t="s">
        <v>11</v>
      </c>
      <c r="W3" s="5" t="s">
        <v>11</v>
      </c>
      <c r="X3" s="5" t="s">
        <v>10</v>
      </c>
      <c r="Y3" s="5" t="s">
        <v>10</v>
      </c>
      <c r="Z3" s="5" t="s">
        <v>10</v>
      </c>
      <c r="AA3" s="5" t="s">
        <v>10</v>
      </c>
      <c r="AB3" s="5" t="s">
        <v>10</v>
      </c>
      <c r="AC3" s="3" t="n">
        <f aca="false">COUNTIF(E3:AB3,"Absent")</f>
        <v>14</v>
      </c>
      <c r="AD3" s="3" t="n">
        <f aca="false">COUNTIF(E3:AB3,"Present")</f>
        <v>10</v>
      </c>
      <c r="AE3" s="3" t="n">
        <f aca="false">(AD3*5)+(AC3*-5)</f>
        <v>-20</v>
      </c>
    </row>
    <row r="4" customFormat="false" ht="21.75" hidden="false" customHeight="true" outlineLevel="0" collapsed="false">
      <c r="A4" s="3" t="n">
        <v>3</v>
      </c>
      <c r="B4" s="3" t="s">
        <v>361</v>
      </c>
      <c r="C4" s="4" t="s">
        <v>362</v>
      </c>
      <c r="D4" s="3" t="s">
        <v>363</v>
      </c>
      <c r="E4" s="5" t="s">
        <v>10</v>
      </c>
      <c r="F4" s="5" t="s">
        <v>10</v>
      </c>
      <c r="G4" s="5" t="s">
        <v>10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  <c r="M4" s="5" t="s">
        <v>10</v>
      </c>
      <c r="N4" s="5" t="s">
        <v>10</v>
      </c>
      <c r="O4" s="5" t="s">
        <v>10</v>
      </c>
      <c r="P4" s="5" t="s">
        <v>10</v>
      </c>
      <c r="Q4" s="5" t="s">
        <v>11</v>
      </c>
      <c r="R4" s="5" t="s">
        <v>10</v>
      </c>
      <c r="S4" s="5" t="s">
        <v>11</v>
      </c>
      <c r="T4" s="5" t="s">
        <v>11</v>
      </c>
      <c r="U4" s="5" t="s">
        <v>10</v>
      </c>
      <c r="V4" s="5" t="s">
        <v>10</v>
      </c>
      <c r="W4" s="5" t="s">
        <v>11</v>
      </c>
      <c r="X4" s="5" t="s">
        <v>10</v>
      </c>
      <c r="Y4" s="5" t="s">
        <v>10</v>
      </c>
      <c r="Z4" s="5" t="s">
        <v>10</v>
      </c>
      <c r="AA4" s="5" t="s">
        <v>10</v>
      </c>
      <c r="AB4" s="5" t="s">
        <v>10</v>
      </c>
      <c r="AC4" s="3" t="n">
        <f aca="false">COUNTIF(E4:AB4,"Absent")</f>
        <v>4</v>
      </c>
      <c r="AD4" s="3" t="n">
        <f aca="false">COUNTIF(E4:AB4,"Present")</f>
        <v>20</v>
      </c>
      <c r="AE4" s="3" t="n">
        <f aca="false">(AD4*5)+(AC4*-5)</f>
        <v>80</v>
      </c>
    </row>
    <row r="5" customFormat="false" ht="21.75" hidden="false" customHeight="true" outlineLevel="0" collapsed="false">
      <c r="A5" s="3" t="n">
        <v>4</v>
      </c>
      <c r="B5" s="3" t="s">
        <v>364</v>
      </c>
      <c r="C5" s="4" t="s">
        <v>365</v>
      </c>
      <c r="D5" s="3" t="s">
        <v>366</v>
      </c>
      <c r="E5" s="5" t="s">
        <v>10</v>
      </c>
      <c r="F5" s="5" t="s">
        <v>10</v>
      </c>
      <c r="G5" s="5" t="s">
        <v>10</v>
      </c>
      <c r="H5" s="5" t="s">
        <v>10</v>
      </c>
      <c r="I5" s="5" t="s">
        <v>11</v>
      </c>
      <c r="J5" s="5" t="s">
        <v>10</v>
      </c>
      <c r="K5" s="5" t="s">
        <v>10</v>
      </c>
      <c r="L5" s="5" t="s">
        <v>10</v>
      </c>
      <c r="M5" s="5" t="s">
        <v>11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11</v>
      </c>
      <c r="T5" s="5" t="s">
        <v>10</v>
      </c>
      <c r="U5" s="5" t="s">
        <v>11</v>
      </c>
      <c r="V5" s="5" t="s">
        <v>10</v>
      </c>
      <c r="W5" s="5" t="s">
        <v>11</v>
      </c>
      <c r="X5" s="5" t="s">
        <v>10</v>
      </c>
      <c r="Y5" s="5" t="s">
        <v>10</v>
      </c>
      <c r="Z5" s="5" t="s">
        <v>10</v>
      </c>
      <c r="AA5" s="5" t="s">
        <v>10</v>
      </c>
      <c r="AB5" s="5" t="s">
        <v>10</v>
      </c>
      <c r="AC5" s="3" t="n">
        <f aca="false">COUNTIF(E5:AB5,"Absent")</f>
        <v>5</v>
      </c>
      <c r="AD5" s="3" t="n">
        <f aca="false">COUNTIF(E5:AB5,"Present")</f>
        <v>19</v>
      </c>
      <c r="AE5" s="3" t="n">
        <f aca="false">(AD5*5)+(AC5*-5)</f>
        <v>70</v>
      </c>
    </row>
    <row r="6" customFormat="false" ht="21.75" hidden="false" customHeight="true" outlineLevel="0" collapsed="false">
      <c r="A6" s="3" t="n">
        <v>5</v>
      </c>
      <c r="B6" s="3" t="s">
        <v>367</v>
      </c>
      <c r="C6" s="4" t="s">
        <v>368</v>
      </c>
      <c r="D6" s="3" t="s">
        <v>369</v>
      </c>
      <c r="E6" s="5" t="s">
        <v>11</v>
      </c>
      <c r="F6" s="5" t="s">
        <v>11</v>
      </c>
      <c r="G6" s="5" t="s">
        <v>10</v>
      </c>
      <c r="H6" s="5" t="s">
        <v>11</v>
      </c>
      <c r="I6" s="5" t="s">
        <v>10</v>
      </c>
      <c r="J6" s="5" t="s">
        <v>10</v>
      </c>
      <c r="K6" s="5" t="s">
        <v>10</v>
      </c>
      <c r="L6" s="5" t="s">
        <v>10</v>
      </c>
      <c r="M6" s="5" t="s">
        <v>11</v>
      </c>
      <c r="N6" s="5" t="s">
        <v>10</v>
      </c>
      <c r="O6" s="5" t="s">
        <v>10</v>
      </c>
      <c r="P6" s="5" t="s">
        <v>10</v>
      </c>
      <c r="Q6" s="5" t="s">
        <v>10</v>
      </c>
      <c r="R6" s="5" t="s">
        <v>10</v>
      </c>
      <c r="S6" s="5" t="s">
        <v>11</v>
      </c>
      <c r="T6" s="5" t="s">
        <v>11</v>
      </c>
      <c r="U6" s="5" t="s">
        <v>11</v>
      </c>
      <c r="V6" s="5" t="s">
        <v>11</v>
      </c>
      <c r="W6" s="5" t="s">
        <v>11</v>
      </c>
      <c r="X6" s="5" t="s">
        <v>10</v>
      </c>
      <c r="Y6" s="5" t="s">
        <v>10</v>
      </c>
      <c r="Z6" s="5" t="s">
        <v>10</v>
      </c>
      <c r="AA6" s="5" t="s">
        <v>10</v>
      </c>
      <c r="AB6" s="5" t="s">
        <v>10</v>
      </c>
      <c r="AC6" s="3" t="n">
        <f aca="false">COUNTIF(E6:AB6,"Absent")</f>
        <v>9</v>
      </c>
      <c r="AD6" s="3" t="n">
        <f aca="false">COUNTIF(E6:AB6,"Present")</f>
        <v>15</v>
      </c>
      <c r="AE6" s="3" t="n">
        <f aca="false">(AD6*5)+(AC6*-5)</f>
        <v>30</v>
      </c>
    </row>
    <row r="7" customFormat="false" ht="21.75" hidden="false" customHeight="true" outlineLevel="0" collapsed="false">
      <c r="A7" s="3" t="n">
        <v>6</v>
      </c>
      <c r="B7" s="3" t="s">
        <v>370</v>
      </c>
      <c r="C7" s="4" t="s">
        <v>371</v>
      </c>
      <c r="D7" s="3" t="s">
        <v>372</v>
      </c>
      <c r="E7" s="5" t="s">
        <v>10</v>
      </c>
      <c r="F7" s="5" t="s">
        <v>10</v>
      </c>
      <c r="G7" s="5" t="s">
        <v>11</v>
      </c>
      <c r="H7" s="5" t="s">
        <v>10</v>
      </c>
      <c r="I7" s="5" t="s">
        <v>10</v>
      </c>
      <c r="J7" s="5" t="s">
        <v>10</v>
      </c>
      <c r="K7" s="5" t="s">
        <v>10</v>
      </c>
      <c r="L7" s="5" t="s">
        <v>10</v>
      </c>
      <c r="M7" s="5" t="s">
        <v>10</v>
      </c>
      <c r="N7" s="5" t="s">
        <v>10</v>
      </c>
      <c r="O7" s="5" t="s">
        <v>10</v>
      </c>
      <c r="P7" s="5" t="s">
        <v>10</v>
      </c>
      <c r="Q7" s="5" t="s">
        <v>10</v>
      </c>
      <c r="R7" s="5" t="s">
        <v>10</v>
      </c>
      <c r="S7" s="5" t="s">
        <v>11</v>
      </c>
      <c r="T7" s="5" t="s">
        <v>10</v>
      </c>
      <c r="U7" s="5" t="s">
        <v>10</v>
      </c>
      <c r="V7" s="5" t="s">
        <v>10</v>
      </c>
      <c r="W7" s="5" t="s">
        <v>10</v>
      </c>
      <c r="X7" s="5" t="s">
        <v>10</v>
      </c>
      <c r="Y7" s="5" t="s">
        <v>10</v>
      </c>
      <c r="Z7" s="5" t="s">
        <v>10</v>
      </c>
      <c r="AA7" s="5" t="s">
        <v>10</v>
      </c>
      <c r="AB7" s="5" t="s">
        <v>10</v>
      </c>
      <c r="AC7" s="3" t="n">
        <f aca="false">COUNTIF(E7:AB7,"Absent")</f>
        <v>2</v>
      </c>
      <c r="AD7" s="3" t="n">
        <f aca="false">COUNTIF(E7:AB7,"Present")</f>
        <v>22</v>
      </c>
      <c r="AE7" s="3" t="n">
        <f aca="false">(AD7*5)+(AC7*-5)</f>
        <v>100</v>
      </c>
    </row>
    <row r="8" customFormat="false" ht="21.75" hidden="false" customHeight="true" outlineLevel="0" collapsed="false">
      <c r="A8" s="3" t="n">
        <v>7</v>
      </c>
      <c r="B8" s="3" t="s">
        <v>373</v>
      </c>
      <c r="C8" s="4" t="s">
        <v>374</v>
      </c>
      <c r="D8" s="3" t="s">
        <v>375</v>
      </c>
      <c r="E8" s="5" t="s">
        <v>10</v>
      </c>
      <c r="F8" s="5" t="s">
        <v>11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10</v>
      </c>
      <c r="L8" s="5" t="s">
        <v>10</v>
      </c>
      <c r="M8" s="5" t="s">
        <v>10</v>
      </c>
      <c r="N8" s="5" t="s">
        <v>10</v>
      </c>
      <c r="O8" s="5" t="s">
        <v>11</v>
      </c>
      <c r="P8" s="5" t="s">
        <v>10</v>
      </c>
      <c r="Q8" s="5" t="s">
        <v>10</v>
      </c>
      <c r="R8" s="5" t="s">
        <v>10</v>
      </c>
      <c r="S8" s="5" t="s">
        <v>11</v>
      </c>
      <c r="T8" s="5" t="s">
        <v>11</v>
      </c>
      <c r="U8" s="5" t="s">
        <v>10</v>
      </c>
      <c r="V8" s="5" t="s">
        <v>11</v>
      </c>
      <c r="W8" s="5" t="s">
        <v>11</v>
      </c>
      <c r="X8" s="5" t="s">
        <v>10</v>
      </c>
      <c r="Y8" s="5" t="s">
        <v>10</v>
      </c>
      <c r="Z8" s="5" t="s">
        <v>10</v>
      </c>
      <c r="AA8" s="5" t="s">
        <v>10</v>
      </c>
      <c r="AB8" s="5" t="s">
        <v>10</v>
      </c>
      <c r="AC8" s="3" t="n">
        <f aca="false">COUNTIF(E8:AB8,"Absent")</f>
        <v>6</v>
      </c>
      <c r="AD8" s="3" t="n">
        <f aca="false">COUNTIF(E8:AB8,"Present")</f>
        <v>18</v>
      </c>
      <c r="AE8" s="3" t="n">
        <f aca="false">(AD8*5)+(AC8*-5)</f>
        <v>60</v>
      </c>
    </row>
    <row r="9" customFormat="false" ht="21.75" hidden="false" customHeight="true" outlineLevel="0" collapsed="false">
      <c r="A9" s="3" t="n">
        <v>8</v>
      </c>
      <c r="B9" s="3" t="s">
        <v>376</v>
      </c>
      <c r="C9" s="4" t="s">
        <v>377</v>
      </c>
      <c r="D9" s="3" t="s">
        <v>378</v>
      </c>
      <c r="E9" s="5" t="s">
        <v>10</v>
      </c>
      <c r="F9" s="5" t="s">
        <v>33</v>
      </c>
      <c r="G9" s="5" t="s">
        <v>10</v>
      </c>
      <c r="H9" s="5" t="s">
        <v>10</v>
      </c>
      <c r="I9" s="5" t="s">
        <v>10</v>
      </c>
      <c r="J9" s="5" t="s">
        <v>33</v>
      </c>
      <c r="K9" s="5" t="s">
        <v>10</v>
      </c>
      <c r="L9" s="5" t="s">
        <v>11</v>
      </c>
      <c r="M9" s="5" t="s">
        <v>11</v>
      </c>
      <c r="N9" s="5" t="s">
        <v>10</v>
      </c>
      <c r="O9" s="5" t="s">
        <v>10</v>
      </c>
      <c r="P9" s="5" t="s">
        <v>10</v>
      </c>
      <c r="Q9" s="5" t="s">
        <v>11</v>
      </c>
      <c r="R9" s="5" t="s">
        <v>10</v>
      </c>
      <c r="S9" s="5" t="s">
        <v>10</v>
      </c>
      <c r="T9" s="5" t="s">
        <v>10</v>
      </c>
      <c r="U9" s="5" t="s">
        <v>11</v>
      </c>
      <c r="V9" s="5" t="s">
        <v>10</v>
      </c>
      <c r="W9" s="5" t="s">
        <v>10</v>
      </c>
      <c r="X9" s="5" t="s">
        <v>10</v>
      </c>
      <c r="Y9" s="5" t="s">
        <v>10</v>
      </c>
      <c r="Z9" s="5" t="s">
        <v>10</v>
      </c>
      <c r="AA9" s="5" t="s">
        <v>10</v>
      </c>
      <c r="AB9" s="5" t="s">
        <v>10</v>
      </c>
      <c r="AC9" s="3" t="n">
        <f aca="false">COUNTIF(E9:AB9,"Absent")</f>
        <v>4</v>
      </c>
      <c r="AD9" s="3" t="n">
        <f aca="false">COUNTIF(E9:AB9,"Present")</f>
        <v>18</v>
      </c>
      <c r="AE9" s="3" t="n">
        <f aca="false">(AD9*5)+(AC9*-5)</f>
        <v>70</v>
      </c>
    </row>
    <row r="10" customFormat="false" ht="21.75" hidden="false" customHeight="true" outlineLevel="0" collapsed="false">
      <c r="A10" s="3" t="n">
        <v>9</v>
      </c>
      <c r="B10" s="3" t="s">
        <v>379</v>
      </c>
      <c r="C10" s="4" t="s">
        <v>380</v>
      </c>
      <c r="D10" s="3" t="s">
        <v>381</v>
      </c>
      <c r="E10" s="5" t="s">
        <v>10</v>
      </c>
      <c r="F10" s="5" t="s">
        <v>10</v>
      </c>
      <c r="G10" s="5" t="s">
        <v>10</v>
      </c>
      <c r="H10" s="5" t="s">
        <v>10</v>
      </c>
      <c r="I10" s="5" t="s">
        <v>10</v>
      </c>
      <c r="J10" s="5" t="s">
        <v>10</v>
      </c>
      <c r="K10" s="5" t="s">
        <v>10</v>
      </c>
      <c r="L10" s="5" t="s">
        <v>10</v>
      </c>
      <c r="M10" s="5" t="s">
        <v>10</v>
      </c>
      <c r="N10" s="5" t="s">
        <v>11</v>
      </c>
      <c r="O10" s="5" t="s">
        <v>11</v>
      </c>
      <c r="P10" s="5" t="s">
        <v>10</v>
      </c>
      <c r="Q10" s="5" t="s">
        <v>10</v>
      </c>
      <c r="R10" s="5" t="s">
        <v>10</v>
      </c>
      <c r="S10" s="5" t="s">
        <v>11</v>
      </c>
      <c r="T10" s="5" t="s">
        <v>11</v>
      </c>
      <c r="U10" s="5" t="s">
        <v>10</v>
      </c>
      <c r="V10" s="5" t="s">
        <v>10</v>
      </c>
      <c r="W10" s="5" t="s">
        <v>10</v>
      </c>
      <c r="X10" s="5" t="s">
        <v>10</v>
      </c>
      <c r="Y10" s="5" t="s">
        <v>10</v>
      </c>
      <c r="Z10" s="5" t="s">
        <v>10</v>
      </c>
      <c r="AA10" s="5" t="s">
        <v>10</v>
      </c>
      <c r="AB10" s="5" t="s">
        <v>10</v>
      </c>
      <c r="AC10" s="3" t="n">
        <f aca="false">COUNTIF(E10:AB10,"Absent")</f>
        <v>4</v>
      </c>
      <c r="AD10" s="3" t="n">
        <f aca="false">COUNTIF(E10:AB10,"Present")</f>
        <v>20</v>
      </c>
      <c r="AE10" s="3" t="n">
        <f aca="false">(AD10*5)+(AC10*-5)</f>
        <v>80</v>
      </c>
    </row>
    <row r="11" customFormat="false" ht="21.75" hidden="false" customHeight="true" outlineLevel="0" collapsed="false">
      <c r="A11" s="3" t="n">
        <v>10</v>
      </c>
      <c r="B11" s="3" t="s">
        <v>382</v>
      </c>
      <c r="C11" s="4" t="s">
        <v>383</v>
      </c>
      <c r="D11" s="3" t="s">
        <v>384</v>
      </c>
      <c r="E11" s="5" t="s">
        <v>10</v>
      </c>
      <c r="F11" s="5" t="s">
        <v>10</v>
      </c>
      <c r="G11" s="5" t="s">
        <v>10</v>
      </c>
      <c r="H11" s="5" t="s">
        <v>10</v>
      </c>
      <c r="I11" s="5" t="s">
        <v>10</v>
      </c>
      <c r="J11" s="5" t="s">
        <v>10</v>
      </c>
      <c r="K11" s="5" t="s">
        <v>10</v>
      </c>
      <c r="L11" s="5" t="s">
        <v>10</v>
      </c>
      <c r="M11" s="5" t="s">
        <v>10</v>
      </c>
      <c r="N11" s="5" t="s">
        <v>11</v>
      </c>
      <c r="O11" s="5" t="s">
        <v>10</v>
      </c>
      <c r="P11" s="5" t="s">
        <v>10</v>
      </c>
      <c r="Q11" s="5" t="s">
        <v>10</v>
      </c>
      <c r="R11" s="5" t="s">
        <v>10</v>
      </c>
      <c r="S11" s="5" t="s">
        <v>11</v>
      </c>
      <c r="T11" s="5" t="s">
        <v>11</v>
      </c>
      <c r="U11" s="5" t="s">
        <v>11</v>
      </c>
      <c r="V11" s="5" t="s">
        <v>11</v>
      </c>
      <c r="W11" s="5" t="s">
        <v>11</v>
      </c>
      <c r="X11" s="5" t="s">
        <v>10</v>
      </c>
      <c r="Y11" s="5" t="s">
        <v>10</v>
      </c>
      <c r="Z11" s="5" t="s">
        <v>10</v>
      </c>
      <c r="AA11" s="5" t="s">
        <v>10</v>
      </c>
      <c r="AB11" s="5" t="s">
        <v>10</v>
      </c>
      <c r="AC11" s="3" t="n">
        <f aca="false">COUNTIF(E11:AB11,"Absent")</f>
        <v>6</v>
      </c>
      <c r="AD11" s="3" t="n">
        <f aca="false">COUNTIF(E11:AB11,"Present")</f>
        <v>18</v>
      </c>
      <c r="AE11" s="3" t="n">
        <f aca="false">(AD11*5)+(AC11*-5)</f>
        <v>60</v>
      </c>
    </row>
    <row r="12" customFormat="false" ht="21.75" hidden="false" customHeight="true" outlineLevel="0" collapsed="false">
      <c r="A12" s="3" t="n">
        <v>11</v>
      </c>
      <c r="B12" s="3" t="s">
        <v>385</v>
      </c>
      <c r="C12" s="4" t="s">
        <v>386</v>
      </c>
      <c r="D12" s="3" t="s">
        <v>387</v>
      </c>
      <c r="E12" s="5" t="s">
        <v>10</v>
      </c>
      <c r="F12" s="5" t="s">
        <v>10</v>
      </c>
      <c r="G12" s="5" t="s">
        <v>10</v>
      </c>
      <c r="H12" s="5" t="s">
        <v>10</v>
      </c>
      <c r="I12" s="5" t="s">
        <v>10</v>
      </c>
      <c r="J12" s="5" t="s">
        <v>10</v>
      </c>
      <c r="K12" s="5" t="s">
        <v>10</v>
      </c>
      <c r="L12" s="5" t="s">
        <v>10</v>
      </c>
      <c r="M12" s="5" t="s">
        <v>10</v>
      </c>
      <c r="N12" s="5" t="s">
        <v>10</v>
      </c>
      <c r="O12" s="5" t="s">
        <v>10</v>
      </c>
      <c r="P12" s="5" t="s">
        <v>11</v>
      </c>
      <c r="Q12" s="5" t="s">
        <v>10</v>
      </c>
      <c r="R12" s="5" t="s">
        <v>10</v>
      </c>
      <c r="S12" s="5" t="s">
        <v>10</v>
      </c>
      <c r="T12" s="5" t="s">
        <v>10</v>
      </c>
      <c r="U12" s="5" t="s">
        <v>10</v>
      </c>
      <c r="V12" s="5" t="s">
        <v>10</v>
      </c>
      <c r="W12" s="5" t="s">
        <v>11</v>
      </c>
      <c r="X12" s="5" t="s">
        <v>10</v>
      </c>
      <c r="Y12" s="5" t="s">
        <v>10</v>
      </c>
      <c r="Z12" s="5" t="s">
        <v>10</v>
      </c>
      <c r="AA12" s="5" t="s">
        <v>10</v>
      </c>
      <c r="AB12" s="5" t="s">
        <v>10</v>
      </c>
      <c r="AC12" s="3" t="n">
        <f aca="false">COUNTIF(E12:AB12,"Absent")</f>
        <v>2</v>
      </c>
      <c r="AD12" s="3" t="n">
        <f aca="false">COUNTIF(E12:AB12,"Present")</f>
        <v>22</v>
      </c>
      <c r="AE12" s="3" t="n">
        <f aca="false">(AD12*5)+(AC12*-5)</f>
        <v>100</v>
      </c>
    </row>
    <row r="13" customFormat="false" ht="21.75" hidden="false" customHeight="true" outlineLevel="0" collapsed="false">
      <c r="A13" s="3" t="n">
        <v>12</v>
      </c>
      <c r="B13" s="3" t="s">
        <v>388</v>
      </c>
      <c r="C13" s="4" t="s">
        <v>389</v>
      </c>
      <c r="D13" s="3" t="s">
        <v>390</v>
      </c>
      <c r="E13" s="5" t="s">
        <v>10</v>
      </c>
      <c r="F13" s="5" t="s">
        <v>10</v>
      </c>
      <c r="G13" s="5" t="s">
        <v>10</v>
      </c>
      <c r="H13" s="5" t="s">
        <v>33</v>
      </c>
      <c r="I13" s="5" t="s">
        <v>10</v>
      </c>
      <c r="J13" s="5" t="s">
        <v>10</v>
      </c>
      <c r="K13" s="5" t="s">
        <v>11</v>
      </c>
      <c r="L13" s="5" t="s">
        <v>11</v>
      </c>
      <c r="M13" s="5" t="s">
        <v>11</v>
      </c>
      <c r="N13" s="5" t="s">
        <v>11</v>
      </c>
      <c r="O13" s="5" t="s">
        <v>11</v>
      </c>
      <c r="P13" s="5" t="s">
        <v>11</v>
      </c>
      <c r="Q13" s="5" t="s">
        <v>11</v>
      </c>
      <c r="R13" s="5" t="s">
        <v>11</v>
      </c>
      <c r="S13" s="5" t="s">
        <v>11</v>
      </c>
      <c r="T13" s="5" t="s">
        <v>11</v>
      </c>
      <c r="U13" s="5" t="s">
        <v>11</v>
      </c>
      <c r="V13" s="5" t="s">
        <v>11</v>
      </c>
      <c r="W13" s="5" t="s">
        <v>11</v>
      </c>
      <c r="X13" s="5" t="s">
        <v>10</v>
      </c>
      <c r="Y13" s="5" t="s">
        <v>10</v>
      </c>
      <c r="Z13" s="5" t="s">
        <v>10</v>
      </c>
      <c r="AA13" s="5" t="s">
        <v>10</v>
      </c>
      <c r="AB13" s="5" t="s">
        <v>10</v>
      </c>
      <c r="AC13" s="3" t="n">
        <f aca="false">COUNTIF(E13:AB13,"Absent")</f>
        <v>13</v>
      </c>
      <c r="AD13" s="3" t="n">
        <f aca="false">COUNTIF(E13:AB13,"Present")</f>
        <v>10</v>
      </c>
      <c r="AE13" s="3" t="n">
        <f aca="false">(AD13*5)+(AC13*-5)</f>
        <v>-15</v>
      </c>
    </row>
    <row r="14" customFormat="false" ht="21.75" hidden="false" customHeight="true" outlineLevel="0" collapsed="false">
      <c r="A14" s="3" t="n">
        <v>13</v>
      </c>
      <c r="B14" s="3" t="s">
        <v>391</v>
      </c>
      <c r="C14" s="4" t="s">
        <v>392</v>
      </c>
      <c r="D14" s="3" t="s">
        <v>393</v>
      </c>
      <c r="E14" s="5" t="s">
        <v>10</v>
      </c>
      <c r="F14" s="5" t="s">
        <v>10</v>
      </c>
      <c r="G14" s="5" t="s">
        <v>10</v>
      </c>
      <c r="H14" s="5" t="s">
        <v>10</v>
      </c>
      <c r="I14" s="5" t="s">
        <v>10</v>
      </c>
      <c r="J14" s="5" t="s">
        <v>11</v>
      </c>
      <c r="K14" s="5" t="s">
        <v>10</v>
      </c>
      <c r="L14" s="5" t="s">
        <v>10</v>
      </c>
      <c r="M14" s="5" t="s">
        <v>10</v>
      </c>
      <c r="N14" s="5" t="s">
        <v>11</v>
      </c>
      <c r="O14" s="5" t="s">
        <v>10</v>
      </c>
      <c r="P14" s="5" t="s">
        <v>10</v>
      </c>
      <c r="Q14" s="5" t="s">
        <v>10</v>
      </c>
      <c r="R14" s="5" t="s">
        <v>10</v>
      </c>
      <c r="S14" s="5" t="s">
        <v>10</v>
      </c>
      <c r="T14" s="5" t="s">
        <v>11</v>
      </c>
      <c r="U14" s="5" t="s">
        <v>11</v>
      </c>
      <c r="V14" s="5" t="s">
        <v>11</v>
      </c>
      <c r="W14" s="5" t="s">
        <v>11</v>
      </c>
      <c r="X14" s="5" t="s">
        <v>10</v>
      </c>
      <c r="Y14" s="5" t="s">
        <v>10</v>
      </c>
      <c r="Z14" s="5" t="s">
        <v>10</v>
      </c>
      <c r="AA14" s="5" t="s">
        <v>10</v>
      </c>
      <c r="AB14" s="5" t="s">
        <v>10</v>
      </c>
      <c r="AC14" s="3" t="n">
        <f aca="false">COUNTIF(E14:AB14,"Absent")</f>
        <v>6</v>
      </c>
      <c r="AD14" s="3" t="n">
        <f aca="false">COUNTIF(E14:AB14,"Present")</f>
        <v>18</v>
      </c>
      <c r="AE14" s="3" t="n">
        <f aca="false">(AD14*5)+(AC14*-5)</f>
        <v>60</v>
      </c>
    </row>
    <row r="15" customFormat="false" ht="21.75" hidden="false" customHeight="true" outlineLevel="0" collapsed="false">
      <c r="A15" s="3" t="n">
        <v>14</v>
      </c>
      <c r="B15" s="3" t="s">
        <v>394</v>
      </c>
      <c r="C15" s="4" t="s">
        <v>395</v>
      </c>
      <c r="D15" s="3" t="s">
        <v>396</v>
      </c>
      <c r="E15" s="5" t="s">
        <v>10</v>
      </c>
      <c r="F15" s="5" t="s">
        <v>10</v>
      </c>
      <c r="G15" s="5" t="s">
        <v>33</v>
      </c>
      <c r="H15" s="5" t="s">
        <v>10</v>
      </c>
      <c r="I15" s="5" t="s">
        <v>10</v>
      </c>
      <c r="J15" s="5" t="s">
        <v>10</v>
      </c>
      <c r="K15" s="5" t="s">
        <v>10</v>
      </c>
      <c r="L15" s="5" t="s">
        <v>10</v>
      </c>
      <c r="M15" s="5" t="s">
        <v>10</v>
      </c>
      <c r="N15" s="5" t="s">
        <v>10</v>
      </c>
      <c r="O15" s="5" t="s">
        <v>10</v>
      </c>
      <c r="P15" s="5" t="s">
        <v>10</v>
      </c>
      <c r="Q15" s="5" t="s">
        <v>10</v>
      </c>
      <c r="R15" s="5" t="s">
        <v>10</v>
      </c>
      <c r="S15" s="5" t="s">
        <v>11</v>
      </c>
      <c r="T15" s="5" t="s">
        <v>10</v>
      </c>
      <c r="U15" s="5" t="s">
        <v>10</v>
      </c>
      <c r="V15" s="5" t="s">
        <v>11</v>
      </c>
      <c r="W15" s="5" t="s">
        <v>10</v>
      </c>
      <c r="X15" s="5" t="s">
        <v>10</v>
      </c>
      <c r="Y15" s="5" t="s">
        <v>10</v>
      </c>
      <c r="Z15" s="5" t="s">
        <v>10</v>
      </c>
      <c r="AA15" s="5" t="s">
        <v>10</v>
      </c>
      <c r="AB15" s="5" t="s">
        <v>10</v>
      </c>
      <c r="AC15" s="3" t="n">
        <f aca="false">COUNTIF(E15:AB15,"Absent")</f>
        <v>2</v>
      </c>
      <c r="AD15" s="3" t="n">
        <f aca="false">COUNTIF(E15:AB15,"Present")</f>
        <v>21</v>
      </c>
      <c r="AE15" s="3" t="n">
        <f aca="false">(AD15*5)+(AC15*-5)</f>
        <v>95</v>
      </c>
    </row>
    <row r="16" customFormat="false" ht="21.75" hidden="false" customHeight="true" outlineLevel="0" collapsed="false">
      <c r="A16" s="3" t="n">
        <v>15</v>
      </c>
      <c r="B16" s="3" t="s">
        <v>397</v>
      </c>
      <c r="C16" s="4" t="s">
        <v>398</v>
      </c>
      <c r="D16" s="3" t="s">
        <v>399</v>
      </c>
      <c r="E16" s="5" t="s">
        <v>33</v>
      </c>
      <c r="F16" s="5" t="s">
        <v>10</v>
      </c>
      <c r="G16" s="5" t="s">
        <v>10</v>
      </c>
      <c r="H16" s="5" t="s">
        <v>10</v>
      </c>
      <c r="I16" s="5" t="s">
        <v>10</v>
      </c>
      <c r="J16" s="5" t="s">
        <v>11</v>
      </c>
      <c r="K16" s="5" t="s">
        <v>11</v>
      </c>
      <c r="L16" s="5" t="s">
        <v>10</v>
      </c>
      <c r="M16" s="5" t="s">
        <v>10</v>
      </c>
      <c r="N16" s="5" t="s">
        <v>11</v>
      </c>
      <c r="O16" s="5" t="s">
        <v>10</v>
      </c>
      <c r="P16" s="5" t="s">
        <v>10</v>
      </c>
      <c r="Q16" s="5" t="s">
        <v>11</v>
      </c>
      <c r="R16" s="5" t="s">
        <v>10</v>
      </c>
      <c r="S16" s="5" t="s">
        <v>11</v>
      </c>
      <c r="T16" s="5" t="s">
        <v>11</v>
      </c>
      <c r="U16" s="5" t="s">
        <v>11</v>
      </c>
      <c r="V16" s="5" t="s">
        <v>10</v>
      </c>
      <c r="W16" s="5" t="s">
        <v>11</v>
      </c>
      <c r="X16" s="5" t="s">
        <v>10</v>
      </c>
      <c r="Y16" s="5" t="s">
        <v>10</v>
      </c>
      <c r="Z16" s="5" t="s">
        <v>10</v>
      </c>
      <c r="AA16" s="5" t="s">
        <v>10</v>
      </c>
      <c r="AB16" s="5" t="s">
        <v>10</v>
      </c>
      <c r="AC16" s="3" t="n">
        <f aca="false">COUNTIF(E16:AB16,"Absent")</f>
        <v>8</v>
      </c>
      <c r="AD16" s="3" t="n">
        <f aca="false">COUNTIF(E16:AB16,"Present")</f>
        <v>15</v>
      </c>
      <c r="AE16" s="3" t="n">
        <f aca="false">(AD16*5)+(AC16*-5)</f>
        <v>35</v>
      </c>
    </row>
    <row r="17" customFormat="false" ht="21.75" hidden="false" customHeight="true" outlineLevel="0" collapsed="false">
      <c r="A17" s="3" t="n">
        <v>16</v>
      </c>
      <c r="B17" s="3" t="s">
        <v>400</v>
      </c>
      <c r="C17" s="4" t="s">
        <v>401</v>
      </c>
      <c r="D17" s="3" t="s">
        <v>402</v>
      </c>
      <c r="E17" s="5" t="s">
        <v>10</v>
      </c>
      <c r="F17" s="5" t="s">
        <v>33</v>
      </c>
      <c r="G17" s="5" t="s">
        <v>10</v>
      </c>
      <c r="H17" s="5" t="s">
        <v>33</v>
      </c>
      <c r="I17" s="5" t="s">
        <v>33</v>
      </c>
      <c r="J17" s="5" t="s">
        <v>33</v>
      </c>
      <c r="K17" s="5" t="s">
        <v>11</v>
      </c>
      <c r="L17" s="5" t="s">
        <v>11</v>
      </c>
      <c r="M17" s="5" t="s">
        <v>11</v>
      </c>
      <c r="N17" s="5" t="s">
        <v>11</v>
      </c>
      <c r="O17" s="5" t="s">
        <v>10</v>
      </c>
      <c r="P17" s="5" t="s">
        <v>11</v>
      </c>
      <c r="Q17" s="5" t="s">
        <v>10</v>
      </c>
      <c r="R17" s="5" t="s">
        <v>11</v>
      </c>
      <c r="S17" s="5" t="s">
        <v>11</v>
      </c>
      <c r="T17" s="5" t="s">
        <v>11</v>
      </c>
      <c r="U17" s="5" t="s">
        <v>11</v>
      </c>
      <c r="V17" s="5" t="s">
        <v>10</v>
      </c>
      <c r="W17" s="5" t="s">
        <v>11</v>
      </c>
      <c r="X17" s="5" t="s">
        <v>10</v>
      </c>
      <c r="Y17" s="5" t="s">
        <v>10</v>
      </c>
      <c r="Z17" s="5" t="s">
        <v>10</v>
      </c>
      <c r="AA17" s="5" t="s">
        <v>10</v>
      </c>
      <c r="AB17" s="5" t="s">
        <v>10</v>
      </c>
      <c r="AC17" s="3" t="n">
        <f aca="false">COUNTIF(E17:AB17,"Absent")</f>
        <v>10</v>
      </c>
      <c r="AD17" s="3" t="n">
        <f aca="false">COUNTIF(E17:AB17,"Present")</f>
        <v>10</v>
      </c>
      <c r="AE17" s="3" t="n">
        <f aca="false">(AD17*5)+(AC17*-5)</f>
        <v>0</v>
      </c>
    </row>
    <row r="18" customFormat="false" ht="21.75" hidden="false" customHeight="true" outlineLevel="0" collapsed="false">
      <c r="A18" s="3" t="n">
        <v>17</v>
      </c>
      <c r="B18" s="3" t="s">
        <v>403</v>
      </c>
      <c r="C18" s="4" t="s">
        <v>404</v>
      </c>
      <c r="D18" s="3" t="s">
        <v>405</v>
      </c>
      <c r="E18" s="5" t="s">
        <v>10</v>
      </c>
      <c r="F18" s="5" t="s">
        <v>10</v>
      </c>
      <c r="G18" s="5" t="s">
        <v>10</v>
      </c>
      <c r="H18" s="5" t="s">
        <v>10</v>
      </c>
      <c r="I18" s="5" t="s">
        <v>10</v>
      </c>
      <c r="J18" s="5" t="s">
        <v>10</v>
      </c>
      <c r="K18" s="5" t="s">
        <v>10</v>
      </c>
      <c r="L18" s="5" t="s">
        <v>10</v>
      </c>
      <c r="M18" s="5" t="s">
        <v>10</v>
      </c>
      <c r="N18" s="5" t="s">
        <v>10</v>
      </c>
      <c r="O18" s="5" t="s">
        <v>10</v>
      </c>
      <c r="P18" s="5" t="s">
        <v>10</v>
      </c>
      <c r="Q18" s="5" t="s">
        <v>10</v>
      </c>
      <c r="R18" s="5" t="s">
        <v>10</v>
      </c>
      <c r="S18" s="5" t="s">
        <v>11</v>
      </c>
      <c r="T18" s="5" t="s">
        <v>10</v>
      </c>
      <c r="U18" s="5" t="s">
        <v>11</v>
      </c>
      <c r="V18" s="5" t="s">
        <v>10</v>
      </c>
      <c r="W18" s="5" t="s">
        <v>11</v>
      </c>
      <c r="X18" s="5" t="s">
        <v>10</v>
      </c>
      <c r="Y18" s="5" t="s">
        <v>10</v>
      </c>
      <c r="Z18" s="5" t="s">
        <v>10</v>
      </c>
      <c r="AA18" s="5" t="s">
        <v>10</v>
      </c>
      <c r="AB18" s="5" t="s">
        <v>10</v>
      </c>
      <c r="AC18" s="3" t="n">
        <f aca="false">COUNTIF(E18:AB18,"Absent")</f>
        <v>3</v>
      </c>
      <c r="AD18" s="3" t="n">
        <f aca="false">COUNTIF(E18:AB18,"Present")</f>
        <v>21</v>
      </c>
      <c r="AE18" s="3" t="n">
        <f aca="false">(AD18*5)+(AC18*-5)</f>
        <v>90</v>
      </c>
    </row>
    <row r="19" customFormat="false" ht="21.75" hidden="false" customHeight="true" outlineLevel="0" collapsed="false">
      <c r="A19" s="3" t="n">
        <v>18</v>
      </c>
      <c r="B19" s="3" t="s">
        <v>406</v>
      </c>
      <c r="C19" s="4" t="s">
        <v>407</v>
      </c>
      <c r="D19" s="3" t="s">
        <v>408</v>
      </c>
      <c r="E19" s="5" t="s">
        <v>10</v>
      </c>
      <c r="F19" s="5" t="s">
        <v>10</v>
      </c>
      <c r="G19" s="5" t="s">
        <v>33</v>
      </c>
      <c r="H19" s="5" t="s">
        <v>10</v>
      </c>
      <c r="I19" s="5" t="s">
        <v>11</v>
      </c>
      <c r="J19" s="5" t="s">
        <v>10</v>
      </c>
      <c r="K19" s="5" t="s">
        <v>10</v>
      </c>
      <c r="L19" s="5" t="s">
        <v>10</v>
      </c>
      <c r="M19" s="5" t="s">
        <v>10</v>
      </c>
      <c r="N19" s="5" t="s">
        <v>10</v>
      </c>
      <c r="O19" s="5" t="s">
        <v>11</v>
      </c>
      <c r="P19" s="5" t="s">
        <v>10</v>
      </c>
      <c r="Q19" s="5" t="s">
        <v>11</v>
      </c>
      <c r="R19" s="5" t="s">
        <v>10</v>
      </c>
      <c r="S19" s="5" t="s">
        <v>11</v>
      </c>
      <c r="T19" s="5" t="s">
        <v>10</v>
      </c>
      <c r="U19" s="5" t="s">
        <v>11</v>
      </c>
      <c r="V19" s="5" t="s">
        <v>10</v>
      </c>
      <c r="W19" s="5" t="s">
        <v>11</v>
      </c>
      <c r="X19" s="5" t="s">
        <v>10</v>
      </c>
      <c r="Y19" s="5" t="s">
        <v>10</v>
      </c>
      <c r="Z19" s="5" t="s">
        <v>10</v>
      </c>
      <c r="AA19" s="5" t="s">
        <v>10</v>
      </c>
      <c r="AB19" s="5" t="s">
        <v>10</v>
      </c>
      <c r="AC19" s="3" t="n">
        <f aca="false">COUNTIF(E19:AB19,"Absent")</f>
        <v>6</v>
      </c>
      <c r="AD19" s="3" t="n">
        <f aca="false">COUNTIF(E19:AB19,"Present")</f>
        <v>17</v>
      </c>
      <c r="AE19" s="3" t="n">
        <f aca="false">(AD19*5)+(AC19*-5)</f>
        <v>55</v>
      </c>
    </row>
    <row r="20" customFormat="false" ht="21.75" hidden="false" customHeight="true" outlineLevel="0" collapsed="false">
      <c r="A20" s="3" t="n">
        <v>19</v>
      </c>
      <c r="B20" s="3" t="s">
        <v>409</v>
      </c>
      <c r="C20" s="4" t="s">
        <v>410</v>
      </c>
      <c r="D20" s="3" t="s">
        <v>411</v>
      </c>
      <c r="E20" s="5" t="s">
        <v>10</v>
      </c>
      <c r="F20" s="5" t="s">
        <v>10</v>
      </c>
      <c r="G20" s="5" t="s">
        <v>10</v>
      </c>
      <c r="H20" s="5" t="s">
        <v>10</v>
      </c>
      <c r="I20" s="5" t="s">
        <v>10</v>
      </c>
      <c r="J20" s="5" t="s">
        <v>10</v>
      </c>
      <c r="K20" s="5" t="s">
        <v>11</v>
      </c>
      <c r="L20" s="5" t="s">
        <v>10</v>
      </c>
      <c r="M20" s="5" t="s">
        <v>10</v>
      </c>
      <c r="N20" s="5" t="s">
        <v>10</v>
      </c>
      <c r="O20" s="5" t="s">
        <v>10</v>
      </c>
      <c r="P20" s="5" t="s">
        <v>11</v>
      </c>
      <c r="Q20" s="5" t="s">
        <v>10</v>
      </c>
      <c r="R20" s="5" t="s">
        <v>10</v>
      </c>
      <c r="S20" s="5" t="s">
        <v>10</v>
      </c>
      <c r="T20" s="5" t="s">
        <v>10</v>
      </c>
      <c r="U20" s="5" t="s">
        <v>10</v>
      </c>
      <c r="V20" s="5" t="s">
        <v>10</v>
      </c>
      <c r="W20" s="5" t="s">
        <v>10</v>
      </c>
      <c r="X20" s="5" t="s">
        <v>10</v>
      </c>
      <c r="Y20" s="5" t="s">
        <v>10</v>
      </c>
      <c r="Z20" s="5" t="s">
        <v>10</v>
      </c>
      <c r="AA20" s="5" t="s">
        <v>10</v>
      </c>
      <c r="AB20" s="5" t="s">
        <v>10</v>
      </c>
      <c r="AC20" s="3" t="n">
        <f aca="false">COUNTIF(E20:AB20,"Absent")</f>
        <v>2</v>
      </c>
      <c r="AD20" s="3" t="n">
        <f aca="false">COUNTIF(E20:AB20,"Present")</f>
        <v>22</v>
      </c>
      <c r="AE20" s="3" t="n">
        <f aca="false">(AD20*5)+(AC20*-5)</f>
        <v>100</v>
      </c>
    </row>
    <row r="21" customFormat="false" ht="21.75" hidden="false" customHeight="true" outlineLevel="0" collapsed="false">
      <c r="A21" s="3" t="n">
        <v>20</v>
      </c>
      <c r="B21" s="3" t="s">
        <v>412</v>
      </c>
      <c r="C21" s="4" t="s">
        <v>413</v>
      </c>
      <c r="D21" s="3" t="s">
        <v>414</v>
      </c>
      <c r="E21" s="5" t="s">
        <v>10</v>
      </c>
      <c r="F21" s="5" t="s">
        <v>10</v>
      </c>
      <c r="G21" s="5" t="s">
        <v>10</v>
      </c>
      <c r="H21" s="5" t="s">
        <v>10</v>
      </c>
      <c r="I21" s="5" t="s">
        <v>10</v>
      </c>
      <c r="J21" s="5" t="s">
        <v>10</v>
      </c>
      <c r="K21" s="5" t="s">
        <v>10</v>
      </c>
      <c r="L21" s="5" t="s">
        <v>10</v>
      </c>
      <c r="M21" s="5" t="s">
        <v>10</v>
      </c>
      <c r="N21" s="5" t="s">
        <v>10</v>
      </c>
      <c r="O21" s="5" t="s">
        <v>10</v>
      </c>
      <c r="P21" s="5" t="s">
        <v>10</v>
      </c>
      <c r="Q21" s="5" t="s">
        <v>10</v>
      </c>
      <c r="R21" s="5" t="s">
        <v>10</v>
      </c>
      <c r="S21" s="5" t="s">
        <v>10</v>
      </c>
      <c r="T21" s="5" t="s">
        <v>10</v>
      </c>
      <c r="U21" s="5" t="s">
        <v>11</v>
      </c>
      <c r="V21" s="5" t="s">
        <v>11</v>
      </c>
      <c r="W21" s="5" t="s">
        <v>10</v>
      </c>
      <c r="X21" s="5" t="s">
        <v>10</v>
      </c>
      <c r="Y21" s="5" t="s">
        <v>10</v>
      </c>
      <c r="Z21" s="5" t="s">
        <v>10</v>
      </c>
      <c r="AA21" s="5" t="s">
        <v>10</v>
      </c>
      <c r="AB21" s="5" t="s">
        <v>10</v>
      </c>
      <c r="AC21" s="3" t="n">
        <f aca="false">COUNTIF(E21:AB21,"Absent")</f>
        <v>2</v>
      </c>
      <c r="AD21" s="3" t="n">
        <f aca="false">COUNTIF(E21:AB21,"Present")</f>
        <v>22</v>
      </c>
      <c r="AE21" s="3" t="n">
        <f aca="false">(AD21*5)+(AC21*-5)</f>
        <v>100</v>
      </c>
    </row>
    <row r="22" customFormat="false" ht="21.75" hidden="false" customHeight="true" outlineLevel="0" collapsed="false">
      <c r="A22" s="3" t="n">
        <v>21</v>
      </c>
      <c r="B22" s="3" t="s">
        <v>415</v>
      </c>
      <c r="C22" s="4" t="s">
        <v>416</v>
      </c>
      <c r="D22" s="3" t="s">
        <v>417</v>
      </c>
      <c r="E22" s="5" t="s">
        <v>10</v>
      </c>
      <c r="F22" s="5" t="s">
        <v>10</v>
      </c>
      <c r="G22" s="5" t="s">
        <v>33</v>
      </c>
      <c r="H22" s="5" t="s">
        <v>10</v>
      </c>
      <c r="I22" s="5" t="s">
        <v>10</v>
      </c>
      <c r="J22" s="5" t="s">
        <v>10</v>
      </c>
      <c r="K22" s="5" t="s">
        <v>11</v>
      </c>
      <c r="L22" s="5" t="s">
        <v>10</v>
      </c>
      <c r="M22" s="5" t="s">
        <v>11</v>
      </c>
      <c r="N22" s="5" t="s">
        <v>11</v>
      </c>
      <c r="O22" s="5" t="s">
        <v>11</v>
      </c>
      <c r="P22" s="5" t="s">
        <v>11</v>
      </c>
      <c r="Q22" s="5" t="s">
        <v>10</v>
      </c>
      <c r="R22" s="5" t="s">
        <v>10</v>
      </c>
      <c r="S22" s="5" t="s">
        <v>10</v>
      </c>
      <c r="T22" s="5" t="s">
        <v>10</v>
      </c>
      <c r="U22" s="5" t="s">
        <v>10</v>
      </c>
      <c r="V22" s="5" t="s">
        <v>10</v>
      </c>
      <c r="W22" s="5" t="s">
        <v>11</v>
      </c>
      <c r="X22" s="5" t="s">
        <v>10</v>
      </c>
      <c r="Y22" s="5" t="s">
        <v>10</v>
      </c>
      <c r="Z22" s="5" t="s">
        <v>10</v>
      </c>
      <c r="AA22" s="5" t="s">
        <v>10</v>
      </c>
      <c r="AB22" s="5" t="s">
        <v>10</v>
      </c>
      <c r="AC22" s="3" t="n">
        <f aca="false">COUNTIF(E22:AB22,"Absent")</f>
        <v>6</v>
      </c>
      <c r="AD22" s="3" t="n">
        <f aca="false">COUNTIF(E22:AB22,"Present")</f>
        <v>17</v>
      </c>
      <c r="AE22" s="3" t="n">
        <f aca="false">(AD22*5)+(AC22*-5)</f>
        <v>55</v>
      </c>
    </row>
    <row r="23" customFormat="false" ht="21.75" hidden="false" customHeight="true" outlineLevel="0" collapsed="false">
      <c r="A23" s="3" t="n">
        <v>22</v>
      </c>
      <c r="B23" s="3" t="s">
        <v>418</v>
      </c>
      <c r="C23" s="4" t="s">
        <v>419</v>
      </c>
      <c r="D23" s="3" t="s">
        <v>420</v>
      </c>
      <c r="E23" s="5" t="s">
        <v>10</v>
      </c>
      <c r="F23" s="5" t="s">
        <v>10</v>
      </c>
      <c r="G23" s="5" t="s">
        <v>33</v>
      </c>
      <c r="H23" s="5" t="s">
        <v>10</v>
      </c>
      <c r="I23" s="5" t="s">
        <v>10</v>
      </c>
      <c r="J23" s="5" t="s">
        <v>11</v>
      </c>
      <c r="K23" s="5" t="s">
        <v>11</v>
      </c>
      <c r="L23" s="5" t="s">
        <v>10</v>
      </c>
      <c r="M23" s="5" t="s">
        <v>10</v>
      </c>
      <c r="N23" s="5" t="s">
        <v>11</v>
      </c>
      <c r="O23" s="5" t="s">
        <v>10</v>
      </c>
      <c r="P23" s="5" t="s">
        <v>11</v>
      </c>
      <c r="Q23" s="5" t="s">
        <v>11</v>
      </c>
      <c r="R23" s="5" t="s">
        <v>11</v>
      </c>
      <c r="S23" s="5" t="s">
        <v>11</v>
      </c>
      <c r="T23" s="5" t="s">
        <v>11</v>
      </c>
      <c r="U23" s="5" t="s">
        <v>10</v>
      </c>
      <c r="V23" s="5" t="s">
        <v>11</v>
      </c>
      <c r="W23" s="5" t="s">
        <v>11</v>
      </c>
      <c r="X23" s="5" t="s">
        <v>10</v>
      </c>
      <c r="Y23" s="5" t="s">
        <v>10</v>
      </c>
      <c r="Z23" s="5" t="s">
        <v>10</v>
      </c>
      <c r="AA23" s="5" t="s">
        <v>10</v>
      </c>
      <c r="AB23" s="5" t="s">
        <v>10</v>
      </c>
      <c r="AC23" s="3" t="n">
        <f aca="false">COUNTIF(E23:AB23,"Absent")</f>
        <v>10</v>
      </c>
      <c r="AD23" s="3" t="n">
        <f aca="false">COUNTIF(E23:AB23,"Present")</f>
        <v>13</v>
      </c>
      <c r="AE23" s="3" t="n">
        <f aca="false">(AD23*5)+(AC23*-5)</f>
        <v>15</v>
      </c>
    </row>
    <row r="24" customFormat="false" ht="21.75" hidden="false" customHeight="true" outlineLevel="0" collapsed="false">
      <c r="A24" s="3" t="n">
        <v>23</v>
      </c>
      <c r="B24" s="3" t="s">
        <v>421</v>
      </c>
      <c r="C24" s="4" t="s">
        <v>422</v>
      </c>
      <c r="D24" s="3" t="s">
        <v>423</v>
      </c>
      <c r="E24" s="5" t="s">
        <v>10</v>
      </c>
      <c r="F24" s="5" t="s">
        <v>10</v>
      </c>
      <c r="G24" s="5" t="s">
        <v>11</v>
      </c>
      <c r="H24" s="5" t="s">
        <v>11</v>
      </c>
      <c r="I24" s="5" t="s">
        <v>10</v>
      </c>
      <c r="J24" s="5" t="s">
        <v>11</v>
      </c>
      <c r="K24" s="5" t="s">
        <v>10</v>
      </c>
      <c r="L24" s="5" t="s">
        <v>10</v>
      </c>
      <c r="M24" s="5" t="s">
        <v>10</v>
      </c>
      <c r="N24" s="5" t="s">
        <v>10</v>
      </c>
      <c r="O24" s="5" t="s">
        <v>10</v>
      </c>
      <c r="P24" s="5" t="s">
        <v>10</v>
      </c>
      <c r="Q24" s="5" t="s">
        <v>10</v>
      </c>
      <c r="R24" s="5" t="s">
        <v>10</v>
      </c>
      <c r="S24" s="5" t="s">
        <v>11</v>
      </c>
      <c r="T24" s="5" t="s">
        <v>10</v>
      </c>
      <c r="U24" s="5" t="s">
        <v>10</v>
      </c>
      <c r="V24" s="5" t="s">
        <v>10</v>
      </c>
      <c r="W24" s="5" t="s">
        <v>11</v>
      </c>
      <c r="X24" s="5" t="s">
        <v>10</v>
      </c>
      <c r="Y24" s="5" t="s">
        <v>10</v>
      </c>
      <c r="Z24" s="5" t="s">
        <v>10</v>
      </c>
      <c r="AA24" s="5" t="s">
        <v>10</v>
      </c>
      <c r="AB24" s="5" t="s">
        <v>10</v>
      </c>
      <c r="AC24" s="3" t="n">
        <f aca="false">COUNTIF(E24:AB24,"Absent")</f>
        <v>5</v>
      </c>
      <c r="AD24" s="3" t="n">
        <f aca="false">COUNTIF(E24:AB24,"Present")</f>
        <v>19</v>
      </c>
      <c r="AE24" s="3" t="n">
        <f aca="false">(AD24*5)+(AC24*-5)</f>
        <v>70</v>
      </c>
    </row>
    <row r="25" customFormat="false" ht="21.75" hidden="false" customHeight="true" outlineLevel="0" collapsed="false">
      <c r="A25" s="3" t="n">
        <v>24</v>
      </c>
      <c r="B25" s="3" t="s">
        <v>424</v>
      </c>
      <c r="C25" s="4" t="s">
        <v>425</v>
      </c>
      <c r="D25" s="3" t="s">
        <v>426</v>
      </c>
      <c r="E25" s="5" t="s">
        <v>10</v>
      </c>
      <c r="F25" s="5" t="s">
        <v>11</v>
      </c>
      <c r="G25" s="5" t="s">
        <v>10</v>
      </c>
      <c r="H25" s="5" t="s">
        <v>10</v>
      </c>
      <c r="I25" s="5" t="s">
        <v>11</v>
      </c>
      <c r="J25" s="5" t="s">
        <v>11</v>
      </c>
      <c r="K25" s="5" t="s">
        <v>11</v>
      </c>
      <c r="L25" s="5" t="s">
        <v>11</v>
      </c>
      <c r="M25" s="5" t="s">
        <v>10</v>
      </c>
      <c r="N25" s="5" t="s">
        <v>10</v>
      </c>
      <c r="O25" s="5" t="s">
        <v>10</v>
      </c>
      <c r="P25" s="5" t="s">
        <v>10</v>
      </c>
      <c r="Q25" s="5" t="s">
        <v>10</v>
      </c>
      <c r="R25" s="5" t="s">
        <v>10</v>
      </c>
      <c r="S25" s="5" t="s">
        <v>11</v>
      </c>
      <c r="T25" s="5" t="s">
        <v>10</v>
      </c>
      <c r="U25" s="5" t="s">
        <v>11</v>
      </c>
      <c r="V25" s="5" t="s">
        <v>10</v>
      </c>
      <c r="W25" s="5" t="s">
        <v>11</v>
      </c>
      <c r="X25" s="5" t="s">
        <v>10</v>
      </c>
      <c r="Y25" s="5" t="s">
        <v>10</v>
      </c>
      <c r="Z25" s="5" t="s">
        <v>10</v>
      </c>
      <c r="AA25" s="5" t="s">
        <v>10</v>
      </c>
      <c r="AB25" s="5" t="s">
        <v>10</v>
      </c>
      <c r="AC25" s="3" t="n">
        <f aca="false">COUNTIF(E25:AB25,"Absent")</f>
        <v>8</v>
      </c>
      <c r="AD25" s="3" t="n">
        <f aca="false">COUNTIF(E25:AB25,"Present")</f>
        <v>16</v>
      </c>
      <c r="AE25" s="3" t="n">
        <f aca="false">(AD25*5)+(AC25*-5)</f>
        <v>40</v>
      </c>
    </row>
    <row r="26" customFormat="false" ht="21.75" hidden="false" customHeight="true" outlineLevel="0" collapsed="false">
      <c r="A26" s="3" t="n">
        <v>25</v>
      </c>
      <c r="B26" s="3" t="s">
        <v>427</v>
      </c>
      <c r="C26" s="4" t="s">
        <v>428</v>
      </c>
      <c r="D26" s="3" t="s">
        <v>429</v>
      </c>
      <c r="E26" s="5" t="s">
        <v>10</v>
      </c>
      <c r="F26" s="5" t="s">
        <v>11</v>
      </c>
      <c r="G26" s="5" t="s">
        <v>10</v>
      </c>
      <c r="H26" s="5" t="s">
        <v>10</v>
      </c>
      <c r="I26" s="5" t="s">
        <v>11</v>
      </c>
      <c r="J26" s="5" t="s">
        <v>11</v>
      </c>
      <c r="K26" s="5" t="s">
        <v>10</v>
      </c>
      <c r="L26" s="5" t="s">
        <v>11</v>
      </c>
      <c r="M26" s="5" t="s">
        <v>10</v>
      </c>
      <c r="N26" s="5" t="s">
        <v>10</v>
      </c>
      <c r="O26" s="5" t="s">
        <v>10</v>
      </c>
      <c r="P26" s="5" t="s">
        <v>10</v>
      </c>
      <c r="Q26" s="5" t="s">
        <v>10</v>
      </c>
      <c r="R26" s="5" t="s">
        <v>10</v>
      </c>
      <c r="S26" s="5" t="s">
        <v>11</v>
      </c>
      <c r="T26" s="5" t="s">
        <v>10</v>
      </c>
      <c r="U26" s="5" t="s">
        <v>10</v>
      </c>
      <c r="V26" s="5" t="s">
        <v>11</v>
      </c>
      <c r="W26" s="5" t="s">
        <v>11</v>
      </c>
      <c r="X26" s="5" t="s">
        <v>10</v>
      </c>
      <c r="Y26" s="5" t="s">
        <v>10</v>
      </c>
      <c r="Z26" s="5" t="s">
        <v>10</v>
      </c>
      <c r="AA26" s="5" t="s">
        <v>10</v>
      </c>
      <c r="AB26" s="5" t="s">
        <v>10</v>
      </c>
      <c r="AC26" s="3" t="n">
        <f aca="false">COUNTIF(E26:AB26,"Absent")</f>
        <v>7</v>
      </c>
      <c r="AD26" s="3" t="n">
        <f aca="false">COUNTIF(E26:AB26,"Present")</f>
        <v>17</v>
      </c>
      <c r="AE26" s="3" t="n">
        <f aca="false">(AD26*5)+(AC26*-5)</f>
        <v>50</v>
      </c>
    </row>
    <row r="27" customFormat="false" ht="21.75" hidden="false" customHeight="true" outlineLevel="0" collapsed="false">
      <c r="A27" s="3" t="n">
        <v>26</v>
      </c>
      <c r="B27" s="3" t="s">
        <v>430</v>
      </c>
      <c r="C27" s="4" t="s">
        <v>431</v>
      </c>
      <c r="D27" s="3" t="s">
        <v>432</v>
      </c>
      <c r="E27" s="5" t="s">
        <v>11</v>
      </c>
      <c r="F27" s="5" t="s">
        <v>33</v>
      </c>
      <c r="G27" s="5" t="s">
        <v>10</v>
      </c>
      <c r="H27" s="5" t="s">
        <v>33</v>
      </c>
      <c r="I27" s="5" t="s">
        <v>10</v>
      </c>
      <c r="J27" s="5" t="s">
        <v>11</v>
      </c>
      <c r="K27" s="5" t="s">
        <v>11</v>
      </c>
      <c r="L27" s="5" t="s">
        <v>11</v>
      </c>
      <c r="M27" s="5" t="s">
        <v>10</v>
      </c>
      <c r="N27" s="5" t="s">
        <v>10</v>
      </c>
      <c r="O27" s="5" t="s">
        <v>10</v>
      </c>
      <c r="P27" s="5" t="s">
        <v>11</v>
      </c>
      <c r="Q27" s="5" t="s">
        <v>10</v>
      </c>
      <c r="R27" s="5" t="s">
        <v>10</v>
      </c>
      <c r="S27" s="5" t="s">
        <v>11</v>
      </c>
      <c r="T27" s="5" t="s">
        <v>10</v>
      </c>
      <c r="U27" s="5" t="s">
        <v>11</v>
      </c>
      <c r="V27" s="5" t="s">
        <v>10</v>
      </c>
      <c r="W27" s="5" t="s">
        <v>11</v>
      </c>
      <c r="X27" s="5" t="s">
        <v>10</v>
      </c>
      <c r="Y27" s="5" t="s">
        <v>10</v>
      </c>
      <c r="Z27" s="5" t="s">
        <v>10</v>
      </c>
      <c r="AA27" s="5" t="s">
        <v>10</v>
      </c>
      <c r="AB27" s="5" t="s">
        <v>10</v>
      </c>
      <c r="AC27" s="3" t="n">
        <f aca="false">COUNTIF(E27:AB27,"Absent")</f>
        <v>8</v>
      </c>
      <c r="AD27" s="3" t="n">
        <f aca="false">COUNTIF(E27:AB27,"Present")</f>
        <v>14</v>
      </c>
      <c r="AE27" s="3" t="n">
        <f aca="false">(AD27*5)+(AC27*-5)</f>
        <v>30</v>
      </c>
    </row>
    <row r="28" customFormat="false" ht="21.75" hidden="false" customHeight="true" outlineLevel="0" collapsed="false">
      <c r="A28" s="3" t="n">
        <v>27</v>
      </c>
      <c r="B28" s="3" t="s">
        <v>433</v>
      </c>
      <c r="C28" s="4" t="s">
        <v>434</v>
      </c>
      <c r="D28" s="3" t="s">
        <v>435</v>
      </c>
      <c r="E28" s="5" t="s">
        <v>10</v>
      </c>
      <c r="F28" s="5" t="s">
        <v>10</v>
      </c>
      <c r="G28" s="5" t="s">
        <v>10</v>
      </c>
      <c r="H28" s="5" t="s">
        <v>10</v>
      </c>
      <c r="I28" s="5" t="s">
        <v>11</v>
      </c>
      <c r="J28" s="5" t="s">
        <v>10</v>
      </c>
      <c r="K28" s="5" t="s">
        <v>11</v>
      </c>
      <c r="L28" s="5" t="s">
        <v>10</v>
      </c>
      <c r="M28" s="5" t="s">
        <v>10</v>
      </c>
      <c r="N28" s="5" t="s">
        <v>10</v>
      </c>
      <c r="O28" s="5" t="s">
        <v>10</v>
      </c>
      <c r="P28" s="5" t="s">
        <v>10</v>
      </c>
      <c r="Q28" s="5" t="s">
        <v>11</v>
      </c>
      <c r="R28" s="5" t="s">
        <v>11</v>
      </c>
      <c r="S28" s="5" t="s">
        <v>11</v>
      </c>
      <c r="T28" s="5" t="s">
        <v>10</v>
      </c>
      <c r="U28" s="5" t="s">
        <v>10</v>
      </c>
      <c r="V28" s="5" t="s">
        <v>11</v>
      </c>
      <c r="W28" s="5" t="s">
        <v>11</v>
      </c>
      <c r="X28" s="5" t="s">
        <v>10</v>
      </c>
      <c r="Y28" s="5" t="s">
        <v>10</v>
      </c>
      <c r="Z28" s="5" t="s">
        <v>10</v>
      </c>
      <c r="AA28" s="5" t="s">
        <v>10</v>
      </c>
      <c r="AB28" s="5" t="s">
        <v>10</v>
      </c>
      <c r="AC28" s="3" t="n">
        <f aca="false">COUNTIF(E28:AB28,"Absent")</f>
        <v>7</v>
      </c>
      <c r="AD28" s="3" t="n">
        <f aca="false">COUNTIF(E28:AB28,"Present")</f>
        <v>17</v>
      </c>
      <c r="AE28" s="3" t="n">
        <f aca="false">(AD28*5)+(AC28*-5)</f>
        <v>50</v>
      </c>
    </row>
    <row r="29" customFormat="false" ht="21.75" hidden="false" customHeight="true" outlineLevel="0" collapsed="false">
      <c r="A29" s="3" t="n">
        <v>28</v>
      </c>
      <c r="B29" s="3" t="s">
        <v>436</v>
      </c>
      <c r="C29" s="4" t="s">
        <v>437</v>
      </c>
      <c r="D29" s="3" t="s">
        <v>438</v>
      </c>
      <c r="E29" s="5" t="s">
        <v>10</v>
      </c>
      <c r="F29" s="5" t="s">
        <v>10</v>
      </c>
      <c r="G29" s="5" t="s">
        <v>10</v>
      </c>
      <c r="H29" s="5" t="s">
        <v>10</v>
      </c>
      <c r="I29" s="5" t="s">
        <v>10</v>
      </c>
      <c r="J29" s="5" t="s">
        <v>10</v>
      </c>
      <c r="K29" s="5" t="s">
        <v>10</v>
      </c>
      <c r="L29" s="5" t="s">
        <v>11</v>
      </c>
      <c r="M29" s="5" t="s">
        <v>10</v>
      </c>
      <c r="N29" s="5" t="s">
        <v>10</v>
      </c>
      <c r="O29" s="5" t="s">
        <v>10</v>
      </c>
      <c r="P29" s="5" t="s">
        <v>10</v>
      </c>
      <c r="Q29" s="5" t="s">
        <v>10</v>
      </c>
      <c r="R29" s="5" t="s">
        <v>10</v>
      </c>
      <c r="S29" s="5" t="s">
        <v>10</v>
      </c>
      <c r="T29" s="5" t="s">
        <v>10</v>
      </c>
      <c r="U29" s="5" t="s">
        <v>10</v>
      </c>
      <c r="V29" s="5" t="s">
        <v>10</v>
      </c>
      <c r="W29" s="5" t="s">
        <v>10</v>
      </c>
      <c r="X29" s="5" t="s">
        <v>10</v>
      </c>
      <c r="Y29" s="5" t="s">
        <v>10</v>
      </c>
      <c r="Z29" s="5" t="s">
        <v>10</v>
      </c>
      <c r="AA29" s="5" t="s">
        <v>10</v>
      </c>
      <c r="AB29" s="5" t="s">
        <v>10</v>
      </c>
      <c r="AC29" s="3" t="n">
        <f aca="false">COUNTIF(E29:AB29,"Absent")</f>
        <v>1</v>
      </c>
      <c r="AD29" s="3" t="n">
        <f aca="false">COUNTIF(E29:AB29,"Present")</f>
        <v>23</v>
      </c>
      <c r="AE29" s="3" t="n">
        <f aca="false">(AD29*5)+(AC29*-5)</f>
        <v>110</v>
      </c>
    </row>
    <row r="30" customFormat="false" ht="21.75" hidden="false" customHeight="true" outlineLevel="0" collapsed="false">
      <c r="A30" s="3" t="n">
        <v>29</v>
      </c>
      <c r="B30" s="3" t="s">
        <v>439</v>
      </c>
      <c r="C30" s="4" t="s">
        <v>440</v>
      </c>
      <c r="D30" s="3" t="s">
        <v>441</v>
      </c>
      <c r="E30" s="5" t="s">
        <v>10</v>
      </c>
      <c r="F30" s="5" t="s">
        <v>33</v>
      </c>
      <c r="G30" s="5" t="s">
        <v>10</v>
      </c>
      <c r="H30" s="5" t="s">
        <v>10</v>
      </c>
      <c r="I30" s="5" t="s">
        <v>10</v>
      </c>
      <c r="J30" s="5" t="s">
        <v>11</v>
      </c>
      <c r="K30" s="5" t="s">
        <v>10</v>
      </c>
      <c r="L30" s="5" t="s">
        <v>10</v>
      </c>
      <c r="M30" s="5" t="s">
        <v>11</v>
      </c>
      <c r="N30" s="5" t="s">
        <v>10</v>
      </c>
      <c r="O30" s="5" t="s">
        <v>10</v>
      </c>
      <c r="P30" s="5" t="s">
        <v>10</v>
      </c>
      <c r="Q30" s="5" t="s">
        <v>10</v>
      </c>
      <c r="R30" s="5" t="s">
        <v>10</v>
      </c>
      <c r="S30" s="5" t="s">
        <v>11</v>
      </c>
      <c r="T30" s="5" t="s">
        <v>11</v>
      </c>
      <c r="U30" s="5" t="s">
        <v>11</v>
      </c>
      <c r="V30" s="5" t="s">
        <v>10</v>
      </c>
      <c r="W30" s="5" t="s">
        <v>10</v>
      </c>
      <c r="X30" s="5" t="s">
        <v>10</v>
      </c>
      <c r="Y30" s="5" t="s">
        <v>10</v>
      </c>
      <c r="Z30" s="5" t="s">
        <v>10</v>
      </c>
      <c r="AA30" s="5" t="s">
        <v>10</v>
      </c>
      <c r="AB30" s="5" t="s">
        <v>10</v>
      </c>
      <c r="AC30" s="3" t="n">
        <f aca="false">COUNTIF(E30:AB30,"Absent")</f>
        <v>5</v>
      </c>
      <c r="AD30" s="3" t="n">
        <f aca="false">COUNTIF(E30:AB30,"Present")</f>
        <v>18</v>
      </c>
      <c r="AE30" s="3" t="n">
        <f aca="false">(AD30*5)+(AC30*-5)</f>
        <v>65</v>
      </c>
    </row>
    <row r="31" customFormat="false" ht="21.75" hidden="false" customHeight="true" outlineLevel="0" collapsed="false">
      <c r="A31" s="3" t="n">
        <v>30</v>
      </c>
      <c r="B31" s="3" t="s">
        <v>442</v>
      </c>
      <c r="C31" s="4" t="s">
        <v>443</v>
      </c>
      <c r="D31" s="3" t="s">
        <v>444</v>
      </c>
      <c r="E31" s="5" t="s">
        <v>10</v>
      </c>
      <c r="F31" s="5" t="s">
        <v>33</v>
      </c>
      <c r="G31" s="5" t="s">
        <v>10</v>
      </c>
      <c r="H31" s="5" t="s">
        <v>10</v>
      </c>
      <c r="I31" s="5" t="s">
        <v>10</v>
      </c>
      <c r="J31" s="5" t="s">
        <v>11</v>
      </c>
      <c r="K31" s="5" t="s">
        <v>11</v>
      </c>
      <c r="L31" s="5" t="s">
        <v>11</v>
      </c>
      <c r="M31" s="5" t="s">
        <v>10</v>
      </c>
      <c r="N31" s="5" t="s">
        <v>10</v>
      </c>
      <c r="O31" s="5" t="s">
        <v>10</v>
      </c>
      <c r="P31" s="5" t="s">
        <v>11</v>
      </c>
      <c r="Q31" s="5" t="s">
        <v>11</v>
      </c>
      <c r="R31" s="5" t="s">
        <v>11</v>
      </c>
      <c r="S31" s="5" t="s">
        <v>10</v>
      </c>
      <c r="T31" s="5" t="s">
        <v>10</v>
      </c>
      <c r="U31" s="5" t="s">
        <v>11</v>
      </c>
      <c r="V31" s="5" t="s">
        <v>10</v>
      </c>
      <c r="W31" s="5" t="s">
        <v>11</v>
      </c>
      <c r="X31" s="5" t="s">
        <v>10</v>
      </c>
      <c r="Y31" s="5" t="s">
        <v>10</v>
      </c>
      <c r="Z31" s="5" t="s">
        <v>10</v>
      </c>
      <c r="AA31" s="5" t="s">
        <v>10</v>
      </c>
      <c r="AB31" s="5" t="s">
        <v>10</v>
      </c>
      <c r="AC31" s="3" t="n">
        <f aca="false">COUNTIF(E31:AB31,"Absent")</f>
        <v>8</v>
      </c>
      <c r="AD31" s="3" t="n">
        <f aca="false">COUNTIF(E31:AB31,"Present")</f>
        <v>15</v>
      </c>
      <c r="AE31" s="3" t="n">
        <f aca="false">(AD31*5)+(AC31*-5)</f>
        <v>35</v>
      </c>
    </row>
    <row r="32" customFormat="false" ht="21.75" hidden="false" customHeight="true" outlineLevel="0" collapsed="false">
      <c r="A32" s="3" t="n">
        <v>31</v>
      </c>
      <c r="B32" s="3" t="s">
        <v>445</v>
      </c>
      <c r="C32" s="4" t="s">
        <v>446</v>
      </c>
      <c r="D32" s="3" t="s">
        <v>447</v>
      </c>
      <c r="E32" s="5" t="s">
        <v>10</v>
      </c>
      <c r="F32" s="5" t="s">
        <v>10</v>
      </c>
      <c r="G32" s="5" t="s">
        <v>10</v>
      </c>
      <c r="H32" s="5" t="s">
        <v>10</v>
      </c>
      <c r="I32" s="5" t="s">
        <v>10</v>
      </c>
      <c r="J32" s="5" t="s">
        <v>10</v>
      </c>
      <c r="K32" s="5" t="s">
        <v>10</v>
      </c>
      <c r="L32" s="5" t="s">
        <v>10</v>
      </c>
      <c r="M32" s="5" t="s">
        <v>10</v>
      </c>
      <c r="N32" s="5" t="s">
        <v>10</v>
      </c>
      <c r="O32" s="5" t="s">
        <v>10</v>
      </c>
      <c r="P32" s="5" t="s">
        <v>10</v>
      </c>
      <c r="Q32" s="5" t="s">
        <v>10</v>
      </c>
      <c r="R32" s="5" t="s">
        <v>10</v>
      </c>
      <c r="S32" s="5" t="s">
        <v>10</v>
      </c>
      <c r="T32" s="5" t="s">
        <v>10</v>
      </c>
      <c r="U32" s="5" t="s">
        <v>11</v>
      </c>
      <c r="V32" s="5" t="s">
        <v>10</v>
      </c>
      <c r="W32" s="5" t="s">
        <v>10</v>
      </c>
      <c r="X32" s="5" t="s">
        <v>10</v>
      </c>
      <c r="Y32" s="5" t="s">
        <v>10</v>
      </c>
      <c r="Z32" s="5" t="s">
        <v>10</v>
      </c>
      <c r="AA32" s="5" t="s">
        <v>10</v>
      </c>
      <c r="AB32" s="5" t="s">
        <v>10</v>
      </c>
      <c r="AC32" s="3" t="n">
        <f aca="false">COUNTIF(E32:AB32,"Absent")</f>
        <v>1</v>
      </c>
      <c r="AD32" s="3" t="n">
        <f aca="false">COUNTIF(E32:AB32,"Present")</f>
        <v>23</v>
      </c>
      <c r="AE32" s="3" t="n">
        <f aca="false">(AD32*5)+(AC32*-5)</f>
        <v>110</v>
      </c>
    </row>
    <row r="33" customFormat="false" ht="21.75" hidden="false" customHeight="true" outlineLevel="0" collapsed="false">
      <c r="A33" s="3" t="n">
        <v>32</v>
      </c>
      <c r="B33" s="3" t="s">
        <v>448</v>
      </c>
      <c r="C33" s="4" t="s">
        <v>449</v>
      </c>
      <c r="D33" s="3" t="s">
        <v>450</v>
      </c>
      <c r="E33" s="5" t="s">
        <v>11</v>
      </c>
      <c r="F33" s="5" t="s">
        <v>11</v>
      </c>
      <c r="G33" s="5" t="s">
        <v>10</v>
      </c>
      <c r="H33" s="5" t="s">
        <v>10</v>
      </c>
      <c r="I33" s="5" t="s">
        <v>10</v>
      </c>
      <c r="J33" s="5" t="s">
        <v>10</v>
      </c>
      <c r="K33" s="5" t="s">
        <v>11</v>
      </c>
      <c r="L33" s="5" t="s">
        <v>10</v>
      </c>
      <c r="M33" s="5" t="s">
        <v>11</v>
      </c>
      <c r="N33" s="5" t="s">
        <v>10</v>
      </c>
      <c r="O33" s="5" t="s">
        <v>11</v>
      </c>
      <c r="P33" s="5" t="s">
        <v>11</v>
      </c>
      <c r="Q33" s="5" t="s">
        <v>10</v>
      </c>
      <c r="R33" s="5" t="s">
        <v>11</v>
      </c>
      <c r="S33" s="5" t="s">
        <v>11</v>
      </c>
      <c r="T33" s="5" t="s">
        <v>11</v>
      </c>
      <c r="U33" s="5" t="s">
        <v>11</v>
      </c>
      <c r="V33" s="5" t="s">
        <v>11</v>
      </c>
      <c r="W33" s="5" t="s">
        <v>11</v>
      </c>
      <c r="X33" s="5" t="s">
        <v>10</v>
      </c>
      <c r="Y33" s="5" t="s">
        <v>10</v>
      </c>
      <c r="Z33" s="5" t="s">
        <v>10</v>
      </c>
      <c r="AA33" s="5" t="s">
        <v>10</v>
      </c>
      <c r="AB33" s="5" t="s">
        <v>10</v>
      </c>
      <c r="AC33" s="3" t="n">
        <f aca="false">COUNTIF(E33:AB33,"Absent")</f>
        <v>12</v>
      </c>
      <c r="AD33" s="3" t="n">
        <f aca="false">COUNTIF(E33:AB33,"Present")</f>
        <v>12</v>
      </c>
      <c r="AE33" s="3" t="n">
        <f aca="false">(AD33*5)+(AC33*-5)</f>
        <v>0</v>
      </c>
    </row>
    <row r="34" customFormat="false" ht="21.75" hidden="false" customHeight="true" outlineLevel="0" collapsed="false">
      <c r="A34" s="3" t="n">
        <v>33</v>
      </c>
      <c r="B34" s="3" t="s">
        <v>451</v>
      </c>
      <c r="C34" s="4" t="s">
        <v>452</v>
      </c>
      <c r="D34" s="3" t="s">
        <v>453</v>
      </c>
      <c r="E34" s="5" t="s">
        <v>11</v>
      </c>
      <c r="F34" s="5" t="s">
        <v>11</v>
      </c>
      <c r="G34" s="5" t="s">
        <v>33</v>
      </c>
      <c r="H34" s="5" t="s">
        <v>10</v>
      </c>
      <c r="I34" s="5" t="s">
        <v>11</v>
      </c>
      <c r="J34" s="5" t="s">
        <v>10</v>
      </c>
      <c r="K34" s="5" t="s">
        <v>10</v>
      </c>
      <c r="L34" s="5" t="s">
        <v>10</v>
      </c>
      <c r="M34" s="5" t="s">
        <v>10</v>
      </c>
      <c r="N34" s="5" t="s">
        <v>11</v>
      </c>
      <c r="O34" s="5" t="s">
        <v>10</v>
      </c>
      <c r="P34" s="5" t="s">
        <v>10</v>
      </c>
      <c r="Q34" s="5" t="s">
        <v>11</v>
      </c>
      <c r="R34" s="5" t="s">
        <v>10</v>
      </c>
      <c r="S34" s="5" t="s">
        <v>11</v>
      </c>
      <c r="T34" s="5" t="s">
        <v>10</v>
      </c>
      <c r="U34" s="5" t="s">
        <v>10</v>
      </c>
      <c r="V34" s="5" t="s">
        <v>10</v>
      </c>
      <c r="W34" s="5" t="s">
        <v>10</v>
      </c>
      <c r="X34" s="5" t="s">
        <v>10</v>
      </c>
      <c r="Y34" s="5" t="s">
        <v>10</v>
      </c>
      <c r="Z34" s="5" t="s">
        <v>10</v>
      </c>
      <c r="AA34" s="5" t="s">
        <v>10</v>
      </c>
      <c r="AB34" s="5" t="s">
        <v>10</v>
      </c>
      <c r="AC34" s="3" t="n">
        <f aca="false">COUNTIF(E34:AB34,"Absent")</f>
        <v>6</v>
      </c>
      <c r="AD34" s="3" t="n">
        <f aca="false">COUNTIF(E34:AB34,"Present")</f>
        <v>17</v>
      </c>
      <c r="AE34" s="3" t="n">
        <f aca="false">(AD34*5)+(AC34*-5)</f>
        <v>55</v>
      </c>
    </row>
    <row r="35" customFormat="false" ht="21.75" hidden="false" customHeight="true" outlineLevel="0" collapsed="false">
      <c r="A35" s="3" t="n">
        <v>34</v>
      </c>
      <c r="B35" s="3" t="s">
        <v>454</v>
      </c>
      <c r="C35" s="4" t="s">
        <v>455</v>
      </c>
      <c r="D35" s="3" t="s">
        <v>456</v>
      </c>
      <c r="E35" s="5" t="s">
        <v>11</v>
      </c>
      <c r="F35" s="5" t="s">
        <v>10</v>
      </c>
      <c r="G35" s="5" t="s">
        <v>10</v>
      </c>
      <c r="H35" s="5" t="s">
        <v>11</v>
      </c>
      <c r="I35" s="5" t="s">
        <v>10</v>
      </c>
      <c r="J35" s="5" t="s">
        <v>10</v>
      </c>
      <c r="K35" s="5" t="s">
        <v>11</v>
      </c>
      <c r="L35" s="5" t="s">
        <v>10</v>
      </c>
      <c r="M35" s="5" t="s">
        <v>11</v>
      </c>
      <c r="N35" s="5" t="s">
        <v>11</v>
      </c>
      <c r="O35" s="5" t="s">
        <v>10</v>
      </c>
      <c r="P35" s="5" t="s">
        <v>11</v>
      </c>
      <c r="Q35" s="5" t="s">
        <v>10</v>
      </c>
      <c r="R35" s="5" t="s">
        <v>10</v>
      </c>
      <c r="S35" s="5" t="s">
        <v>10</v>
      </c>
      <c r="T35" s="5" t="s">
        <v>10</v>
      </c>
      <c r="U35" s="5" t="s">
        <v>10</v>
      </c>
      <c r="V35" s="5" t="s">
        <v>11</v>
      </c>
      <c r="W35" s="5" t="s">
        <v>10</v>
      </c>
      <c r="X35" s="5" t="s">
        <v>10</v>
      </c>
      <c r="Y35" s="5" t="s">
        <v>10</v>
      </c>
      <c r="Z35" s="5" t="s">
        <v>10</v>
      </c>
      <c r="AA35" s="5" t="s">
        <v>10</v>
      </c>
      <c r="AB35" s="5" t="s">
        <v>10</v>
      </c>
      <c r="AC35" s="3" t="n">
        <f aca="false">COUNTIF(E35:AB35,"Absent")</f>
        <v>7</v>
      </c>
      <c r="AD35" s="3" t="n">
        <f aca="false">COUNTIF(E35:AB35,"Present")</f>
        <v>17</v>
      </c>
      <c r="AE35" s="3" t="n">
        <f aca="false">(AD35*5)+(AC35*-5)</f>
        <v>50</v>
      </c>
    </row>
    <row r="36" customFormat="false" ht="21.75" hidden="false" customHeight="true" outlineLevel="0" collapsed="false">
      <c r="A36" s="3" t="n">
        <v>35</v>
      </c>
      <c r="B36" s="3" t="s">
        <v>457</v>
      </c>
      <c r="C36" s="4" t="s">
        <v>458</v>
      </c>
      <c r="D36" s="3" t="s">
        <v>459</v>
      </c>
      <c r="E36" s="5" t="s">
        <v>10</v>
      </c>
      <c r="F36" s="5" t="s">
        <v>10</v>
      </c>
      <c r="G36" s="5" t="s">
        <v>11</v>
      </c>
      <c r="H36" s="5" t="s">
        <v>10</v>
      </c>
      <c r="I36" s="5" t="s">
        <v>10</v>
      </c>
      <c r="J36" s="5" t="s">
        <v>11</v>
      </c>
      <c r="K36" s="5" t="s">
        <v>10</v>
      </c>
      <c r="L36" s="5" t="s">
        <v>10</v>
      </c>
      <c r="M36" s="5" t="s">
        <v>10</v>
      </c>
      <c r="N36" s="5" t="s">
        <v>10</v>
      </c>
      <c r="O36" s="5" t="s">
        <v>11</v>
      </c>
      <c r="P36" s="5" t="s">
        <v>10</v>
      </c>
      <c r="Q36" s="5" t="s">
        <v>10</v>
      </c>
      <c r="R36" s="5" t="s">
        <v>10</v>
      </c>
      <c r="S36" s="5" t="s">
        <v>10</v>
      </c>
      <c r="T36" s="5" t="s">
        <v>11</v>
      </c>
      <c r="U36" s="5" t="s">
        <v>10</v>
      </c>
      <c r="V36" s="5" t="s">
        <v>10</v>
      </c>
      <c r="W36" s="5" t="s">
        <v>10</v>
      </c>
      <c r="X36" s="5" t="s">
        <v>10</v>
      </c>
      <c r="Y36" s="5" t="s">
        <v>10</v>
      </c>
      <c r="Z36" s="5" t="s">
        <v>10</v>
      </c>
      <c r="AA36" s="5" t="s">
        <v>10</v>
      </c>
      <c r="AB36" s="5" t="s">
        <v>10</v>
      </c>
      <c r="AC36" s="3" t="n">
        <f aca="false">COUNTIF(E36:AB36,"Absent")</f>
        <v>4</v>
      </c>
      <c r="AD36" s="3" t="n">
        <f aca="false">COUNTIF(E36:AB36,"Present")</f>
        <v>20</v>
      </c>
      <c r="AE36" s="3" t="n">
        <f aca="false">(AD36*5)+(AC36*-5)</f>
        <v>80</v>
      </c>
    </row>
    <row r="37" customFormat="false" ht="21.75" hidden="false" customHeight="true" outlineLevel="0" collapsed="false">
      <c r="A37" s="3" t="n">
        <v>36</v>
      </c>
      <c r="B37" s="3" t="s">
        <v>460</v>
      </c>
      <c r="C37" s="4" t="s">
        <v>461</v>
      </c>
      <c r="D37" s="3" t="s">
        <v>462</v>
      </c>
      <c r="E37" s="5" t="s">
        <v>11</v>
      </c>
      <c r="F37" s="5" t="s">
        <v>10</v>
      </c>
      <c r="G37" s="5" t="s">
        <v>33</v>
      </c>
      <c r="H37" s="5" t="s">
        <v>10</v>
      </c>
      <c r="I37" s="5" t="s">
        <v>10</v>
      </c>
      <c r="J37" s="5" t="s">
        <v>10</v>
      </c>
      <c r="K37" s="5" t="s">
        <v>10</v>
      </c>
      <c r="L37" s="5" t="s">
        <v>10</v>
      </c>
      <c r="M37" s="5" t="s">
        <v>10</v>
      </c>
      <c r="N37" s="5" t="s">
        <v>10</v>
      </c>
      <c r="O37" s="5" t="s">
        <v>10</v>
      </c>
      <c r="P37" s="5" t="s">
        <v>10</v>
      </c>
      <c r="Q37" s="5" t="s">
        <v>11</v>
      </c>
      <c r="R37" s="5" t="s">
        <v>10</v>
      </c>
      <c r="S37" s="5" t="s">
        <v>11</v>
      </c>
      <c r="T37" s="5" t="s">
        <v>11</v>
      </c>
      <c r="U37" s="5" t="s">
        <v>11</v>
      </c>
      <c r="V37" s="5" t="s">
        <v>10</v>
      </c>
      <c r="W37" s="5" t="s">
        <v>11</v>
      </c>
      <c r="X37" s="5" t="s">
        <v>10</v>
      </c>
      <c r="Y37" s="5" t="s">
        <v>10</v>
      </c>
      <c r="Z37" s="5" t="s">
        <v>10</v>
      </c>
      <c r="AA37" s="5" t="s">
        <v>10</v>
      </c>
      <c r="AB37" s="5" t="s">
        <v>10</v>
      </c>
      <c r="AC37" s="3" t="n">
        <f aca="false">COUNTIF(E37:AB37,"Absent")</f>
        <v>6</v>
      </c>
      <c r="AD37" s="3" t="n">
        <f aca="false">COUNTIF(E37:AB37,"Present")</f>
        <v>17</v>
      </c>
      <c r="AE37" s="3" t="n">
        <f aca="false">(AD37*5)+(AC37*-5)</f>
        <v>55</v>
      </c>
    </row>
    <row r="38" customFormat="false" ht="21.75" hidden="false" customHeight="true" outlineLevel="0" collapsed="false">
      <c r="A38" s="3" t="n">
        <v>37</v>
      </c>
      <c r="B38" s="3" t="s">
        <v>463</v>
      </c>
      <c r="C38" s="4" t="s">
        <v>464</v>
      </c>
      <c r="D38" s="3" t="s">
        <v>465</v>
      </c>
      <c r="E38" s="3" t="s">
        <v>33</v>
      </c>
      <c r="F38" s="3" t="s">
        <v>10</v>
      </c>
      <c r="G38" s="3" t="s">
        <v>10</v>
      </c>
      <c r="H38" s="3" t="s">
        <v>11</v>
      </c>
      <c r="I38" s="3" t="s">
        <v>11</v>
      </c>
      <c r="J38" s="3" t="s">
        <v>11</v>
      </c>
      <c r="K38" s="3" t="s">
        <v>10</v>
      </c>
      <c r="L38" s="3" t="s">
        <v>10</v>
      </c>
      <c r="M38" s="5" t="s">
        <v>10</v>
      </c>
      <c r="N38" s="5" t="s">
        <v>10</v>
      </c>
      <c r="O38" s="5" t="s">
        <v>10</v>
      </c>
      <c r="P38" s="5" t="s">
        <v>10</v>
      </c>
      <c r="Q38" s="5" t="s">
        <v>10</v>
      </c>
      <c r="R38" s="5" t="s">
        <v>10</v>
      </c>
      <c r="S38" s="5" t="s">
        <v>11</v>
      </c>
      <c r="T38" s="5" t="s">
        <v>10</v>
      </c>
      <c r="U38" s="5" t="s">
        <v>10</v>
      </c>
      <c r="V38" s="5" t="s">
        <v>10</v>
      </c>
      <c r="W38" s="5" t="s">
        <v>10</v>
      </c>
      <c r="X38" s="5" t="s">
        <v>10</v>
      </c>
      <c r="Y38" s="5" t="s">
        <v>10</v>
      </c>
      <c r="Z38" s="5" t="s">
        <v>10</v>
      </c>
      <c r="AA38" s="5" t="s">
        <v>10</v>
      </c>
      <c r="AB38" s="5" t="s">
        <v>10</v>
      </c>
      <c r="AC38" s="3" t="n">
        <f aca="false">COUNTIF(E38:AB38,"Absent")</f>
        <v>4</v>
      </c>
      <c r="AD38" s="3" t="n">
        <f aca="false">COUNTIF(E38:AB38,"Present")</f>
        <v>19</v>
      </c>
      <c r="AE38" s="3" t="n">
        <f aca="false">(AD38*5)+(AC38*-5)</f>
        <v>75</v>
      </c>
    </row>
  </sheetData>
  <autoFilter ref="A1:AE38"/>
  <conditionalFormatting sqref="AC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conditionalFormatting sqref="AC1:AE1">
    <cfRule type="cellIs" priority="4" operator="equal" aboveAverage="0" equalAverage="0" bottom="0" percent="0" rank="0" text="" dxfId="9">
      <formula>"Present"</formula>
    </cfRule>
    <cfRule type="cellIs" priority="5" operator="equal" aboveAverage="0" equalAverage="0" bottom="0" percent="0" rank="0" text="" dxfId="10">
      <formula>"Absent"</formula>
    </cfRule>
  </conditionalFormatting>
  <conditionalFormatting sqref="Q2:AB38">
    <cfRule type="cellIs" priority="6" operator="equal" aboveAverage="0" equalAverage="0" bottom="0" percent="0" rank="0" text="" dxfId="9">
      <formula>"Present"</formula>
    </cfRule>
    <cfRule type="cellIs" priority="7" operator="equal" aboveAverage="0" equalAverage="0" bottom="0" percent="0" rank="0" text="" dxfId="10">
      <formula>"Absent"</formula>
    </cfRule>
  </conditionalFormatting>
  <conditionalFormatting sqref="I3:I28 I34:I37">
    <cfRule type="cellIs" priority="8" operator="equal" aboveAverage="0" equalAverage="0" bottom="0" percent="0" rank="0" text="" dxfId="9">
      <formula>"Present"</formula>
    </cfRule>
    <cfRule type="cellIs" priority="9" operator="equal" aboveAverage="0" equalAverage="0" bottom="0" percent="0" rank="0" text="" dxfId="10">
      <formula>"Absent"</formula>
    </cfRule>
  </conditionalFormatting>
  <conditionalFormatting sqref="S1:AB1">
    <cfRule type="cellIs" priority="10" operator="equal" aboveAverage="0" equalAverage="0" bottom="0" percent="0" rank="0" text="" dxfId="9">
      <formula>"Present"</formula>
    </cfRule>
    <cfRule type="cellIs" priority="11" operator="equal" aboveAverage="0" equalAverage="0" bottom="0" percent="0" rank="0" text="" dxfId="10">
      <formula>"Absent"</formula>
    </cfRule>
  </conditionalFormatting>
  <conditionalFormatting sqref="Q1">
    <cfRule type="cellIs" priority="12" operator="equal" aboveAverage="0" equalAverage="0" bottom="0" percent="0" rank="0" text="" dxfId="9">
      <formula>"Present"</formula>
    </cfRule>
    <cfRule type="cellIs" priority="13" operator="equal" aboveAverage="0" equalAverage="0" bottom="0" percent="0" rank="0" text="" dxfId="10">
      <formula>"Absent"</formula>
    </cfRule>
  </conditionalFormatting>
  <conditionalFormatting sqref="Q1:R1">
    <cfRule type="cellIs" priority="14" operator="equal" aboveAverage="0" equalAverage="0" bottom="0" percent="0" rank="0" text="" dxfId="9">
      <formula>"Present"</formula>
    </cfRule>
    <cfRule type="cellIs" priority="15" operator="equal" aboveAverage="0" equalAverage="0" bottom="0" percent="0" rank="0" text="" dxfId="10">
      <formula>"Absent"</formula>
    </cfRule>
  </conditionalFormatting>
  <conditionalFormatting sqref="A1:P1 E2:P2 E3:H37 I29:I33 J3:M37 M38 N3:P38">
    <cfRule type="cellIs" priority="16" operator="equal" aboveAverage="0" equalAverage="0" bottom="0" percent="0" rank="0" text="" dxfId="9">
      <formula>"Present"</formula>
    </cfRule>
    <cfRule type="cellIs" priority="17" operator="equal" aboveAverage="0" equalAverage="0" bottom="0" percent="0" rank="0" text="" dxfId="10">
      <formula>"Absent"</formula>
    </cfRule>
  </conditionalFormatting>
  <dataValidations count="2">
    <dataValidation allowBlank="true" errorStyle="stop" operator="between" showDropDown="false" showErrorMessage="true" showInputMessage="true" sqref="E1:AE1" type="list">
      <formula1>$A$1:$AE$1</formula1>
      <formula2>0</formula2>
    </dataValidation>
    <dataValidation allowBlank="true" errorStyle="stop" operator="between" showDropDown="false" showErrorMessage="true" showInputMessage="true" sqref="E2:AB37 M38:AB38" type="list">
      <formula1>"Present,Absent,Excused absence"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42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C2" activeCellId="0" sqref="AC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31" min="5" style="0" width="13"/>
    <col collapsed="false" customWidth="true" hidden="false" outlineLevel="0" max="32" min="32" style="0" width="16.43"/>
    <col collapsed="false" customWidth="true" hidden="false" outlineLevel="0" max="33" min="33" style="0" width="13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n">
        <v>45931</v>
      </c>
      <c r="F1" s="2" t="n">
        <v>45936</v>
      </c>
      <c r="G1" s="2" t="n">
        <v>45937</v>
      </c>
      <c r="H1" s="2" t="n">
        <v>45938</v>
      </c>
      <c r="I1" s="2" t="n">
        <v>45943</v>
      </c>
      <c r="J1" s="2" t="n">
        <v>45945</v>
      </c>
      <c r="K1" s="2" t="n">
        <v>45950</v>
      </c>
      <c r="L1" s="2" t="n">
        <v>45952</v>
      </c>
      <c r="M1" s="2" t="n">
        <v>45957</v>
      </c>
      <c r="N1" s="2" t="n">
        <v>45959</v>
      </c>
      <c r="O1" s="2" t="n">
        <v>45964</v>
      </c>
      <c r="P1" s="2" t="n">
        <v>45966</v>
      </c>
      <c r="Q1" s="2" t="n">
        <v>45971</v>
      </c>
      <c r="R1" s="2" t="n">
        <v>45973</v>
      </c>
      <c r="S1" s="2" t="n">
        <v>45992</v>
      </c>
      <c r="T1" s="2" t="n">
        <v>45994</v>
      </c>
      <c r="U1" s="2" t="n">
        <v>45999</v>
      </c>
      <c r="V1" s="2" t="n">
        <v>46001</v>
      </c>
      <c r="W1" s="2" t="n">
        <v>46006</v>
      </c>
      <c r="X1" s="2" t="n">
        <v>46008</v>
      </c>
      <c r="Y1" s="2" t="n">
        <v>46013</v>
      </c>
      <c r="Z1" s="2" t="n">
        <v>46015</v>
      </c>
      <c r="AA1" s="2" t="n">
        <v>46020</v>
      </c>
      <c r="AB1" s="2" t="n">
        <v>45961</v>
      </c>
      <c r="AC1" s="1" t="s">
        <v>4</v>
      </c>
      <c r="AD1" s="1" t="s">
        <v>5</v>
      </c>
      <c r="AE1" s="1" t="s">
        <v>6</v>
      </c>
    </row>
    <row r="2" customFormat="false" ht="21.75" hidden="false" customHeight="true" outlineLevel="0" collapsed="false">
      <c r="A2" s="3" t="n">
        <v>1</v>
      </c>
      <c r="B2" s="3" t="s">
        <v>466</v>
      </c>
      <c r="C2" s="4" t="s">
        <v>467</v>
      </c>
      <c r="D2" s="3" t="s">
        <v>468</v>
      </c>
      <c r="E2" s="5" t="s">
        <v>10</v>
      </c>
      <c r="F2" s="5" t="s">
        <v>10</v>
      </c>
      <c r="G2" s="5" t="s">
        <v>10</v>
      </c>
      <c r="H2" s="5" t="s">
        <v>10</v>
      </c>
      <c r="I2" s="5" t="s">
        <v>10</v>
      </c>
      <c r="J2" s="5" t="s">
        <v>10</v>
      </c>
      <c r="K2" s="5" t="s">
        <v>10</v>
      </c>
      <c r="L2" s="5" t="s">
        <v>10</v>
      </c>
      <c r="M2" s="5" t="s">
        <v>11</v>
      </c>
      <c r="N2" s="5" t="s">
        <v>10</v>
      </c>
      <c r="O2" s="5" t="s">
        <v>10</v>
      </c>
      <c r="P2" s="5" t="s">
        <v>10</v>
      </c>
      <c r="Q2" s="5" t="s">
        <v>10</v>
      </c>
      <c r="R2" s="5" t="s">
        <v>10</v>
      </c>
      <c r="S2" s="5" t="s">
        <v>11</v>
      </c>
      <c r="T2" s="5" t="s">
        <v>11</v>
      </c>
      <c r="U2" s="5" t="s">
        <v>11</v>
      </c>
      <c r="V2" s="5" t="s">
        <v>10</v>
      </c>
      <c r="W2" s="5" t="s">
        <v>11</v>
      </c>
      <c r="X2" s="5" t="s">
        <v>11</v>
      </c>
      <c r="Y2" s="5" t="s">
        <v>11</v>
      </c>
      <c r="Z2" s="5" t="s">
        <v>33</v>
      </c>
      <c r="AA2" s="5" t="s">
        <v>11</v>
      </c>
      <c r="AB2" s="5" t="s">
        <v>10</v>
      </c>
      <c r="AC2" s="3" t="n">
        <f aca="false">COUNTIF(E2:AB2,"Absent")</f>
        <v>8</v>
      </c>
      <c r="AD2" s="3" t="n">
        <f aca="false">COUNTIF(E2:AB2,"Present")</f>
        <v>15</v>
      </c>
      <c r="AE2" s="3" t="n">
        <f aca="false">(AD2*5)+(AC2*-5)</f>
        <v>35</v>
      </c>
    </row>
    <row r="3" customFormat="false" ht="21.75" hidden="false" customHeight="true" outlineLevel="0" collapsed="false">
      <c r="A3" s="3" t="n">
        <v>2</v>
      </c>
      <c r="B3" s="3" t="s">
        <v>469</v>
      </c>
      <c r="C3" s="4" t="s">
        <v>470</v>
      </c>
      <c r="D3" s="3" t="s">
        <v>471</v>
      </c>
      <c r="E3" s="5" t="s">
        <v>10</v>
      </c>
      <c r="F3" s="5" t="s">
        <v>10</v>
      </c>
      <c r="G3" s="5" t="s">
        <v>11</v>
      </c>
      <c r="H3" s="5" t="s">
        <v>10</v>
      </c>
      <c r="I3" s="5" t="s">
        <v>10</v>
      </c>
      <c r="J3" s="5" t="s">
        <v>11</v>
      </c>
      <c r="K3" s="5" t="s">
        <v>10</v>
      </c>
      <c r="L3" s="5" t="s">
        <v>10</v>
      </c>
      <c r="M3" s="5" t="s">
        <v>10</v>
      </c>
      <c r="N3" s="5" t="s">
        <v>10</v>
      </c>
      <c r="O3" s="5" t="s">
        <v>10</v>
      </c>
      <c r="P3" s="5" t="s">
        <v>10</v>
      </c>
      <c r="Q3" s="5" t="s">
        <v>10</v>
      </c>
      <c r="R3" s="5" t="s">
        <v>11</v>
      </c>
      <c r="S3" s="5" t="s">
        <v>11</v>
      </c>
      <c r="T3" s="5" t="s">
        <v>10</v>
      </c>
      <c r="U3" s="5" t="s">
        <v>11</v>
      </c>
      <c r="V3" s="5" t="s">
        <v>10</v>
      </c>
      <c r="W3" s="5" t="s">
        <v>11</v>
      </c>
      <c r="X3" s="5" t="s">
        <v>11</v>
      </c>
      <c r="Y3" s="5" t="s">
        <v>10</v>
      </c>
      <c r="Z3" s="5" t="s">
        <v>10</v>
      </c>
      <c r="AA3" s="5" t="s">
        <v>10</v>
      </c>
      <c r="AB3" s="5" t="s">
        <v>10</v>
      </c>
      <c r="AC3" s="3" t="n">
        <f aca="false">COUNTIF(E3:AB3,"Absent")</f>
        <v>7</v>
      </c>
      <c r="AD3" s="3" t="n">
        <f aca="false">COUNTIF(E3:AB3,"Present")</f>
        <v>17</v>
      </c>
      <c r="AE3" s="3" t="n">
        <f aca="false">(AD3*5)+(AC3*-5)</f>
        <v>50</v>
      </c>
    </row>
    <row r="4" customFormat="false" ht="21.75" hidden="false" customHeight="true" outlineLevel="0" collapsed="false">
      <c r="A4" s="3" t="n">
        <v>3</v>
      </c>
      <c r="B4" s="3" t="s">
        <v>472</v>
      </c>
      <c r="C4" s="4" t="s">
        <v>473</v>
      </c>
      <c r="D4" s="3" t="s">
        <v>474</v>
      </c>
      <c r="E4" s="5" t="s">
        <v>10</v>
      </c>
      <c r="F4" s="5" t="s">
        <v>11</v>
      </c>
      <c r="G4" s="5" t="s">
        <v>11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  <c r="M4" s="5" t="s">
        <v>10</v>
      </c>
      <c r="N4" s="5" t="s">
        <v>11</v>
      </c>
      <c r="O4" s="5" t="s">
        <v>10</v>
      </c>
      <c r="P4" s="5" t="s">
        <v>10</v>
      </c>
      <c r="Q4" s="5" t="s">
        <v>11</v>
      </c>
      <c r="R4" s="5" t="s">
        <v>11</v>
      </c>
      <c r="S4" s="5" t="s">
        <v>11</v>
      </c>
      <c r="T4" s="5" t="s">
        <v>11</v>
      </c>
      <c r="U4" s="5" t="s">
        <v>11</v>
      </c>
      <c r="V4" s="5" t="s">
        <v>11</v>
      </c>
      <c r="W4" s="5" t="s">
        <v>11</v>
      </c>
      <c r="X4" s="5" t="s">
        <v>10</v>
      </c>
      <c r="Y4" s="5" t="s">
        <v>10</v>
      </c>
      <c r="Z4" s="5" t="s">
        <v>10</v>
      </c>
      <c r="AA4" s="5" t="s">
        <v>10</v>
      </c>
      <c r="AB4" s="5" t="s">
        <v>10</v>
      </c>
      <c r="AC4" s="3" t="n">
        <f aca="false">COUNTIF(E4:AB4,"Absent")</f>
        <v>10</v>
      </c>
      <c r="AD4" s="3" t="n">
        <f aca="false">COUNTIF(E4:AB4,"Present")</f>
        <v>14</v>
      </c>
      <c r="AE4" s="3" t="n">
        <f aca="false">(AD4*5)+(AC4*-5)</f>
        <v>20</v>
      </c>
    </row>
    <row r="5" customFormat="false" ht="21.75" hidden="false" customHeight="true" outlineLevel="0" collapsed="false">
      <c r="A5" s="3" t="n">
        <v>4</v>
      </c>
      <c r="B5" s="3" t="s">
        <v>475</v>
      </c>
      <c r="C5" s="4" t="s">
        <v>476</v>
      </c>
      <c r="D5" s="3" t="s">
        <v>477</v>
      </c>
      <c r="E5" s="5" t="s">
        <v>11</v>
      </c>
      <c r="F5" s="5" t="s">
        <v>10</v>
      </c>
      <c r="G5" s="5" t="s">
        <v>11</v>
      </c>
      <c r="H5" s="5" t="s">
        <v>11</v>
      </c>
      <c r="I5" s="5" t="s">
        <v>11</v>
      </c>
      <c r="J5" s="5" t="s">
        <v>10</v>
      </c>
      <c r="K5" s="5" t="s">
        <v>11</v>
      </c>
      <c r="L5" s="5" t="s">
        <v>11</v>
      </c>
      <c r="M5" s="5" t="s">
        <v>10</v>
      </c>
      <c r="N5" s="5" t="s">
        <v>11</v>
      </c>
      <c r="O5" s="5" t="s">
        <v>11</v>
      </c>
      <c r="P5" s="5" t="s">
        <v>10</v>
      </c>
      <c r="Q5" s="5" t="s">
        <v>11</v>
      </c>
      <c r="R5" s="5" t="s">
        <v>11</v>
      </c>
      <c r="S5" s="5" t="s">
        <v>11</v>
      </c>
      <c r="T5" s="5" t="s">
        <v>11</v>
      </c>
      <c r="U5" s="5" t="s">
        <v>10</v>
      </c>
      <c r="V5" s="5" t="s">
        <v>11</v>
      </c>
      <c r="W5" s="5" t="s">
        <v>11</v>
      </c>
      <c r="X5" s="5" t="s">
        <v>10</v>
      </c>
      <c r="Y5" s="5" t="s">
        <v>11</v>
      </c>
      <c r="Z5" s="5" t="s">
        <v>10</v>
      </c>
      <c r="AA5" s="5" t="s">
        <v>10</v>
      </c>
      <c r="AB5" s="5" t="s">
        <v>10</v>
      </c>
      <c r="AC5" s="3" t="n">
        <f aca="false">COUNTIF(E5:AB5,"Absent")</f>
        <v>15</v>
      </c>
      <c r="AD5" s="3" t="n">
        <f aca="false">COUNTIF(E5:AB5,"Present")</f>
        <v>9</v>
      </c>
      <c r="AE5" s="3" t="n">
        <f aca="false">(AD5*5)+(AC5*-5)</f>
        <v>-30</v>
      </c>
    </row>
    <row r="6" customFormat="false" ht="21.75" hidden="false" customHeight="true" outlineLevel="0" collapsed="false">
      <c r="A6" s="3" t="n">
        <v>5</v>
      </c>
      <c r="B6" s="3" t="s">
        <v>478</v>
      </c>
      <c r="C6" s="4" t="s">
        <v>479</v>
      </c>
      <c r="D6" s="3" t="s">
        <v>480</v>
      </c>
      <c r="E6" s="5" t="s">
        <v>10</v>
      </c>
      <c r="F6" s="5" t="s">
        <v>11</v>
      </c>
      <c r="G6" s="5" t="s">
        <v>10</v>
      </c>
      <c r="H6" s="5" t="s">
        <v>10</v>
      </c>
      <c r="I6" s="5" t="s">
        <v>10</v>
      </c>
      <c r="J6" s="5" t="s">
        <v>10</v>
      </c>
      <c r="K6" s="5" t="s">
        <v>11</v>
      </c>
      <c r="L6" s="5" t="s">
        <v>10</v>
      </c>
      <c r="M6" s="5" t="s">
        <v>10</v>
      </c>
      <c r="N6" s="5" t="s">
        <v>10</v>
      </c>
      <c r="O6" s="5" t="s">
        <v>10</v>
      </c>
      <c r="P6" s="5" t="s">
        <v>11</v>
      </c>
      <c r="Q6" s="5" t="s">
        <v>10</v>
      </c>
      <c r="R6" s="5" t="s">
        <v>10</v>
      </c>
      <c r="S6" s="5" t="s">
        <v>11</v>
      </c>
      <c r="T6" s="5" t="s">
        <v>10</v>
      </c>
      <c r="U6" s="5" t="s">
        <v>11</v>
      </c>
      <c r="V6" s="5" t="s">
        <v>10</v>
      </c>
      <c r="W6" s="5" t="s">
        <v>10</v>
      </c>
      <c r="X6" s="5" t="s">
        <v>10</v>
      </c>
      <c r="Y6" s="5" t="s">
        <v>33</v>
      </c>
      <c r="Z6" s="5" t="s">
        <v>10</v>
      </c>
      <c r="AA6" s="5" t="s">
        <v>11</v>
      </c>
      <c r="AB6" s="5" t="s">
        <v>10</v>
      </c>
      <c r="AC6" s="3" t="n">
        <f aca="false">COUNTIF(E6:AB6,"Absent")</f>
        <v>6</v>
      </c>
      <c r="AD6" s="3" t="n">
        <f aca="false">COUNTIF(E6:AB6,"Present")</f>
        <v>17</v>
      </c>
      <c r="AE6" s="3" t="n">
        <f aca="false">(AD6*5)+(AC6*-5)</f>
        <v>55</v>
      </c>
    </row>
    <row r="7" customFormat="false" ht="21.75" hidden="false" customHeight="true" outlineLevel="0" collapsed="false">
      <c r="A7" s="6" t="n">
        <v>6</v>
      </c>
      <c r="B7" s="9" t="s">
        <v>481</v>
      </c>
      <c r="C7" s="6" t="s">
        <v>482</v>
      </c>
      <c r="D7" s="9" t="s">
        <v>483</v>
      </c>
      <c r="E7" s="5" t="s">
        <v>10</v>
      </c>
      <c r="F7" s="5" t="s">
        <v>10</v>
      </c>
      <c r="G7" s="5" t="s">
        <v>10</v>
      </c>
      <c r="H7" s="5" t="s">
        <v>10</v>
      </c>
      <c r="I7" s="5" t="s">
        <v>11</v>
      </c>
      <c r="J7" s="5" t="s">
        <v>10</v>
      </c>
      <c r="K7" s="5" t="s">
        <v>10</v>
      </c>
      <c r="L7" s="5" t="s">
        <v>10</v>
      </c>
      <c r="M7" s="5" t="s">
        <v>10</v>
      </c>
      <c r="N7" s="5" t="s">
        <v>10</v>
      </c>
      <c r="O7" s="5" t="s">
        <v>10</v>
      </c>
      <c r="P7" s="5" t="s">
        <v>10</v>
      </c>
      <c r="Q7" s="5" t="s">
        <v>10</v>
      </c>
      <c r="R7" s="5" t="s">
        <v>11</v>
      </c>
      <c r="S7" s="5" t="s">
        <v>11</v>
      </c>
      <c r="T7" s="5" t="s">
        <v>11</v>
      </c>
      <c r="U7" s="5" t="s">
        <v>11</v>
      </c>
      <c r="V7" s="5" t="s">
        <v>11</v>
      </c>
      <c r="W7" s="5" t="s">
        <v>11</v>
      </c>
      <c r="X7" s="5" t="s">
        <v>10</v>
      </c>
      <c r="Y7" s="5" t="s">
        <v>10</v>
      </c>
      <c r="Z7" s="5" t="s">
        <v>10</v>
      </c>
      <c r="AA7" s="5" t="s">
        <v>10</v>
      </c>
      <c r="AB7" s="5" t="s">
        <v>11</v>
      </c>
      <c r="AC7" s="3" t="n">
        <f aca="false">COUNTIF(E7:AB7,"Absent")</f>
        <v>8</v>
      </c>
      <c r="AD7" s="3" t="n">
        <f aca="false">COUNTIF(E7:AB7,"Present")</f>
        <v>16</v>
      </c>
      <c r="AE7" s="3" t="n">
        <f aca="false">(AD7*5)+(AC7*-5)</f>
        <v>40</v>
      </c>
    </row>
    <row r="8" customFormat="false" ht="21.75" hidden="false" customHeight="true" outlineLevel="0" collapsed="false">
      <c r="A8" s="3" t="n">
        <v>7</v>
      </c>
      <c r="B8" s="3" t="s">
        <v>484</v>
      </c>
      <c r="C8" s="4" t="s">
        <v>485</v>
      </c>
      <c r="D8" s="3" t="s">
        <v>486</v>
      </c>
      <c r="E8" s="5" t="s">
        <v>10</v>
      </c>
      <c r="F8" s="5" t="s">
        <v>11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10</v>
      </c>
      <c r="L8" s="5" t="s">
        <v>10</v>
      </c>
      <c r="M8" s="5" t="s">
        <v>10</v>
      </c>
      <c r="N8" s="5" t="s">
        <v>10</v>
      </c>
      <c r="O8" s="5" t="s">
        <v>10</v>
      </c>
      <c r="P8" s="5" t="s">
        <v>11</v>
      </c>
      <c r="Q8" s="5" t="s">
        <v>11</v>
      </c>
      <c r="R8" s="5" t="s">
        <v>10</v>
      </c>
      <c r="S8" s="5" t="s">
        <v>11</v>
      </c>
      <c r="T8" s="5" t="s">
        <v>10</v>
      </c>
      <c r="U8" s="5" t="s">
        <v>11</v>
      </c>
      <c r="V8" s="5" t="s">
        <v>10</v>
      </c>
      <c r="W8" s="5" t="s">
        <v>11</v>
      </c>
      <c r="X8" s="5" t="s">
        <v>10</v>
      </c>
      <c r="Y8" s="5" t="s">
        <v>11</v>
      </c>
      <c r="Z8" s="5" t="s">
        <v>10</v>
      </c>
      <c r="AA8" s="5" t="s">
        <v>33</v>
      </c>
      <c r="AB8" s="5" t="s">
        <v>10</v>
      </c>
      <c r="AC8" s="3" t="n">
        <f aca="false">COUNTIF(E8:AB8,"Absent")</f>
        <v>7</v>
      </c>
      <c r="AD8" s="3" t="n">
        <f aca="false">COUNTIF(E8:AB8,"Present")</f>
        <v>16</v>
      </c>
      <c r="AE8" s="3" t="n">
        <f aca="false">(AD8*5)+(AC8*-5)</f>
        <v>45</v>
      </c>
    </row>
    <row r="9" customFormat="false" ht="21.75" hidden="false" customHeight="true" outlineLevel="0" collapsed="false">
      <c r="A9" s="3" t="n">
        <v>8</v>
      </c>
      <c r="B9" s="3" t="s">
        <v>487</v>
      </c>
      <c r="C9" s="4" t="s">
        <v>488</v>
      </c>
      <c r="D9" s="3" t="s">
        <v>489</v>
      </c>
      <c r="E9" s="5" t="s">
        <v>10</v>
      </c>
      <c r="F9" s="5" t="s">
        <v>10</v>
      </c>
      <c r="G9" s="5" t="s">
        <v>10</v>
      </c>
      <c r="H9" s="5" t="s">
        <v>10</v>
      </c>
      <c r="I9" s="5" t="s">
        <v>10</v>
      </c>
      <c r="J9" s="5" t="s">
        <v>10</v>
      </c>
      <c r="K9" s="5" t="s">
        <v>10</v>
      </c>
      <c r="L9" s="5" t="s">
        <v>10</v>
      </c>
      <c r="M9" s="5" t="s">
        <v>10</v>
      </c>
      <c r="N9" s="5" t="s">
        <v>10</v>
      </c>
      <c r="O9" s="5" t="s">
        <v>10</v>
      </c>
      <c r="P9" s="5" t="s">
        <v>11</v>
      </c>
      <c r="Q9" s="5" t="s">
        <v>10</v>
      </c>
      <c r="R9" s="5" t="s">
        <v>10</v>
      </c>
      <c r="S9" s="5" t="s">
        <v>10</v>
      </c>
      <c r="T9" s="5" t="s">
        <v>10</v>
      </c>
      <c r="U9" s="5" t="s">
        <v>11</v>
      </c>
      <c r="V9" s="5" t="s">
        <v>11</v>
      </c>
      <c r="W9" s="5" t="s">
        <v>11</v>
      </c>
      <c r="X9" s="5" t="s">
        <v>10</v>
      </c>
      <c r="Y9" s="5" t="s">
        <v>11</v>
      </c>
      <c r="Z9" s="5" t="s">
        <v>10</v>
      </c>
      <c r="AA9" s="5" t="s">
        <v>10</v>
      </c>
      <c r="AB9" s="5" t="s">
        <v>11</v>
      </c>
      <c r="AC9" s="3" t="n">
        <f aca="false">COUNTIF(E9:AB9,"Absent")</f>
        <v>6</v>
      </c>
      <c r="AD9" s="3" t="n">
        <f aca="false">COUNTIF(E9:AB9,"Present")</f>
        <v>18</v>
      </c>
      <c r="AE9" s="3" t="n">
        <f aca="false">(AD9*5)+(AC9*-5)</f>
        <v>60</v>
      </c>
    </row>
    <row r="10" customFormat="false" ht="21.75" hidden="false" customHeight="true" outlineLevel="0" collapsed="false">
      <c r="A10" s="3" t="n">
        <v>9</v>
      </c>
      <c r="B10" s="3" t="s">
        <v>490</v>
      </c>
      <c r="C10" s="4" t="s">
        <v>491</v>
      </c>
      <c r="D10" s="3" t="s">
        <v>492</v>
      </c>
      <c r="E10" s="5" t="s">
        <v>10</v>
      </c>
      <c r="F10" s="5" t="s">
        <v>10</v>
      </c>
      <c r="G10" s="5" t="s">
        <v>10</v>
      </c>
      <c r="H10" s="5" t="s">
        <v>10</v>
      </c>
      <c r="I10" s="5" t="s">
        <v>10</v>
      </c>
      <c r="J10" s="5" t="s">
        <v>10</v>
      </c>
      <c r="K10" s="5" t="s">
        <v>10</v>
      </c>
      <c r="L10" s="5" t="s">
        <v>10</v>
      </c>
      <c r="M10" s="5" t="s">
        <v>10</v>
      </c>
      <c r="N10" s="5" t="s">
        <v>10</v>
      </c>
      <c r="O10" s="5" t="s">
        <v>10</v>
      </c>
      <c r="P10" s="5" t="s">
        <v>10</v>
      </c>
      <c r="Q10" s="5" t="s">
        <v>11</v>
      </c>
      <c r="R10" s="5" t="s">
        <v>11</v>
      </c>
      <c r="S10" s="5" t="s">
        <v>10</v>
      </c>
      <c r="T10" s="5" t="s">
        <v>10</v>
      </c>
      <c r="U10" s="5" t="s">
        <v>11</v>
      </c>
      <c r="V10" s="5" t="s">
        <v>11</v>
      </c>
      <c r="W10" s="5" t="s">
        <v>11</v>
      </c>
      <c r="X10" s="5" t="s">
        <v>10</v>
      </c>
      <c r="Y10" s="5" t="s">
        <v>10</v>
      </c>
      <c r="Z10" s="5" t="s">
        <v>10</v>
      </c>
      <c r="AA10" s="5" t="s">
        <v>11</v>
      </c>
      <c r="AB10" s="5" t="s">
        <v>10</v>
      </c>
      <c r="AC10" s="3" t="n">
        <f aca="false">COUNTIF(E10:AB10,"Absent")</f>
        <v>6</v>
      </c>
      <c r="AD10" s="3" t="n">
        <f aca="false">COUNTIF(E10:AB10,"Present")</f>
        <v>18</v>
      </c>
      <c r="AE10" s="3" t="n">
        <f aca="false">(AD10*5)+(AC10*-5)</f>
        <v>60</v>
      </c>
    </row>
    <row r="11" customFormat="false" ht="21.75" hidden="false" customHeight="true" outlineLevel="0" collapsed="false">
      <c r="A11" s="3" t="n">
        <v>10</v>
      </c>
      <c r="B11" s="3" t="s">
        <v>493</v>
      </c>
      <c r="C11" s="4" t="s">
        <v>494</v>
      </c>
      <c r="D11" s="3" t="s">
        <v>495</v>
      </c>
      <c r="E11" s="5" t="s">
        <v>10</v>
      </c>
      <c r="F11" s="5" t="s">
        <v>10</v>
      </c>
      <c r="G11" s="5" t="s">
        <v>10</v>
      </c>
      <c r="H11" s="5" t="s">
        <v>10</v>
      </c>
      <c r="I11" s="5" t="s">
        <v>10</v>
      </c>
      <c r="J11" s="5" t="s">
        <v>10</v>
      </c>
      <c r="K11" s="5" t="s">
        <v>10</v>
      </c>
      <c r="L11" s="5" t="s">
        <v>10</v>
      </c>
      <c r="M11" s="5" t="s">
        <v>10</v>
      </c>
      <c r="N11" s="5" t="s">
        <v>10</v>
      </c>
      <c r="O11" s="5" t="s">
        <v>10</v>
      </c>
      <c r="P11" s="5" t="s">
        <v>10</v>
      </c>
      <c r="Q11" s="5" t="s">
        <v>10</v>
      </c>
      <c r="R11" s="5" t="s">
        <v>10</v>
      </c>
      <c r="S11" s="5" t="s">
        <v>10</v>
      </c>
      <c r="T11" s="5" t="s">
        <v>10</v>
      </c>
      <c r="U11" s="5" t="s">
        <v>10</v>
      </c>
      <c r="V11" s="5" t="s">
        <v>10</v>
      </c>
      <c r="W11" s="5" t="s">
        <v>11</v>
      </c>
      <c r="X11" s="5" t="s">
        <v>10</v>
      </c>
      <c r="Y11" s="5" t="s">
        <v>10</v>
      </c>
      <c r="Z11" s="5" t="s">
        <v>11</v>
      </c>
      <c r="AA11" s="5" t="s">
        <v>11</v>
      </c>
      <c r="AB11" s="5" t="s">
        <v>10</v>
      </c>
      <c r="AC11" s="3" t="n">
        <f aca="false">COUNTIF(E11:AB11,"Absent")</f>
        <v>3</v>
      </c>
      <c r="AD11" s="3" t="n">
        <f aca="false">COUNTIF(E11:AB11,"Present")</f>
        <v>21</v>
      </c>
      <c r="AE11" s="3" t="n">
        <f aca="false">(AD11*5)+(AC11*-5)</f>
        <v>90</v>
      </c>
    </row>
    <row r="12" customFormat="false" ht="21.75" hidden="false" customHeight="true" outlineLevel="0" collapsed="false">
      <c r="A12" s="3" t="n">
        <v>11</v>
      </c>
      <c r="B12" s="3" t="s">
        <v>496</v>
      </c>
      <c r="C12" s="4" t="s">
        <v>497</v>
      </c>
      <c r="D12" s="3" t="s">
        <v>498</v>
      </c>
      <c r="E12" s="5" t="s">
        <v>10</v>
      </c>
      <c r="F12" s="5" t="s">
        <v>10</v>
      </c>
      <c r="G12" s="5" t="s">
        <v>10</v>
      </c>
      <c r="H12" s="5" t="s">
        <v>10</v>
      </c>
      <c r="I12" s="5" t="s">
        <v>10</v>
      </c>
      <c r="J12" s="5" t="s">
        <v>10</v>
      </c>
      <c r="K12" s="5" t="s">
        <v>10</v>
      </c>
      <c r="L12" s="5" t="s">
        <v>10</v>
      </c>
      <c r="M12" s="5" t="s">
        <v>10</v>
      </c>
      <c r="N12" s="5" t="s">
        <v>11</v>
      </c>
      <c r="O12" s="5" t="s">
        <v>10</v>
      </c>
      <c r="P12" s="5" t="s">
        <v>10</v>
      </c>
      <c r="Q12" s="5" t="s">
        <v>11</v>
      </c>
      <c r="R12" s="5" t="s">
        <v>10</v>
      </c>
      <c r="S12" s="5" t="s">
        <v>10</v>
      </c>
      <c r="T12" s="5" t="s">
        <v>10</v>
      </c>
      <c r="U12" s="5" t="s">
        <v>11</v>
      </c>
      <c r="V12" s="5" t="s">
        <v>10</v>
      </c>
      <c r="W12" s="5" t="s">
        <v>11</v>
      </c>
      <c r="X12" s="5" t="s">
        <v>11</v>
      </c>
      <c r="Y12" s="5" t="s">
        <v>10</v>
      </c>
      <c r="Z12" s="5" t="s">
        <v>10</v>
      </c>
      <c r="AA12" s="5" t="s">
        <v>10</v>
      </c>
      <c r="AB12" s="5" t="s">
        <v>10</v>
      </c>
      <c r="AC12" s="3" t="n">
        <f aca="false">COUNTIF(E12:AB12,"Absent")</f>
        <v>5</v>
      </c>
      <c r="AD12" s="3" t="n">
        <f aca="false">COUNTIF(E12:AB12,"Present")</f>
        <v>19</v>
      </c>
      <c r="AE12" s="3" t="n">
        <f aca="false">(AD12*5)+(AC12*-5)</f>
        <v>70</v>
      </c>
    </row>
    <row r="13" customFormat="false" ht="21.75" hidden="false" customHeight="true" outlineLevel="0" collapsed="false">
      <c r="A13" s="3" t="n">
        <v>12</v>
      </c>
      <c r="B13" s="3" t="s">
        <v>499</v>
      </c>
      <c r="C13" s="4" t="s">
        <v>500</v>
      </c>
      <c r="D13" s="3" t="s">
        <v>501</v>
      </c>
      <c r="E13" s="5" t="s">
        <v>33</v>
      </c>
      <c r="F13" s="5" t="s">
        <v>10</v>
      </c>
      <c r="G13" s="5" t="s">
        <v>10</v>
      </c>
      <c r="H13" s="5" t="s">
        <v>10</v>
      </c>
      <c r="I13" s="5" t="s">
        <v>10</v>
      </c>
      <c r="J13" s="5" t="s">
        <v>10</v>
      </c>
      <c r="K13" s="5" t="s">
        <v>11</v>
      </c>
      <c r="L13" s="5" t="s">
        <v>10</v>
      </c>
      <c r="M13" s="5" t="s">
        <v>10</v>
      </c>
      <c r="N13" s="5" t="s">
        <v>10</v>
      </c>
      <c r="O13" s="5" t="s">
        <v>10</v>
      </c>
      <c r="P13" s="5" t="s">
        <v>10</v>
      </c>
      <c r="Q13" s="5" t="s">
        <v>10</v>
      </c>
      <c r="R13" s="5" t="s">
        <v>10</v>
      </c>
      <c r="S13" s="5" t="s">
        <v>11</v>
      </c>
      <c r="T13" s="5" t="s">
        <v>11</v>
      </c>
      <c r="U13" s="5" t="s">
        <v>10</v>
      </c>
      <c r="V13" s="5" t="s">
        <v>10</v>
      </c>
      <c r="W13" s="5" t="s">
        <v>10</v>
      </c>
      <c r="X13" s="5" t="s">
        <v>11</v>
      </c>
      <c r="Y13" s="5" t="s">
        <v>10</v>
      </c>
      <c r="Z13" s="5" t="s">
        <v>10</v>
      </c>
      <c r="AA13" s="5" t="s">
        <v>11</v>
      </c>
      <c r="AB13" s="5" t="s">
        <v>10</v>
      </c>
      <c r="AC13" s="3" t="n">
        <f aca="false">COUNTIF(E13:AB13,"Absent")</f>
        <v>5</v>
      </c>
      <c r="AD13" s="3" t="n">
        <f aca="false">COUNTIF(E13:AB13,"Present")</f>
        <v>18</v>
      </c>
      <c r="AE13" s="3" t="n">
        <f aca="false">(AD13*5)+(AC13*-5)</f>
        <v>65</v>
      </c>
    </row>
    <row r="14" customFormat="false" ht="21.75" hidden="false" customHeight="true" outlineLevel="0" collapsed="false">
      <c r="A14" s="3" t="n">
        <v>13</v>
      </c>
      <c r="B14" s="3" t="s">
        <v>502</v>
      </c>
      <c r="C14" s="4" t="s">
        <v>503</v>
      </c>
      <c r="D14" s="3" t="s">
        <v>504</v>
      </c>
      <c r="E14" s="5" t="s">
        <v>10</v>
      </c>
      <c r="F14" s="5" t="s">
        <v>10</v>
      </c>
      <c r="G14" s="5" t="s">
        <v>11</v>
      </c>
      <c r="H14" s="5" t="s">
        <v>10</v>
      </c>
      <c r="I14" s="5" t="s">
        <v>10</v>
      </c>
      <c r="J14" s="5" t="s">
        <v>10</v>
      </c>
      <c r="K14" s="5" t="s">
        <v>10</v>
      </c>
      <c r="L14" s="5" t="s">
        <v>10</v>
      </c>
      <c r="M14" s="5" t="s">
        <v>10</v>
      </c>
      <c r="N14" s="5" t="s">
        <v>10</v>
      </c>
      <c r="O14" s="5" t="s">
        <v>10</v>
      </c>
      <c r="P14" s="5" t="s">
        <v>11</v>
      </c>
      <c r="Q14" s="5" t="s">
        <v>10</v>
      </c>
      <c r="R14" s="5" t="s">
        <v>10</v>
      </c>
      <c r="S14" s="5" t="s">
        <v>10</v>
      </c>
      <c r="T14" s="5" t="s">
        <v>11</v>
      </c>
      <c r="U14" s="5" t="s">
        <v>11</v>
      </c>
      <c r="V14" s="5" t="s">
        <v>10</v>
      </c>
      <c r="W14" s="5" t="s">
        <v>11</v>
      </c>
      <c r="X14" s="5" t="s">
        <v>33</v>
      </c>
      <c r="Y14" s="5" t="s">
        <v>10</v>
      </c>
      <c r="Z14" s="5" t="s">
        <v>11</v>
      </c>
      <c r="AA14" s="5" t="s">
        <v>10</v>
      </c>
      <c r="AB14" s="5" t="s">
        <v>10</v>
      </c>
      <c r="AC14" s="3" t="n">
        <f aca="false">COUNTIF(E14:AB14,"Absent")</f>
        <v>6</v>
      </c>
      <c r="AD14" s="3" t="n">
        <f aca="false">COUNTIF(E14:AB14,"Present")</f>
        <v>17</v>
      </c>
      <c r="AE14" s="3" t="n">
        <f aca="false">(AD14*5)+(AC14*-5)</f>
        <v>55</v>
      </c>
    </row>
    <row r="15" customFormat="false" ht="21.75" hidden="false" customHeight="true" outlineLevel="0" collapsed="false">
      <c r="A15" s="3" t="n">
        <v>14</v>
      </c>
      <c r="B15" s="3" t="s">
        <v>505</v>
      </c>
      <c r="C15" s="4" t="s">
        <v>506</v>
      </c>
      <c r="D15" s="3" t="s">
        <v>507</v>
      </c>
      <c r="E15" s="5" t="s">
        <v>10</v>
      </c>
      <c r="F15" s="5" t="s">
        <v>10</v>
      </c>
      <c r="G15" s="5" t="s">
        <v>10</v>
      </c>
      <c r="H15" s="5" t="s">
        <v>10</v>
      </c>
      <c r="I15" s="5" t="s">
        <v>10</v>
      </c>
      <c r="J15" s="5" t="s">
        <v>10</v>
      </c>
      <c r="K15" s="5" t="s">
        <v>10</v>
      </c>
      <c r="L15" s="5" t="s">
        <v>11</v>
      </c>
      <c r="M15" s="5" t="s">
        <v>10</v>
      </c>
      <c r="N15" s="5" t="s">
        <v>10</v>
      </c>
      <c r="O15" s="5" t="s">
        <v>10</v>
      </c>
      <c r="P15" s="5" t="s">
        <v>11</v>
      </c>
      <c r="Q15" s="5" t="s">
        <v>10</v>
      </c>
      <c r="R15" s="5" t="s">
        <v>11</v>
      </c>
      <c r="S15" s="5" t="s">
        <v>11</v>
      </c>
      <c r="T15" s="5" t="s">
        <v>10</v>
      </c>
      <c r="U15" s="5" t="s">
        <v>10</v>
      </c>
      <c r="V15" s="5" t="s">
        <v>11</v>
      </c>
      <c r="W15" s="5" t="s">
        <v>10</v>
      </c>
      <c r="X15" s="5" t="s">
        <v>10</v>
      </c>
      <c r="Y15" s="5" t="s">
        <v>10</v>
      </c>
      <c r="Z15" s="5" t="s">
        <v>11</v>
      </c>
      <c r="AA15" s="5" t="s">
        <v>11</v>
      </c>
      <c r="AB15" s="5" t="s">
        <v>10</v>
      </c>
      <c r="AC15" s="3" t="n">
        <f aca="false">COUNTIF(E15:AB15,"Absent")</f>
        <v>7</v>
      </c>
      <c r="AD15" s="3" t="n">
        <f aca="false">COUNTIF(E15:AB15,"Present")</f>
        <v>17</v>
      </c>
      <c r="AE15" s="3" t="n">
        <f aca="false">(AD15*5)+(AC15*-5)</f>
        <v>50</v>
      </c>
    </row>
    <row r="16" customFormat="false" ht="21.75" hidden="false" customHeight="true" outlineLevel="0" collapsed="false">
      <c r="A16" s="3" t="n">
        <v>15</v>
      </c>
      <c r="B16" s="3" t="s">
        <v>508</v>
      </c>
      <c r="C16" s="4" t="s">
        <v>509</v>
      </c>
      <c r="D16" s="3" t="s">
        <v>510</v>
      </c>
      <c r="E16" s="5" t="s">
        <v>10</v>
      </c>
      <c r="F16" s="5" t="s">
        <v>10</v>
      </c>
      <c r="G16" s="5" t="s">
        <v>10</v>
      </c>
      <c r="H16" s="5" t="s">
        <v>11</v>
      </c>
      <c r="I16" s="5" t="s">
        <v>10</v>
      </c>
      <c r="J16" s="5" t="s">
        <v>10</v>
      </c>
      <c r="K16" s="5" t="s">
        <v>11</v>
      </c>
      <c r="L16" s="5" t="s">
        <v>11</v>
      </c>
      <c r="M16" s="5" t="s">
        <v>10</v>
      </c>
      <c r="N16" s="5" t="s">
        <v>10</v>
      </c>
      <c r="O16" s="5" t="s">
        <v>10</v>
      </c>
      <c r="P16" s="5" t="s">
        <v>10</v>
      </c>
      <c r="Q16" s="5" t="s">
        <v>10</v>
      </c>
      <c r="R16" s="5" t="s">
        <v>10</v>
      </c>
      <c r="S16" s="5" t="s">
        <v>11</v>
      </c>
      <c r="T16" s="5" t="s">
        <v>11</v>
      </c>
      <c r="U16" s="5" t="s">
        <v>11</v>
      </c>
      <c r="V16" s="5" t="s">
        <v>10</v>
      </c>
      <c r="W16" s="5" t="s">
        <v>11</v>
      </c>
      <c r="X16" s="5" t="s">
        <v>10</v>
      </c>
      <c r="Y16" s="5" t="s">
        <v>10</v>
      </c>
      <c r="Z16" s="5" t="s">
        <v>10</v>
      </c>
      <c r="AA16" s="5" t="s">
        <v>10</v>
      </c>
      <c r="AB16" s="5" t="s">
        <v>10</v>
      </c>
      <c r="AC16" s="3" t="n">
        <f aca="false">COUNTIF(E16:AB16,"Absent")</f>
        <v>7</v>
      </c>
      <c r="AD16" s="3" t="n">
        <f aca="false">COUNTIF(E16:AB16,"Present")</f>
        <v>17</v>
      </c>
      <c r="AE16" s="3" t="n">
        <f aca="false">(AD16*5)+(AC16*-5)</f>
        <v>50</v>
      </c>
    </row>
    <row r="17" customFormat="false" ht="21.75" hidden="false" customHeight="true" outlineLevel="0" collapsed="false">
      <c r="A17" s="3" t="n">
        <v>16</v>
      </c>
      <c r="B17" s="3" t="s">
        <v>511</v>
      </c>
      <c r="C17" s="4" t="s">
        <v>512</v>
      </c>
      <c r="D17" s="3" t="s">
        <v>513</v>
      </c>
      <c r="E17" s="5" t="s">
        <v>10</v>
      </c>
      <c r="F17" s="5" t="s">
        <v>10</v>
      </c>
      <c r="G17" s="5" t="s">
        <v>11</v>
      </c>
      <c r="H17" s="5" t="s">
        <v>10</v>
      </c>
      <c r="I17" s="5" t="s">
        <v>10</v>
      </c>
      <c r="J17" s="5" t="s">
        <v>10</v>
      </c>
      <c r="K17" s="5" t="s">
        <v>10</v>
      </c>
      <c r="L17" s="5" t="s">
        <v>10</v>
      </c>
      <c r="M17" s="5" t="s">
        <v>10</v>
      </c>
      <c r="N17" s="5" t="s">
        <v>11</v>
      </c>
      <c r="O17" s="5" t="s">
        <v>10</v>
      </c>
      <c r="P17" s="5" t="s">
        <v>11</v>
      </c>
      <c r="Q17" s="5" t="s">
        <v>11</v>
      </c>
      <c r="R17" s="5" t="s">
        <v>11</v>
      </c>
      <c r="S17" s="5" t="s">
        <v>10</v>
      </c>
      <c r="T17" s="5" t="s">
        <v>10</v>
      </c>
      <c r="U17" s="5" t="s">
        <v>11</v>
      </c>
      <c r="V17" s="5" t="s">
        <v>10</v>
      </c>
      <c r="W17" s="5" t="s">
        <v>11</v>
      </c>
      <c r="X17" s="5" t="s">
        <v>10</v>
      </c>
      <c r="Y17" s="5" t="s">
        <v>10</v>
      </c>
      <c r="Z17" s="5" t="s">
        <v>10</v>
      </c>
      <c r="AA17" s="5" t="s">
        <v>10</v>
      </c>
      <c r="AB17" s="5" t="s">
        <v>10</v>
      </c>
      <c r="AC17" s="3" t="n">
        <f aca="false">COUNTIF(E17:AB17,"Absent")</f>
        <v>7</v>
      </c>
      <c r="AD17" s="3" t="n">
        <f aca="false">COUNTIF(E17:AB17,"Present")</f>
        <v>17</v>
      </c>
      <c r="AE17" s="3" t="n">
        <f aca="false">(AD17*5)+(AC17*-5)</f>
        <v>50</v>
      </c>
    </row>
    <row r="18" customFormat="false" ht="21.75" hidden="false" customHeight="true" outlineLevel="0" collapsed="false">
      <c r="A18" s="3" t="n">
        <v>17</v>
      </c>
      <c r="B18" s="3" t="s">
        <v>514</v>
      </c>
      <c r="C18" s="4" t="s">
        <v>515</v>
      </c>
      <c r="D18" s="3" t="s">
        <v>516</v>
      </c>
      <c r="E18" s="5" t="s">
        <v>10</v>
      </c>
      <c r="F18" s="5" t="s">
        <v>10</v>
      </c>
      <c r="G18" s="5" t="s">
        <v>10</v>
      </c>
      <c r="H18" s="5" t="s">
        <v>10</v>
      </c>
      <c r="I18" s="5" t="s">
        <v>10</v>
      </c>
      <c r="J18" s="5" t="s">
        <v>10</v>
      </c>
      <c r="K18" s="5" t="s">
        <v>10</v>
      </c>
      <c r="L18" s="5" t="s">
        <v>10</v>
      </c>
      <c r="M18" s="5" t="s">
        <v>11</v>
      </c>
      <c r="N18" s="5" t="s">
        <v>10</v>
      </c>
      <c r="O18" s="5" t="s">
        <v>10</v>
      </c>
      <c r="P18" s="5" t="s">
        <v>10</v>
      </c>
      <c r="Q18" s="5" t="s">
        <v>11</v>
      </c>
      <c r="R18" s="5" t="s">
        <v>11</v>
      </c>
      <c r="S18" s="5" t="s">
        <v>10</v>
      </c>
      <c r="T18" s="5" t="s">
        <v>10</v>
      </c>
      <c r="U18" s="5" t="s">
        <v>11</v>
      </c>
      <c r="V18" s="5" t="s">
        <v>11</v>
      </c>
      <c r="W18" s="5" t="s">
        <v>10</v>
      </c>
      <c r="X18" s="5" t="s">
        <v>10</v>
      </c>
      <c r="Y18" s="5" t="s">
        <v>10</v>
      </c>
      <c r="Z18" s="5" t="s">
        <v>11</v>
      </c>
      <c r="AA18" s="5" t="s">
        <v>10</v>
      </c>
      <c r="AB18" s="5" t="s">
        <v>10</v>
      </c>
      <c r="AC18" s="3" t="n">
        <f aca="false">COUNTIF(E18:AB18,"Absent")</f>
        <v>6</v>
      </c>
      <c r="AD18" s="3" t="n">
        <f aca="false">COUNTIF(E18:AB18,"Present")</f>
        <v>18</v>
      </c>
      <c r="AE18" s="3" t="n">
        <f aca="false">(AD18*5)+(AC18*-5)</f>
        <v>60</v>
      </c>
    </row>
    <row r="19" customFormat="false" ht="21.75" hidden="false" customHeight="true" outlineLevel="0" collapsed="false">
      <c r="A19" s="3" t="n">
        <v>18</v>
      </c>
      <c r="B19" s="3" t="s">
        <v>517</v>
      </c>
      <c r="C19" s="4" t="s">
        <v>518</v>
      </c>
      <c r="D19" s="3" t="s">
        <v>519</v>
      </c>
      <c r="E19" s="5" t="s">
        <v>10</v>
      </c>
      <c r="F19" s="5" t="s">
        <v>11</v>
      </c>
      <c r="G19" s="5" t="s">
        <v>11</v>
      </c>
      <c r="H19" s="5" t="s">
        <v>10</v>
      </c>
      <c r="I19" s="5" t="s">
        <v>11</v>
      </c>
      <c r="J19" s="5" t="s">
        <v>10</v>
      </c>
      <c r="K19" s="5" t="s">
        <v>10</v>
      </c>
      <c r="L19" s="5" t="s">
        <v>11</v>
      </c>
      <c r="M19" s="5" t="s">
        <v>11</v>
      </c>
      <c r="N19" s="5" t="s">
        <v>11</v>
      </c>
      <c r="O19" s="5" t="s">
        <v>10</v>
      </c>
      <c r="P19" s="5" t="s">
        <v>11</v>
      </c>
      <c r="Q19" s="5" t="s">
        <v>10</v>
      </c>
      <c r="R19" s="5" t="s">
        <v>11</v>
      </c>
      <c r="S19" s="5" t="s">
        <v>10</v>
      </c>
      <c r="T19" s="5" t="s">
        <v>11</v>
      </c>
      <c r="U19" s="5" t="s">
        <v>11</v>
      </c>
      <c r="V19" s="5" t="s">
        <v>10</v>
      </c>
      <c r="W19" s="5" t="s">
        <v>10</v>
      </c>
      <c r="X19" s="5" t="s">
        <v>10</v>
      </c>
      <c r="Y19" s="5" t="s">
        <v>10</v>
      </c>
      <c r="Z19" s="5" t="s">
        <v>10</v>
      </c>
      <c r="AA19" s="5" t="s">
        <v>11</v>
      </c>
      <c r="AB19" s="5" t="s">
        <v>10</v>
      </c>
      <c r="AC19" s="3" t="n">
        <f aca="false">COUNTIF(E19:AB19,"Absent")</f>
        <v>11</v>
      </c>
      <c r="AD19" s="3" t="n">
        <f aca="false">COUNTIF(E19:AB19,"Present")</f>
        <v>13</v>
      </c>
      <c r="AE19" s="3" t="n">
        <f aca="false">(AD19*5)+(AC19*-5)</f>
        <v>10</v>
      </c>
    </row>
    <row r="20" customFormat="false" ht="21.75" hidden="false" customHeight="true" outlineLevel="0" collapsed="false">
      <c r="A20" s="3" t="n">
        <v>19</v>
      </c>
      <c r="B20" s="3" t="s">
        <v>520</v>
      </c>
      <c r="C20" s="4" t="s">
        <v>521</v>
      </c>
      <c r="D20" s="3" t="s">
        <v>522</v>
      </c>
      <c r="E20" s="5" t="s">
        <v>10</v>
      </c>
      <c r="F20" s="5" t="s">
        <v>10</v>
      </c>
      <c r="G20" s="5" t="s">
        <v>10</v>
      </c>
      <c r="H20" s="5" t="s">
        <v>10</v>
      </c>
      <c r="I20" s="5" t="s">
        <v>10</v>
      </c>
      <c r="J20" s="5" t="s">
        <v>10</v>
      </c>
      <c r="K20" s="5" t="s">
        <v>11</v>
      </c>
      <c r="L20" s="5" t="s">
        <v>10</v>
      </c>
      <c r="M20" s="5" t="s">
        <v>10</v>
      </c>
      <c r="N20" s="5" t="s">
        <v>11</v>
      </c>
      <c r="O20" s="5" t="s">
        <v>11</v>
      </c>
      <c r="P20" s="5" t="s">
        <v>11</v>
      </c>
      <c r="Q20" s="5" t="s">
        <v>11</v>
      </c>
      <c r="R20" s="5" t="s">
        <v>10</v>
      </c>
      <c r="S20" s="5" t="s">
        <v>10</v>
      </c>
      <c r="T20" s="5" t="s">
        <v>11</v>
      </c>
      <c r="U20" s="5" t="s">
        <v>10</v>
      </c>
      <c r="V20" s="5" t="s">
        <v>10</v>
      </c>
      <c r="W20" s="5" t="s">
        <v>11</v>
      </c>
      <c r="X20" s="5" t="s">
        <v>10</v>
      </c>
      <c r="Y20" s="5" t="s">
        <v>10</v>
      </c>
      <c r="Z20" s="5" t="s">
        <v>11</v>
      </c>
      <c r="AA20" s="5" t="s">
        <v>10</v>
      </c>
      <c r="AB20" s="5" t="s">
        <v>10</v>
      </c>
      <c r="AC20" s="3" t="n">
        <f aca="false">COUNTIF(E20:AB20,"Absent")</f>
        <v>8</v>
      </c>
      <c r="AD20" s="3" t="n">
        <f aca="false">COUNTIF(E20:AB20,"Present")</f>
        <v>16</v>
      </c>
      <c r="AE20" s="3" t="n">
        <f aca="false">(AD20*5)+(AC20*-5)</f>
        <v>40</v>
      </c>
    </row>
    <row r="21" customFormat="false" ht="21.75" hidden="false" customHeight="true" outlineLevel="0" collapsed="false">
      <c r="A21" s="3" t="n">
        <v>20</v>
      </c>
      <c r="B21" s="3" t="s">
        <v>523</v>
      </c>
      <c r="C21" s="4" t="s">
        <v>524</v>
      </c>
      <c r="D21" s="3" t="s">
        <v>525</v>
      </c>
      <c r="E21" s="5" t="s">
        <v>10</v>
      </c>
      <c r="F21" s="5" t="s">
        <v>10</v>
      </c>
      <c r="G21" s="5" t="s">
        <v>10</v>
      </c>
      <c r="H21" s="5" t="s">
        <v>10</v>
      </c>
      <c r="I21" s="5" t="s">
        <v>10</v>
      </c>
      <c r="J21" s="5" t="s">
        <v>10</v>
      </c>
      <c r="K21" s="5" t="s">
        <v>10</v>
      </c>
      <c r="L21" s="5" t="s">
        <v>11</v>
      </c>
      <c r="M21" s="5" t="s">
        <v>10</v>
      </c>
      <c r="N21" s="5" t="s">
        <v>11</v>
      </c>
      <c r="O21" s="5" t="s">
        <v>11</v>
      </c>
      <c r="P21" s="5" t="s">
        <v>10</v>
      </c>
      <c r="Q21" s="5" t="s">
        <v>10</v>
      </c>
      <c r="R21" s="5" t="s">
        <v>10</v>
      </c>
      <c r="S21" s="5" t="s">
        <v>10</v>
      </c>
      <c r="T21" s="5" t="s">
        <v>10</v>
      </c>
      <c r="U21" s="5" t="s">
        <v>10</v>
      </c>
      <c r="V21" s="5" t="s">
        <v>10</v>
      </c>
      <c r="W21" s="5" t="s">
        <v>10</v>
      </c>
      <c r="X21" s="5" t="s">
        <v>33</v>
      </c>
      <c r="Y21" s="5" t="s">
        <v>10</v>
      </c>
      <c r="Z21" s="5" t="s">
        <v>11</v>
      </c>
      <c r="AA21" s="5" t="s">
        <v>10</v>
      </c>
      <c r="AB21" s="5" t="s">
        <v>10</v>
      </c>
      <c r="AC21" s="3" t="n">
        <f aca="false">COUNTIF(E21:AB21,"Absent")</f>
        <v>4</v>
      </c>
      <c r="AD21" s="3" t="n">
        <f aca="false">COUNTIF(E21:AB21,"Present")</f>
        <v>19</v>
      </c>
      <c r="AE21" s="3" t="n">
        <f aca="false">(AD21*5)+(AC21*-5)</f>
        <v>75</v>
      </c>
    </row>
    <row r="22" customFormat="false" ht="21.75" hidden="false" customHeight="true" outlineLevel="0" collapsed="false">
      <c r="A22" s="3" t="n">
        <v>21</v>
      </c>
      <c r="B22" s="3" t="s">
        <v>526</v>
      </c>
      <c r="C22" s="4" t="s">
        <v>527</v>
      </c>
      <c r="D22" s="3" t="s">
        <v>528</v>
      </c>
      <c r="E22" s="5" t="s">
        <v>10</v>
      </c>
      <c r="F22" s="5" t="s">
        <v>10</v>
      </c>
      <c r="G22" s="5" t="s">
        <v>10</v>
      </c>
      <c r="H22" s="5" t="s">
        <v>10</v>
      </c>
      <c r="I22" s="5" t="s">
        <v>10</v>
      </c>
      <c r="J22" s="5" t="s">
        <v>10</v>
      </c>
      <c r="K22" s="5" t="s">
        <v>10</v>
      </c>
      <c r="L22" s="5" t="s">
        <v>10</v>
      </c>
      <c r="M22" s="5" t="s">
        <v>10</v>
      </c>
      <c r="N22" s="5" t="s">
        <v>11</v>
      </c>
      <c r="O22" s="5" t="s">
        <v>11</v>
      </c>
      <c r="P22" s="5" t="s">
        <v>10</v>
      </c>
      <c r="Q22" s="5" t="s">
        <v>10</v>
      </c>
      <c r="R22" s="5" t="s">
        <v>10</v>
      </c>
      <c r="S22" s="5" t="s">
        <v>11</v>
      </c>
      <c r="T22" s="5" t="s">
        <v>10</v>
      </c>
      <c r="U22" s="5" t="s">
        <v>10</v>
      </c>
      <c r="V22" s="5" t="s">
        <v>10</v>
      </c>
      <c r="W22" s="5" t="s">
        <v>10</v>
      </c>
      <c r="X22" s="5" t="s">
        <v>11</v>
      </c>
      <c r="Y22" s="5" t="s">
        <v>10</v>
      </c>
      <c r="Z22" s="5" t="s">
        <v>10</v>
      </c>
      <c r="AA22" s="5" t="s">
        <v>11</v>
      </c>
      <c r="AB22" s="5" t="s">
        <v>11</v>
      </c>
      <c r="AC22" s="3" t="n">
        <f aca="false">COUNTIF(E22:AB22,"Absent")</f>
        <v>6</v>
      </c>
      <c r="AD22" s="3" t="n">
        <f aca="false">COUNTIF(E22:AB22,"Present")</f>
        <v>18</v>
      </c>
      <c r="AE22" s="3" t="n">
        <f aca="false">(AD22*5)+(AC22*-5)</f>
        <v>60</v>
      </c>
    </row>
    <row r="23" customFormat="false" ht="21.75" hidden="false" customHeight="true" outlineLevel="0" collapsed="false">
      <c r="A23" s="3" t="n">
        <v>22</v>
      </c>
      <c r="B23" s="3" t="s">
        <v>529</v>
      </c>
      <c r="C23" s="4" t="s">
        <v>530</v>
      </c>
      <c r="D23" s="3" t="s">
        <v>531</v>
      </c>
      <c r="E23" s="5" t="s">
        <v>10</v>
      </c>
      <c r="F23" s="5" t="s">
        <v>33</v>
      </c>
      <c r="G23" s="5" t="s">
        <v>10</v>
      </c>
      <c r="H23" s="5" t="s">
        <v>10</v>
      </c>
      <c r="I23" s="5" t="s">
        <v>10</v>
      </c>
      <c r="J23" s="5" t="s">
        <v>10</v>
      </c>
      <c r="K23" s="5" t="s">
        <v>10</v>
      </c>
      <c r="L23" s="5" t="s">
        <v>10</v>
      </c>
      <c r="M23" s="5" t="s">
        <v>10</v>
      </c>
      <c r="N23" s="5" t="s">
        <v>11</v>
      </c>
      <c r="O23" s="5" t="s">
        <v>11</v>
      </c>
      <c r="P23" s="5" t="s">
        <v>10</v>
      </c>
      <c r="Q23" s="5" t="s">
        <v>10</v>
      </c>
      <c r="R23" s="5" t="s">
        <v>10</v>
      </c>
      <c r="S23" s="5" t="s">
        <v>11</v>
      </c>
      <c r="T23" s="5" t="s">
        <v>10</v>
      </c>
      <c r="U23" s="5" t="s">
        <v>11</v>
      </c>
      <c r="V23" s="5" t="s">
        <v>10</v>
      </c>
      <c r="W23" s="5" t="s">
        <v>11</v>
      </c>
      <c r="X23" s="5" t="s">
        <v>33</v>
      </c>
      <c r="Y23" s="5" t="s">
        <v>10</v>
      </c>
      <c r="Z23" s="5" t="s">
        <v>10</v>
      </c>
      <c r="AA23" s="5" t="s">
        <v>10</v>
      </c>
      <c r="AB23" s="5" t="s">
        <v>11</v>
      </c>
      <c r="AC23" s="3" t="n">
        <f aca="false">COUNTIF(E23:AB23,"Absent")</f>
        <v>6</v>
      </c>
      <c r="AD23" s="3" t="n">
        <f aca="false">COUNTIF(E23:AB23,"Present")</f>
        <v>16</v>
      </c>
      <c r="AE23" s="3" t="n">
        <f aca="false">(AD23*5)+(AC23*-5)</f>
        <v>50</v>
      </c>
    </row>
    <row r="24" customFormat="false" ht="21.75" hidden="false" customHeight="true" outlineLevel="0" collapsed="false">
      <c r="A24" s="3" t="n">
        <v>23</v>
      </c>
      <c r="B24" s="3" t="s">
        <v>532</v>
      </c>
      <c r="C24" s="4" t="s">
        <v>533</v>
      </c>
      <c r="D24" s="3" t="s">
        <v>534</v>
      </c>
      <c r="E24" s="5" t="s">
        <v>11</v>
      </c>
      <c r="F24" s="5" t="s">
        <v>10</v>
      </c>
      <c r="G24" s="5" t="s">
        <v>10</v>
      </c>
      <c r="H24" s="5" t="s">
        <v>10</v>
      </c>
      <c r="I24" s="5" t="s">
        <v>10</v>
      </c>
      <c r="J24" s="5" t="s">
        <v>10</v>
      </c>
      <c r="K24" s="5" t="s">
        <v>10</v>
      </c>
      <c r="L24" s="5" t="s">
        <v>10</v>
      </c>
      <c r="M24" s="5" t="s">
        <v>10</v>
      </c>
      <c r="N24" s="5" t="s">
        <v>10</v>
      </c>
      <c r="O24" s="5" t="s">
        <v>11</v>
      </c>
      <c r="P24" s="5" t="s">
        <v>10</v>
      </c>
      <c r="Q24" s="5" t="s">
        <v>10</v>
      </c>
      <c r="R24" s="5" t="s">
        <v>10</v>
      </c>
      <c r="S24" s="5" t="s">
        <v>11</v>
      </c>
      <c r="T24" s="5" t="s">
        <v>10</v>
      </c>
      <c r="U24" s="5" t="s">
        <v>11</v>
      </c>
      <c r="V24" s="5" t="s">
        <v>10</v>
      </c>
      <c r="W24" s="5" t="s">
        <v>11</v>
      </c>
      <c r="X24" s="5" t="s">
        <v>10</v>
      </c>
      <c r="Y24" s="5" t="s">
        <v>10</v>
      </c>
      <c r="Z24" s="5" t="s">
        <v>10</v>
      </c>
      <c r="AA24" s="5" t="s">
        <v>11</v>
      </c>
      <c r="AB24" s="5" t="s">
        <v>10</v>
      </c>
      <c r="AC24" s="3" t="n">
        <f aca="false">COUNTIF(E24:AB24,"Absent")</f>
        <v>6</v>
      </c>
      <c r="AD24" s="3" t="n">
        <f aca="false">COUNTIF(E24:AB24,"Present")</f>
        <v>18</v>
      </c>
      <c r="AE24" s="3" t="n">
        <f aca="false">(AD24*5)+(AC24*-5)</f>
        <v>60</v>
      </c>
    </row>
    <row r="25" customFormat="false" ht="21.75" hidden="false" customHeight="true" outlineLevel="0" collapsed="false">
      <c r="A25" s="3" t="n">
        <v>24</v>
      </c>
      <c r="B25" s="3" t="s">
        <v>535</v>
      </c>
      <c r="C25" s="4" t="s">
        <v>536</v>
      </c>
      <c r="D25" s="3" t="s">
        <v>537</v>
      </c>
      <c r="E25" s="5" t="s">
        <v>10</v>
      </c>
      <c r="F25" s="5" t="s">
        <v>10</v>
      </c>
      <c r="G25" s="5" t="s">
        <v>10</v>
      </c>
      <c r="H25" s="5" t="s">
        <v>11</v>
      </c>
      <c r="I25" s="5" t="s">
        <v>10</v>
      </c>
      <c r="J25" s="5" t="s">
        <v>10</v>
      </c>
      <c r="K25" s="5" t="s">
        <v>10</v>
      </c>
      <c r="L25" s="5" t="s">
        <v>11</v>
      </c>
      <c r="M25" s="5" t="s">
        <v>10</v>
      </c>
      <c r="N25" s="5" t="s">
        <v>11</v>
      </c>
      <c r="O25" s="5" t="s">
        <v>11</v>
      </c>
      <c r="P25" s="5" t="s">
        <v>10</v>
      </c>
      <c r="Q25" s="5" t="s">
        <v>10</v>
      </c>
      <c r="R25" s="5" t="s">
        <v>10</v>
      </c>
      <c r="S25" s="5" t="s">
        <v>10</v>
      </c>
      <c r="T25" s="5" t="s">
        <v>11</v>
      </c>
      <c r="U25" s="5" t="s">
        <v>11</v>
      </c>
      <c r="V25" s="5" t="s">
        <v>11</v>
      </c>
      <c r="W25" s="5" t="s">
        <v>11</v>
      </c>
      <c r="X25" s="5" t="s">
        <v>10</v>
      </c>
      <c r="Y25" s="5" t="s">
        <v>10</v>
      </c>
      <c r="Z25" s="5" t="s">
        <v>11</v>
      </c>
      <c r="AA25" s="5" t="s">
        <v>10</v>
      </c>
      <c r="AB25" s="5" t="s">
        <v>10</v>
      </c>
      <c r="AC25" s="3" t="n">
        <f aca="false">COUNTIF(E25:AB25,"Absent")</f>
        <v>9</v>
      </c>
      <c r="AD25" s="3" t="n">
        <f aca="false">COUNTIF(E25:AB25,"Present")</f>
        <v>15</v>
      </c>
      <c r="AE25" s="3" t="n">
        <f aca="false">(AD25*5)+(AC25*-5)</f>
        <v>30</v>
      </c>
    </row>
    <row r="26" customFormat="false" ht="21.75" hidden="false" customHeight="true" outlineLevel="0" collapsed="false">
      <c r="A26" s="3" t="n">
        <v>25</v>
      </c>
      <c r="B26" s="3" t="s">
        <v>538</v>
      </c>
      <c r="C26" s="4" t="s">
        <v>539</v>
      </c>
      <c r="D26" s="3" t="s">
        <v>540</v>
      </c>
      <c r="E26" s="5" t="s">
        <v>10</v>
      </c>
      <c r="F26" s="5" t="s">
        <v>10</v>
      </c>
      <c r="G26" s="5" t="s">
        <v>10</v>
      </c>
      <c r="H26" s="5" t="s">
        <v>11</v>
      </c>
      <c r="I26" s="5" t="s">
        <v>10</v>
      </c>
      <c r="J26" s="5" t="s">
        <v>10</v>
      </c>
      <c r="K26" s="5" t="s">
        <v>10</v>
      </c>
      <c r="L26" s="5" t="s">
        <v>10</v>
      </c>
      <c r="M26" s="5" t="s">
        <v>10</v>
      </c>
      <c r="N26" s="5" t="s">
        <v>10</v>
      </c>
      <c r="O26" s="5" t="s">
        <v>10</v>
      </c>
      <c r="P26" s="5" t="s">
        <v>10</v>
      </c>
      <c r="Q26" s="5" t="s">
        <v>10</v>
      </c>
      <c r="R26" s="5" t="s">
        <v>11</v>
      </c>
      <c r="S26" s="5" t="s">
        <v>10</v>
      </c>
      <c r="T26" s="5" t="s">
        <v>11</v>
      </c>
      <c r="U26" s="5" t="s">
        <v>10</v>
      </c>
      <c r="V26" s="5" t="s">
        <v>10</v>
      </c>
      <c r="W26" s="5" t="s">
        <v>11</v>
      </c>
      <c r="X26" s="5" t="s">
        <v>10</v>
      </c>
      <c r="Y26" s="5" t="s">
        <v>11</v>
      </c>
      <c r="Z26" s="5" t="s">
        <v>10</v>
      </c>
      <c r="AA26" s="5" t="s">
        <v>11</v>
      </c>
      <c r="AB26" s="5" t="s">
        <v>10</v>
      </c>
      <c r="AC26" s="3" t="n">
        <f aca="false">COUNTIF(E26:AB26,"Absent")</f>
        <v>6</v>
      </c>
      <c r="AD26" s="3" t="n">
        <f aca="false">COUNTIF(E26:AB26,"Present")</f>
        <v>18</v>
      </c>
      <c r="AE26" s="3" t="n">
        <f aca="false">(AD26*5)+(AC26*-5)</f>
        <v>60</v>
      </c>
    </row>
    <row r="27" customFormat="false" ht="21.75" hidden="false" customHeight="true" outlineLevel="0" collapsed="false">
      <c r="A27" s="3" t="n">
        <v>26</v>
      </c>
      <c r="B27" s="3" t="s">
        <v>541</v>
      </c>
      <c r="C27" s="4" t="s">
        <v>542</v>
      </c>
      <c r="D27" s="3" t="s">
        <v>543</v>
      </c>
      <c r="E27" s="5" t="s">
        <v>33</v>
      </c>
      <c r="F27" s="5" t="s">
        <v>10</v>
      </c>
      <c r="G27" s="5" t="s">
        <v>10</v>
      </c>
      <c r="H27" s="5" t="s">
        <v>10</v>
      </c>
      <c r="I27" s="5" t="s">
        <v>10</v>
      </c>
      <c r="J27" s="5" t="s">
        <v>10</v>
      </c>
      <c r="K27" s="5" t="s">
        <v>10</v>
      </c>
      <c r="L27" s="5" t="s">
        <v>10</v>
      </c>
      <c r="M27" s="5" t="s">
        <v>11</v>
      </c>
      <c r="N27" s="5" t="s">
        <v>10</v>
      </c>
      <c r="O27" s="5" t="s">
        <v>10</v>
      </c>
      <c r="P27" s="5" t="s">
        <v>10</v>
      </c>
      <c r="Q27" s="5" t="s">
        <v>10</v>
      </c>
      <c r="R27" s="5" t="s">
        <v>11</v>
      </c>
      <c r="S27" s="5" t="s">
        <v>10</v>
      </c>
      <c r="T27" s="5" t="s">
        <v>10</v>
      </c>
      <c r="U27" s="5" t="s">
        <v>11</v>
      </c>
      <c r="V27" s="5" t="s">
        <v>10</v>
      </c>
      <c r="W27" s="5" t="s">
        <v>10</v>
      </c>
      <c r="X27" s="5" t="s">
        <v>11</v>
      </c>
      <c r="Y27" s="5" t="s">
        <v>10</v>
      </c>
      <c r="Z27" s="5" t="s">
        <v>10</v>
      </c>
      <c r="AA27" s="5" t="s">
        <v>10</v>
      </c>
      <c r="AB27" s="5" t="s">
        <v>33</v>
      </c>
      <c r="AC27" s="3" t="n">
        <f aca="false">COUNTIF(E27:AB27,"Absent")</f>
        <v>4</v>
      </c>
      <c r="AD27" s="3" t="n">
        <f aca="false">COUNTIF(E27:AB27,"Present")</f>
        <v>18</v>
      </c>
      <c r="AE27" s="3" t="n">
        <f aca="false">(AD27*5)+(AC27*-5)</f>
        <v>70</v>
      </c>
    </row>
    <row r="28" customFormat="false" ht="21.75" hidden="false" customHeight="true" outlineLevel="0" collapsed="false">
      <c r="A28" s="3" t="n">
        <v>27</v>
      </c>
      <c r="B28" s="3" t="s">
        <v>544</v>
      </c>
      <c r="C28" s="4" t="s">
        <v>545</v>
      </c>
      <c r="D28" s="3" t="s">
        <v>546</v>
      </c>
      <c r="E28" s="5" t="s">
        <v>10</v>
      </c>
      <c r="F28" s="5" t="s">
        <v>10</v>
      </c>
      <c r="G28" s="5" t="s">
        <v>10</v>
      </c>
      <c r="H28" s="5" t="s">
        <v>10</v>
      </c>
      <c r="I28" s="5" t="s">
        <v>33</v>
      </c>
      <c r="J28" s="5" t="s">
        <v>10</v>
      </c>
      <c r="K28" s="5" t="s">
        <v>10</v>
      </c>
      <c r="L28" s="5" t="s">
        <v>10</v>
      </c>
      <c r="M28" s="5" t="s">
        <v>10</v>
      </c>
      <c r="N28" s="5" t="s">
        <v>10</v>
      </c>
      <c r="O28" s="5" t="s">
        <v>10</v>
      </c>
      <c r="P28" s="5" t="s">
        <v>10</v>
      </c>
      <c r="Q28" s="5" t="s">
        <v>10</v>
      </c>
      <c r="R28" s="5" t="s">
        <v>11</v>
      </c>
      <c r="S28" s="5" t="s">
        <v>10</v>
      </c>
      <c r="T28" s="5" t="s">
        <v>10</v>
      </c>
      <c r="U28" s="5" t="s">
        <v>11</v>
      </c>
      <c r="V28" s="5" t="s">
        <v>11</v>
      </c>
      <c r="W28" s="5" t="s">
        <v>11</v>
      </c>
      <c r="X28" s="5" t="s">
        <v>10</v>
      </c>
      <c r="Y28" s="5" t="s">
        <v>11</v>
      </c>
      <c r="Z28" s="5" t="s">
        <v>10</v>
      </c>
      <c r="AA28" s="5" t="s">
        <v>33</v>
      </c>
      <c r="AB28" s="5" t="s">
        <v>10</v>
      </c>
      <c r="AC28" s="3" t="n">
        <f aca="false">COUNTIF(E28:AB28,"Absent")</f>
        <v>5</v>
      </c>
      <c r="AD28" s="3" t="n">
        <f aca="false">COUNTIF(E28:AB28,"Present")</f>
        <v>17</v>
      </c>
      <c r="AE28" s="3" t="n">
        <f aca="false">(AD28*5)+(AC28*-5)</f>
        <v>60</v>
      </c>
    </row>
    <row r="29" customFormat="false" ht="21.75" hidden="false" customHeight="true" outlineLevel="0" collapsed="false">
      <c r="A29" s="3" t="n">
        <v>28</v>
      </c>
      <c r="B29" s="3" t="s">
        <v>547</v>
      </c>
      <c r="C29" s="4" t="s">
        <v>548</v>
      </c>
      <c r="D29" s="3" t="s">
        <v>549</v>
      </c>
      <c r="E29" s="5" t="s">
        <v>10</v>
      </c>
      <c r="F29" s="5" t="s">
        <v>10</v>
      </c>
      <c r="G29" s="5" t="s">
        <v>10</v>
      </c>
      <c r="H29" s="5" t="s">
        <v>33</v>
      </c>
      <c r="I29" s="5" t="s">
        <v>11</v>
      </c>
      <c r="J29" s="5" t="s">
        <v>33</v>
      </c>
      <c r="K29" s="5" t="s">
        <v>11</v>
      </c>
      <c r="L29" s="5" t="s">
        <v>11</v>
      </c>
      <c r="M29" s="5" t="s">
        <v>11</v>
      </c>
      <c r="N29" s="5" t="s">
        <v>10</v>
      </c>
      <c r="O29" s="5" t="s">
        <v>11</v>
      </c>
      <c r="P29" s="5" t="s">
        <v>10</v>
      </c>
      <c r="Q29" s="5" t="s">
        <v>11</v>
      </c>
      <c r="R29" s="5" t="s">
        <v>11</v>
      </c>
      <c r="S29" s="5" t="s">
        <v>10</v>
      </c>
      <c r="T29" s="5" t="s">
        <v>11</v>
      </c>
      <c r="U29" s="5" t="s">
        <v>10</v>
      </c>
      <c r="V29" s="5" t="s">
        <v>11</v>
      </c>
      <c r="W29" s="5" t="s">
        <v>11</v>
      </c>
      <c r="X29" s="5" t="s">
        <v>33</v>
      </c>
      <c r="Y29" s="5" t="s">
        <v>10</v>
      </c>
      <c r="Z29" s="5" t="s">
        <v>10</v>
      </c>
      <c r="AA29" s="5" t="s">
        <v>10</v>
      </c>
      <c r="AB29" s="5" t="s">
        <v>10</v>
      </c>
      <c r="AC29" s="3" t="n">
        <f aca="false">COUNTIF(E29:AB29,"Absent")</f>
        <v>10</v>
      </c>
      <c r="AD29" s="3" t="n">
        <f aca="false">COUNTIF(E29:AB29,"Present")</f>
        <v>11</v>
      </c>
      <c r="AE29" s="3" t="n">
        <f aca="false">(AD29*5)+(AC29*-5)</f>
        <v>5</v>
      </c>
    </row>
    <row r="30" customFormat="false" ht="21.75" hidden="false" customHeight="true" outlineLevel="0" collapsed="false">
      <c r="A30" s="3" t="n">
        <v>29</v>
      </c>
      <c r="B30" s="3" t="s">
        <v>550</v>
      </c>
      <c r="C30" s="4" t="s">
        <v>551</v>
      </c>
      <c r="D30" s="3" t="s">
        <v>552</v>
      </c>
      <c r="E30" s="5" t="s">
        <v>11</v>
      </c>
      <c r="F30" s="5" t="s">
        <v>10</v>
      </c>
      <c r="G30" s="5" t="s">
        <v>11</v>
      </c>
      <c r="H30" s="5" t="s">
        <v>33</v>
      </c>
      <c r="I30" s="5" t="s">
        <v>11</v>
      </c>
      <c r="J30" s="5" t="s">
        <v>10</v>
      </c>
      <c r="K30" s="5" t="s">
        <v>10</v>
      </c>
      <c r="L30" s="5" t="s">
        <v>10</v>
      </c>
      <c r="M30" s="5" t="s">
        <v>10</v>
      </c>
      <c r="N30" s="5" t="s">
        <v>10</v>
      </c>
      <c r="O30" s="5" t="s">
        <v>10</v>
      </c>
      <c r="P30" s="5" t="s">
        <v>10</v>
      </c>
      <c r="Q30" s="5" t="s">
        <v>11</v>
      </c>
      <c r="R30" s="5" t="s">
        <v>11</v>
      </c>
      <c r="S30" s="5" t="s">
        <v>10</v>
      </c>
      <c r="T30" s="5" t="s">
        <v>10</v>
      </c>
      <c r="U30" s="5" t="s">
        <v>11</v>
      </c>
      <c r="V30" s="5" t="s">
        <v>10</v>
      </c>
      <c r="W30" s="5" t="s">
        <v>10</v>
      </c>
      <c r="X30" s="5" t="s">
        <v>10</v>
      </c>
      <c r="Y30" s="5" t="s">
        <v>11</v>
      </c>
      <c r="Z30" s="5" t="s">
        <v>33</v>
      </c>
      <c r="AA30" s="5" t="s">
        <v>11</v>
      </c>
      <c r="AB30" s="5" t="s">
        <v>10</v>
      </c>
      <c r="AC30" s="3" t="n">
        <f aca="false">COUNTIF(E30:AB30,"Absent")</f>
        <v>8</v>
      </c>
      <c r="AD30" s="3" t="n">
        <f aca="false">COUNTIF(E30:AB30,"Present")</f>
        <v>14</v>
      </c>
      <c r="AE30" s="3" t="n">
        <f aca="false">(AD30*5)+(AC30*-5)</f>
        <v>30</v>
      </c>
    </row>
    <row r="31" customFormat="false" ht="21.75" hidden="false" customHeight="true" outlineLevel="0" collapsed="false">
      <c r="A31" s="3" t="n">
        <v>30</v>
      </c>
      <c r="B31" s="3" t="s">
        <v>553</v>
      </c>
      <c r="C31" s="4" t="s">
        <v>554</v>
      </c>
      <c r="D31" s="3" t="s">
        <v>555</v>
      </c>
      <c r="E31" s="5" t="s">
        <v>10</v>
      </c>
      <c r="F31" s="5" t="s">
        <v>10</v>
      </c>
      <c r="G31" s="5" t="s">
        <v>11</v>
      </c>
      <c r="H31" s="5" t="s">
        <v>10</v>
      </c>
      <c r="I31" s="5" t="s">
        <v>33</v>
      </c>
      <c r="J31" s="5" t="s">
        <v>10</v>
      </c>
      <c r="K31" s="5" t="s">
        <v>10</v>
      </c>
      <c r="L31" s="5" t="s">
        <v>10</v>
      </c>
      <c r="M31" s="5" t="s">
        <v>10</v>
      </c>
      <c r="N31" s="5" t="s">
        <v>10</v>
      </c>
      <c r="O31" s="5" t="s">
        <v>10</v>
      </c>
      <c r="P31" s="5" t="s">
        <v>10</v>
      </c>
      <c r="Q31" s="5" t="s">
        <v>10</v>
      </c>
      <c r="R31" s="5" t="s">
        <v>11</v>
      </c>
      <c r="S31" s="5" t="s">
        <v>10</v>
      </c>
      <c r="T31" s="5" t="s">
        <v>10</v>
      </c>
      <c r="U31" s="5" t="s">
        <v>11</v>
      </c>
      <c r="V31" s="5" t="s">
        <v>11</v>
      </c>
      <c r="W31" s="5" t="s">
        <v>10</v>
      </c>
      <c r="X31" s="5" t="s">
        <v>10</v>
      </c>
      <c r="Y31" s="5" t="s">
        <v>11</v>
      </c>
      <c r="Z31" s="5" t="s">
        <v>10</v>
      </c>
      <c r="AA31" s="5" t="s">
        <v>10</v>
      </c>
      <c r="AB31" s="5" t="s">
        <v>11</v>
      </c>
      <c r="AC31" s="3" t="n">
        <f aca="false">COUNTIF(E31:AB31,"Absent")</f>
        <v>6</v>
      </c>
      <c r="AD31" s="3" t="n">
        <f aca="false">COUNTIF(E31:AB31,"Present")</f>
        <v>17</v>
      </c>
      <c r="AE31" s="3" t="n">
        <f aca="false">(AD31*5)+(AC31*-5)</f>
        <v>55</v>
      </c>
    </row>
    <row r="32" customFormat="false" ht="21.75" hidden="false" customHeight="true" outlineLevel="0" collapsed="false">
      <c r="A32" s="9" t="n">
        <v>31</v>
      </c>
      <c r="B32" s="9" t="s">
        <v>556</v>
      </c>
      <c r="C32" s="6" t="s">
        <v>557</v>
      </c>
      <c r="D32" s="9" t="s">
        <v>558</v>
      </c>
      <c r="E32" s="9" t="s">
        <v>11</v>
      </c>
      <c r="F32" s="5" t="s">
        <v>11</v>
      </c>
      <c r="G32" s="9" t="s">
        <v>10</v>
      </c>
      <c r="H32" s="9" t="s">
        <v>10</v>
      </c>
      <c r="I32" s="9" t="s">
        <v>10</v>
      </c>
      <c r="J32" s="9" t="s">
        <v>10</v>
      </c>
      <c r="K32" s="5" t="s">
        <v>10</v>
      </c>
      <c r="L32" s="9" t="s">
        <v>11</v>
      </c>
      <c r="M32" s="9" t="s">
        <v>11</v>
      </c>
      <c r="N32" s="5" t="s">
        <v>10</v>
      </c>
      <c r="O32" s="9" t="s">
        <v>11</v>
      </c>
      <c r="P32" s="9" t="s">
        <v>11</v>
      </c>
      <c r="Q32" s="9" t="s">
        <v>11</v>
      </c>
      <c r="R32" s="5" t="s">
        <v>11</v>
      </c>
      <c r="S32" s="5" t="s">
        <v>10</v>
      </c>
      <c r="T32" s="5" t="s">
        <v>10</v>
      </c>
      <c r="U32" s="5" t="s">
        <v>11</v>
      </c>
      <c r="V32" s="5" t="s">
        <v>11</v>
      </c>
      <c r="W32" s="5" t="s">
        <v>10</v>
      </c>
      <c r="X32" s="5" t="s">
        <v>10</v>
      </c>
      <c r="Y32" s="5" t="s">
        <v>10</v>
      </c>
      <c r="Z32" s="5" t="s">
        <v>11</v>
      </c>
      <c r="AA32" s="5" t="s">
        <v>10</v>
      </c>
      <c r="AB32" s="5" t="s">
        <v>10</v>
      </c>
      <c r="AC32" s="9" t="n">
        <f aca="false">COUNTIF(E32:AB32,"Absent")</f>
        <v>11</v>
      </c>
      <c r="AD32" s="9" t="n">
        <f aca="false">COUNTIF(E32:AB32,"Present")</f>
        <v>13</v>
      </c>
      <c r="AE32" s="9" t="n">
        <f aca="false">(AD32*5)+(AC32*-5)</f>
        <v>10</v>
      </c>
    </row>
    <row r="33" customFormat="false" ht="21.75" hidden="false" customHeight="true" outlineLevel="0" collapsed="false">
      <c r="A33" s="3" t="n">
        <v>32</v>
      </c>
      <c r="B33" s="3" t="s">
        <v>559</v>
      </c>
      <c r="C33" s="4" t="s">
        <v>560</v>
      </c>
      <c r="D33" s="3" t="s">
        <v>561</v>
      </c>
      <c r="E33" s="9" t="s">
        <v>10</v>
      </c>
      <c r="F33" s="9" t="s">
        <v>11</v>
      </c>
      <c r="G33" s="9" t="s">
        <v>10</v>
      </c>
      <c r="H33" s="9" t="s">
        <v>10</v>
      </c>
      <c r="I33" s="9" t="s">
        <v>10</v>
      </c>
      <c r="J33" s="9" t="s">
        <v>10</v>
      </c>
      <c r="K33" s="5" t="s">
        <v>11</v>
      </c>
      <c r="L33" s="5" t="s">
        <v>11</v>
      </c>
      <c r="M33" s="5" t="s">
        <v>11</v>
      </c>
      <c r="N33" s="5" t="s">
        <v>10</v>
      </c>
      <c r="O33" s="9" t="s">
        <v>11</v>
      </c>
      <c r="P33" s="9" t="s">
        <v>11</v>
      </c>
      <c r="Q33" s="9" t="s">
        <v>11</v>
      </c>
      <c r="R33" s="5" t="s">
        <v>11</v>
      </c>
      <c r="S33" s="5" t="s">
        <v>10</v>
      </c>
      <c r="T33" s="5" t="s">
        <v>11</v>
      </c>
      <c r="U33" s="5" t="s">
        <v>11</v>
      </c>
      <c r="V33" s="5" t="s">
        <v>11</v>
      </c>
      <c r="W33" s="5" t="s">
        <v>11</v>
      </c>
      <c r="X33" s="5" t="s">
        <v>10</v>
      </c>
      <c r="Y33" s="5" t="s">
        <v>10</v>
      </c>
      <c r="Z33" s="5" t="s">
        <v>33</v>
      </c>
      <c r="AA33" s="5" t="s">
        <v>10</v>
      </c>
      <c r="AB33" s="5" t="s">
        <v>10</v>
      </c>
      <c r="AC33" s="3" t="n">
        <f aca="false">COUNTIF(E33:AB33,"Absent")</f>
        <v>12</v>
      </c>
      <c r="AD33" s="3" t="n">
        <f aca="false">COUNTIF(E33:AB33,"Present")</f>
        <v>11</v>
      </c>
      <c r="AE33" s="3" t="n">
        <f aca="false">(AD33*5)+(AC33*-5)</f>
        <v>-5</v>
      </c>
    </row>
    <row r="34" customFormat="false" ht="21.75" hidden="false" customHeight="true" outlineLevel="0" collapsed="false">
      <c r="A34" s="3" t="n">
        <v>33</v>
      </c>
      <c r="B34" s="3" t="s">
        <v>562</v>
      </c>
      <c r="C34" s="4" t="s">
        <v>563</v>
      </c>
      <c r="D34" s="3" t="s">
        <v>564</v>
      </c>
      <c r="E34" s="5" t="s">
        <v>10</v>
      </c>
      <c r="F34" s="5" t="s">
        <v>10</v>
      </c>
      <c r="G34" s="5" t="s">
        <v>11</v>
      </c>
      <c r="H34" s="5" t="s">
        <v>10</v>
      </c>
      <c r="I34" s="5" t="s">
        <v>10</v>
      </c>
      <c r="J34" s="5" t="s">
        <v>10</v>
      </c>
      <c r="K34" s="5" t="s">
        <v>10</v>
      </c>
      <c r="L34" s="5" t="s">
        <v>10</v>
      </c>
      <c r="M34" s="5" t="s">
        <v>11</v>
      </c>
      <c r="N34" s="5" t="s">
        <v>11</v>
      </c>
      <c r="O34" s="5" t="s">
        <v>10</v>
      </c>
      <c r="P34" s="5" t="s">
        <v>10</v>
      </c>
      <c r="Q34" s="5" t="s">
        <v>10</v>
      </c>
      <c r="R34" s="5" t="s">
        <v>10</v>
      </c>
      <c r="S34" s="5" t="s">
        <v>10</v>
      </c>
      <c r="T34" s="5" t="s">
        <v>11</v>
      </c>
      <c r="U34" s="5" t="s">
        <v>10</v>
      </c>
      <c r="V34" s="5" t="s">
        <v>10</v>
      </c>
      <c r="W34" s="5" t="s">
        <v>10</v>
      </c>
      <c r="X34" s="5" t="s">
        <v>10</v>
      </c>
      <c r="Y34" s="5" t="s">
        <v>10</v>
      </c>
      <c r="Z34" s="5" t="s">
        <v>10</v>
      </c>
      <c r="AA34" s="5" t="s">
        <v>10</v>
      </c>
      <c r="AB34" s="5" t="s">
        <v>10</v>
      </c>
      <c r="AC34" s="3" t="n">
        <f aca="false">COUNTIF(E34:AB34,"Absent")</f>
        <v>4</v>
      </c>
      <c r="AD34" s="3" t="n">
        <f aca="false">COUNTIF(E34:AB34,"Present")</f>
        <v>20</v>
      </c>
      <c r="AE34" s="3" t="n">
        <f aca="false">(AD34*5)+(AC34*-5)</f>
        <v>80</v>
      </c>
    </row>
    <row r="35" customFormat="false" ht="21.75" hidden="false" customHeight="true" outlineLevel="0" collapsed="false">
      <c r="A35" s="3" t="n">
        <v>34</v>
      </c>
      <c r="B35" s="3" t="s">
        <v>565</v>
      </c>
      <c r="C35" s="4" t="s">
        <v>566</v>
      </c>
      <c r="D35" s="3" t="s">
        <v>567</v>
      </c>
      <c r="E35" s="5" t="s">
        <v>10</v>
      </c>
      <c r="F35" s="5" t="s">
        <v>10</v>
      </c>
      <c r="G35" s="5" t="s">
        <v>10</v>
      </c>
      <c r="H35" s="5" t="s">
        <v>10</v>
      </c>
      <c r="I35" s="5" t="s">
        <v>11</v>
      </c>
      <c r="J35" s="5" t="s">
        <v>10</v>
      </c>
      <c r="K35" s="5" t="s">
        <v>11</v>
      </c>
      <c r="L35" s="5" t="s">
        <v>10</v>
      </c>
      <c r="M35" s="5" t="s">
        <v>10</v>
      </c>
      <c r="N35" s="5" t="s">
        <v>10</v>
      </c>
      <c r="O35" s="5" t="s">
        <v>10</v>
      </c>
      <c r="P35" s="5" t="s">
        <v>10</v>
      </c>
      <c r="Q35" s="5" t="s">
        <v>11</v>
      </c>
      <c r="R35" s="5" t="s">
        <v>11</v>
      </c>
      <c r="S35" s="5" t="s">
        <v>11</v>
      </c>
      <c r="T35" s="5" t="s">
        <v>11</v>
      </c>
      <c r="U35" s="5" t="s">
        <v>11</v>
      </c>
      <c r="V35" s="5" t="s">
        <v>11</v>
      </c>
      <c r="W35" s="5" t="s">
        <v>11</v>
      </c>
      <c r="X35" s="5" t="s">
        <v>10</v>
      </c>
      <c r="Y35" s="5" t="s">
        <v>10</v>
      </c>
      <c r="Z35" s="5" t="s">
        <v>10</v>
      </c>
      <c r="AA35" s="5" t="s">
        <v>10</v>
      </c>
      <c r="AB35" s="5" t="s">
        <v>10</v>
      </c>
      <c r="AC35" s="3" t="n">
        <f aca="false">COUNTIF(E35:AB35,"Absent")</f>
        <v>9</v>
      </c>
      <c r="AD35" s="3" t="n">
        <f aca="false">COUNTIF(E35:AB35,"Present")</f>
        <v>15</v>
      </c>
      <c r="AE35" s="3" t="n">
        <f aca="false">(AD35*5)+(AC35*-5)</f>
        <v>30</v>
      </c>
    </row>
    <row r="36" customFormat="false" ht="21.75" hidden="false" customHeight="true" outlineLevel="0" collapsed="false">
      <c r="A36" s="3" t="n">
        <v>35</v>
      </c>
      <c r="B36" s="3" t="s">
        <v>568</v>
      </c>
      <c r="C36" s="4" t="s">
        <v>569</v>
      </c>
      <c r="D36" s="3" t="s">
        <v>570</v>
      </c>
      <c r="E36" s="5" t="s">
        <v>10</v>
      </c>
      <c r="F36" s="5" t="s">
        <v>10</v>
      </c>
      <c r="G36" s="5" t="s">
        <v>10</v>
      </c>
      <c r="H36" s="5" t="s">
        <v>11</v>
      </c>
      <c r="I36" s="5" t="s">
        <v>10</v>
      </c>
      <c r="J36" s="5" t="s">
        <v>10</v>
      </c>
      <c r="K36" s="5" t="s">
        <v>11</v>
      </c>
      <c r="L36" s="5" t="s">
        <v>10</v>
      </c>
      <c r="M36" s="5" t="s">
        <v>11</v>
      </c>
      <c r="N36" s="5" t="s">
        <v>11</v>
      </c>
      <c r="O36" s="5" t="s">
        <v>11</v>
      </c>
      <c r="P36" s="5" t="s">
        <v>11</v>
      </c>
      <c r="Q36" s="5" t="s">
        <v>11</v>
      </c>
      <c r="R36" s="5" t="s">
        <v>10</v>
      </c>
      <c r="S36" s="5" t="s">
        <v>11</v>
      </c>
      <c r="T36" s="5" t="s">
        <v>11</v>
      </c>
      <c r="U36" s="5" t="s">
        <v>11</v>
      </c>
      <c r="V36" s="5" t="s">
        <v>11</v>
      </c>
      <c r="W36" s="5" t="s">
        <v>11</v>
      </c>
      <c r="X36" s="5" t="s">
        <v>11</v>
      </c>
      <c r="Y36" s="5" t="s">
        <v>11</v>
      </c>
      <c r="Z36" s="5" t="s">
        <v>10</v>
      </c>
      <c r="AA36" s="5" t="s">
        <v>10</v>
      </c>
      <c r="AB36" s="5" t="s">
        <v>10</v>
      </c>
      <c r="AC36" s="3" t="n">
        <f aca="false">COUNTIF(E36:AB36,"Absent")</f>
        <v>14</v>
      </c>
      <c r="AD36" s="3" t="n">
        <f aca="false">COUNTIF(E36:AB36,"Present")</f>
        <v>10</v>
      </c>
      <c r="AE36" s="3" t="n">
        <f aca="false">(AD36*5)+(AC36*-5)</f>
        <v>-20</v>
      </c>
    </row>
    <row r="37" customFormat="false" ht="21.75" hidden="false" customHeight="true" outlineLevel="0" collapsed="false">
      <c r="A37" s="3" t="n">
        <v>36</v>
      </c>
      <c r="B37" s="3" t="s">
        <v>571</v>
      </c>
      <c r="C37" s="4" t="s">
        <v>572</v>
      </c>
      <c r="D37" s="3" t="s">
        <v>573</v>
      </c>
      <c r="E37" s="5" t="s">
        <v>10</v>
      </c>
      <c r="F37" s="5" t="s">
        <v>11</v>
      </c>
      <c r="G37" s="5" t="s">
        <v>10</v>
      </c>
      <c r="H37" s="5" t="s">
        <v>10</v>
      </c>
      <c r="I37" s="5" t="s">
        <v>10</v>
      </c>
      <c r="J37" s="5" t="s">
        <v>11</v>
      </c>
      <c r="K37" s="5" t="s">
        <v>11</v>
      </c>
      <c r="L37" s="5" t="s">
        <v>10</v>
      </c>
      <c r="M37" s="5" t="s">
        <v>10</v>
      </c>
      <c r="N37" s="5" t="s">
        <v>11</v>
      </c>
      <c r="O37" s="5" t="s">
        <v>10</v>
      </c>
      <c r="P37" s="5" t="s">
        <v>11</v>
      </c>
      <c r="Q37" s="5" t="s">
        <v>11</v>
      </c>
      <c r="R37" s="5" t="s">
        <v>11</v>
      </c>
      <c r="S37" s="5" t="s">
        <v>11</v>
      </c>
      <c r="T37" s="5" t="s">
        <v>11</v>
      </c>
      <c r="U37" s="5" t="s">
        <v>11</v>
      </c>
      <c r="V37" s="5" t="s">
        <v>11</v>
      </c>
      <c r="W37" s="5" t="s">
        <v>11</v>
      </c>
      <c r="X37" s="5" t="s">
        <v>10</v>
      </c>
      <c r="Y37" s="5" t="s">
        <v>10</v>
      </c>
      <c r="Z37" s="5" t="s">
        <v>10</v>
      </c>
      <c r="AA37" s="5" t="s">
        <v>10</v>
      </c>
      <c r="AB37" s="5" t="s">
        <v>10</v>
      </c>
      <c r="AC37" s="3" t="n">
        <f aca="false">COUNTIF(E37:AB37,"Absent")</f>
        <v>12</v>
      </c>
      <c r="AD37" s="3" t="n">
        <f aca="false">COUNTIF(E37:AB37,"Present")</f>
        <v>12</v>
      </c>
      <c r="AE37" s="3" t="n">
        <f aca="false">(AD37*5)+(AC37*-5)</f>
        <v>0</v>
      </c>
    </row>
    <row r="38" customFormat="false" ht="21.75" hidden="false" customHeight="true" outlineLevel="0" collapsed="false">
      <c r="A38" s="3" t="n">
        <v>37</v>
      </c>
      <c r="B38" s="3" t="s">
        <v>574</v>
      </c>
      <c r="C38" s="4" t="s">
        <v>575</v>
      </c>
      <c r="D38" s="3" t="s">
        <v>576</v>
      </c>
      <c r="E38" s="3" t="s">
        <v>10</v>
      </c>
      <c r="F38" s="3" t="s">
        <v>10</v>
      </c>
      <c r="G38" s="3" t="s">
        <v>10</v>
      </c>
      <c r="H38" s="3" t="s">
        <v>10</v>
      </c>
      <c r="I38" s="5" t="s">
        <v>10</v>
      </c>
      <c r="J38" s="3" t="s">
        <v>10</v>
      </c>
      <c r="K38" s="5" t="s">
        <v>10</v>
      </c>
      <c r="L38" s="5" t="s">
        <v>11</v>
      </c>
      <c r="M38" s="5" t="s">
        <v>10</v>
      </c>
      <c r="N38" s="5" t="s">
        <v>10</v>
      </c>
      <c r="O38" s="5" t="s">
        <v>11</v>
      </c>
      <c r="P38" s="5" t="s">
        <v>10</v>
      </c>
      <c r="Q38" s="5" t="s">
        <v>10</v>
      </c>
      <c r="R38" s="5" t="s">
        <v>10</v>
      </c>
      <c r="S38" s="5" t="s">
        <v>11</v>
      </c>
      <c r="T38" s="5" t="s">
        <v>10</v>
      </c>
      <c r="U38" s="5" t="s">
        <v>11</v>
      </c>
      <c r="V38" s="5" t="s">
        <v>10</v>
      </c>
      <c r="W38" s="5" t="s">
        <v>11</v>
      </c>
      <c r="X38" s="5" t="s">
        <v>11</v>
      </c>
      <c r="Y38" s="5" t="s">
        <v>10</v>
      </c>
      <c r="Z38" s="5" t="s">
        <v>10</v>
      </c>
      <c r="AA38" s="5" t="s">
        <v>10</v>
      </c>
      <c r="AB38" s="5" t="s">
        <v>11</v>
      </c>
      <c r="AC38" s="3" t="n">
        <f aca="false">COUNTIF(E38:AB38,"Absent")</f>
        <v>7</v>
      </c>
      <c r="AD38" s="3" t="n">
        <f aca="false">COUNTIF(E38:AB38,"Present")</f>
        <v>17</v>
      </c>
      <c r="AE38" s="3" t="n">
        <f aca="false">(AD38*5)+(AC38*-5)</f>
        <v>50</v>
      </c>
    </row>
    <row r="39" customFormat="false" ht="21.75" hidden="false" customHeight="true" outlineLevel="0" collapsed="false">
      <c r="A39" s="3" t="n">
        <v>38</v>
      </c>
      <c r="B39" s="3" t="s">
        <v>574</v>
      </c>
      <c r="C39" s="4" t="s">
        <v>575</v>
      </c>
      <c r="D39" s="3" t="s">
        <v>576</v>
      </c>
      <c r="E39" s="3" t="s">
        <v>10</v>
      </c>
      <c r="F39" s="3" t="s">
        <v>10</v>
      </c>
      <c r="G39" s="3" t="s">
        <v>11</v>
      </c>
      <c r="H39" s="3" t="s">
        <v>10</v>
      </c>
      <c r="I39" s="5" t="s">
        <v>10</v>
      </c>
      <c r="J39" s="3" t="s">
        <v>10</v>
      </c>
      <c r="K39" s="5" t="s">
        <v>10</v>
      </c>
      <c r="L39" s="5" t="s">
        <v>10</v>
      </c>
      <c r="M39" s="5" t="s">
        <v>10</v>
      </c>
      <c r="N39" s="5" t="s">
        <v>10</v>
      </c>
      <c r="O39" s="5" t="s">
        <v>11</v>
      </c>
      <c r="P39" s="5" t="s">
        <v>10</v>
      </c>
      <c r="Q39" s="5" t="s">
        <v>10</v>
      </c>
      <c r="R39" s="5" t="s">
        <v>10</v>
      </c>
      <c r="S39" s="5" t="s">
        <v>11</v>
      </c>
      <c r="T39" s="5" t="s">
        <v>10</v>
      </c>
      <c r="U39" s="5" t="s">
        <v>11</v>
      </c>
      <c r="V39" s="5" t="s">
        <v>10</v>
      </c>
      <c r="W39" s="5" t="s">
        <v>11</v>
      </c>
      <c r="X39" s="5" t="s">
        <v>11</v>
      </c>
      <c r="Y39" s="5" t="s">
        <v>10</v>
      </c>
      <c r="Z39" s="5" t="s">
        <v>10</v>
      </c>
      <c r="AA39" s="5" t="s">
        <v>10</v>
      </c>
      <c r="AB39" s="5" t="s">
        <v>10</v>
      </c>
      <c r="AC39" s="3" t="n">
        <f aca="false">COUNTIF(E39:AB39,"Absent")</f>
        <v>6</v>
      </c>
      <c r="AD39" s="3" t="n">
        <f aca="false">COUNTIF(E39:AB39,"Present")</f>
        <v>18</v>
      </c>
      <c r="AE39" s="3" t="n">
        <f aca="false">(AD39*5)+(AC39*-5)</f>
        <v>60</v>
      </c>
    </row>
    <row r="40" customFormat="false" ht="21.75" hidden="false" customHeight="true" outlineLevel="0" collapsed="false">
      <c r="A40" s="3" t="n">
        <v>39</v>
      </c>
      <c r="B40" s="3" t="s">
        <v>577</v>
      </c>
      <c r="C40" s="4" t="s">
        <v>578</v>
      </c>
      <c r="D40" s="3" t="s">
        <v>579</v>
      </c>
      <c r="E40" s="9" t="s">
        <v>10</v>
      </c>
      <c r="F40" s="9" t="s">
        <v>10</v>
      </c>
      <c r="G40" s="9" t="s">
        <v>10</v>
      </c>
      <c r="H40" s="9" t="s">
        <v>33</v>
      </c>
      <c r="I40" s="9" t="s">
        <v>10</v>
      </c>
      <c r="J40" s="9" t="s">
        <v>11</v>
      </c>
      <c r="K40" s="9" t="s">
        <v>10</v>
      </c>
      <c r="L40" s="9" t="s">
        <v>10</v>
      </c>
      <c r="M40" s="5" t="s">
        <v>10</v>
      </c>
      <c r="N40" s="5" t="s">
        <v>10</v>
      </c>
      <c r="O40" s="5" t="s">
        <v>10</v>
      </c>
      <c r="P40" s="5" t="s">
        <v>10</v>
      </c>
      <c r="Q40" s="5" t="s">
        <v>10</v>
      </c>
      <c r="R40" s="5" t="s">
        <v>10</v>
      </c>
      <c r="S40" s="5" t="s">
        <v>11</v>
      </c>
      <c r="T40" s="5" t="s">
        <v>10</v>
      </c>
      <c r="U40" s="5" t="s">
        <v>11</v>
      </c>
      <c r="V40" s="5" t="s">
        <v>10</v>
      </c>
      <c r="W40" s="5" t="s">
        <v>11</v>
      </c>
      <c r="X40" s="5" t="s">
        <v>10</v>
      </c>
      <c r="Y40" s="5" t="s">
        <v>10</v>
      </c>
      <c r="Z40" s="5" t="s">
        <v>10</v>
      </c>
      <c r="AA40" s="5" t="s">
        <v>10</v>
      </c>
      <c r="AB40" s="5" t="s">
        <v>11</v>
      </c>
      <c r="AC40" s="3" t="n">
        <f aca="false">COUNTIF(E40:AB40,"Absent")</f>
        <v>5</v>
      </c>
      <c r="AD40" s="3" t="n">
        <f aca="false">COUNTIF(E40:AB40,"Present")</f>
        <v>18</v>
      </c>
      <c r="AE40" s="3" t="n">
        <f aca="false">(AD40*5)+(AC40*-5)</f>
        <v>65</v>
      </c>
    </row>
    <row r="41" customFormat="false" ht="21.75" hidden="false" customHeight="true" outlineLevel="0" collapsed="false">
      <c r="A41" s="3" t="n">
        <v>40</v>
      </c>
      <c r="B41" s="3" t="s">
        <v>580</v>
      </c>
      <c r="C41" s="4" t="s">
        <v>581</v>
      </c>
      <c r="D41" s="3" t="s">
        <v>582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  <c r="J41" s="3" t="s">
        <v>10</v>
      </c>
      <c r="K41" s="3" t="s">
        <v>10</v>
      </c>
      <c r="L41" s="3" t="s">
        <v>11</v>
      </c>
      <c r="M41" s="3" t="s">
        <v>10</v>
      </c>
      <c r="N41" s="3" t="s">
        <v>11</v>
      </c>
      <c r="O41" s="3" t="s">
        <v>10</v>
      </c>
      <c r="P41" s="3" t="s">
        <v>10</v>
      </c>
      <c r="Q41" s="5" t="s">
        <v>10</v>
      </c>
      <c r="R41" s="5" t="s">
        <v>10</v>
      </c>
      <c r="S41" s="5" t="s">
        <v>10</v>
      </c>
      <c r="T41" s="5" t="s">
        <v>10</v>
      </c>
      <c r="U41" s="5" t="s">
        <v>10</v>
      </c>
      <c r="V41" s="5" t="s">
        <v>10</v>
      </c>
      <c r="W41" s="5" t="s">
        <v>11</v>
      </c>
      <c r="X41" s="5" t="s">
        <v>10</v>
      </c>
      <c r="Y41" s="5" t="s">
        <v>10</v>
      </c>
      <c r="Z41" s="5" t="s">
        <v>10</v>
      </c>
      <c r="AA41" s="5" t="s">
        <v>10</v>
      </c>
      <c r="AB41" s="5" t="s">
        <v>11</v>
      </c>
      <c r="AC41" s="3" t="n">
        <f aca="false">COUNTIF(E41:AB41,"Absent")</f>
        <v>4</v>
      </c>
      <c r="AD41" s="3" t="n">
        <f aca="false">COUNTIF(E41:AB41,"Present")</f>
        <v>20</v>
      </c>
      <c r="AE41" s="3" t="n">
        <f aca="false">(AD41*5)+(AC41*-5)</f>
        <v>80</v>
      </c>
    </row>
    <row r="42" customFormat="false" ht="21.75" hidden="false" customHeight="true" outlineLevel="0" collapsed="false">
      <c r="A42" s="3"/>
      <c r="B42" s="3"/>
      <c r="C42" s="3"/>
      <c r="D42" s="3"/>
      <c r="E42" s="3" t="s">
        <v>10</v>
      </c>
      <c r="F42" s="3" t="s">
        <v>10</v>
      </c>
      <c r="G42" s="3" t="s">
        <v>10</v>
      </c>
      <c r="H42" s="3" t="s">
        <v>11</v>
      </c>
      <c r="I42" s="3" t="s">
        <v>10</v>
      </c>
      <c r="J42" s="3" t="s">
        <v>11</v>
      </c>
      <c r="K42" s="3" t="s">
        <v>10</v>
      </c>
      <c r="L42" s="3" t="s">
        <v>11</v>
      </c>
      <c r="M42" s="3" t="s">
        <v>10</v>
      </c>
      <c r="N42" s="3" t="s">
        <v>10</v>
      </c>
      <c r="O42" s="3" t="s">
        <v>33</v>
      </c>
      <c r="P42" s="3" t="s">
        <v>10</v>
      </c>
      <c r="Q42" s="3" t="s">
        <v>10</v>
      </c>
      <c r="R42" s="3" t="s">
        <v>10</v>
      </c>
      <c r="S42" s="3" t="s">
        <v>11</v>
      </c>
      <c r="T42" s="3" t="s">
        <v>10</v>
      </c>
      <c r="U42" s="3" t="s">
        <v>11</v>
      </c>
      <c r="V42" s="3" t="s">
        <v>11</v>
      </c>
      <c r="W42" s="3" t="s">
        <v>10</v>
      </c>
      <c r="X42" s="3" t="s">
        <v>10</v>
      </c>
      <c r="Y42" s="3" t="s">
        <v>10</v>
      </c>
      <c r="Z42" s="3" t="s">
        <v>11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11</v>
      </c>
    </row>
  </sheetData>
  <autoFilter ref="A1:AE42"/>
  <conditionalFormatting sqref="AC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conditionalFormatting sqref="AC1:AE1">
    <cfRule type="cellIs" priority="4" operator="equal" aboveAverage="0" equalAverage="0" bottom="0" percent="0" rank="0" text="" dxfId="9">
      <formula>"Present"</formula>
    </cfRule>
    <cfRule type="cellIs" priority="5" operator="equal" aboveAverage="0" equalAverage="0" bottom="0" percent="0" rank="0" text="" dxfId="10">
      <formula>"Absent"</formula>
    </cfRule>
  </conditionalFormatting>
  <conditionalFormatting sqref="N36:Q40 Q41">
    <cfRule type="cellIs" priority="6" operator="equal" aboveAverage="0" equalAverage="0" bottom="0" percent="0" rank="0" text="" dxfId="9">
      <formula>"Present"</formula>
    </cfRule>
    <cfRule type="cellIs" priority="7" operator="equal" aboveAverage="0" equalAverage="0" bottom="0" percent="0" rank="0" text="" dxfId="10">
      <formula>"Absent"</formula>
    </cfRule>
  </conditionalFormatting>
  <conditionalFormatting sqref="I36:J36 J37 L36:M39 M40">
    <cfRule type="cellIs" priority="8" operator="equal" aboveAverage="0" equalAverage="0" bottom="0" percent="0" rank="0" text="" dxfId="9">
      <formula>"Present"</formula>
    </cfRule>
    <cfRule type="cellIs" priority="9" operator="equal" aboveAverage="0" equalAverage="0" bottom="0" percent="0" rank="0" text="" dxfId="10">
      <formula>"Absent"</formula>
    </cfRule>
  </conditionalFormatting>
  <conditionalFormatting sqref="N35:Q35">
    <cfRule type="cellIs" priority="10" operator="equal" aboveAverage="0" equalAverage="0" bottom="0" percent="0" rank="0" text="" dxfId="9">
      <formula>"Present"</formula>
    </cfRule>
    <cfRule type="cellIs" priority="11" operator="equal" aboveAverage="0" equalAverage="0" bottom="0" percent="0" rank="0" text="" dxfId="10">
      <formula>"Absent"</formula>
    </cfRule>
  </conditionalFormatting>
  <conditionalFormatting sqref="I35:J35 L35:M35">
    <cfRule type="cellIs" priority="12" operator="equal" aboveAverage="0" equalAverage="0" bottom="0" percent="0" rank="0" text="" dxfId="9">
      <formula>"Present"</formula>
    </cfRule>
    <cfRule type="cellIs" priority="13" operator="equal" aboveAverage="0" equalAverage="0" bottom="0" percent="0" rank="0" text="" dxfId="10">
      <formula>"Absent"</formula>
    </cfRule>
  </conditionalFormatting>
  <conditionalFormatting sqref="N2:V2 N3:Q34 R3:V4 R5:AB41 W2:AB4">
    <cfRule type="cellIs" priority="14" operator="equal" aboveAverage="0" equalAverage="0" bottom="0" percent="0" rank="0" text="" dxfId="9">
      <formula>"Present"</formula>
    </cfRule>
    <cfRule type="cellIs" priority="15" operator="equal" aboveAverage="0" equalAverage="0" bottom="0" percent="0" rank="0" text="" dxfId="10">
      <formula>"Absent"</formula>
    </cfRule>
  </conditionalFormatting>
  <conditionalFormatting sqref="I2:M2 I3:J34 K3:K39 L3:M34">
    <cfRule type="cellIs" priority="16" operator="equal" aboveAverage="0" equalAverage="0" bottom="0" percent="0" rank="0" text="" dxfId="9">
      <formula>"Present"</formula>
    </cfRule>
    <cfRule type="cellIs" priority="17" operator="equal" aboveAverage="0" equalAverage="0" bottom="0" percent="0" rank="0" text="" dxfId="10">
      <formula>"Absent"</formula>
    </cfRule>
  </conditionalFormatting>
  <conditionalFormatting sqref="S1:AB1">
    <cfRule type="cellIs" priority="18" operator="equal" aboveAverage="0" equalAverage="0" bottom="0" percent="0" rank="0" text="" dxfId="9">
      <formula>"Present"</formula>
    </cfRule>
    <cfRule type="cellIs" priority="19" operator="equal" aboveAverage="0" equalAverage="0" bottom="0" percent="0" rank="0" text="" dxfId="10">
      <formula>"Absent"</formula>
    </cfRule>
  </conditionalFormatting>
  <conditionalFormatting sqref="Q1">
    <cfRule type="cellIs" priority="20" operator="equal" aboveAverage="0" equalAverage="0" bottom="0" percent="0" rank="0" text="" dxfId="9">
      <formula>"Present"</formula>
    </cfRule>
    <cfRule type="cellIs" priority="21" operator="equal" aboveAverage="0" equalAverage="0" bottom="0" percent="0" rank="0" text="" dxfId="10">
      <formula>"Absent"</formula>
    </cfRule>
  </conditionalFormatting>
  <conditionalFormatting sqref="Q1:R1">
    <cfRule type="cellIs" priority="22" operator="equal" aboveAverage="0" equalAverage="0" bottom="0" percent="0" rank="0" text="" dxfId="9">
      <formula>"Present"</formula>
    </cfRule>
    <cfRule type="cellIs" priority="23" operator="equal" aboveAverage="0" equalAverage="0" bottom="0" percent="0" rank="0" text="" dxfId="10">
      <formula>"Absent"</formula>
    </cfRule>
  </conditionalFormatting>
  <conditionalFormatting sqref="B1:P1 E2:H37 I37:I39">
    <cfRule type="cellIs" priority="24" operator="equal" aboveAverage="0" equalAverage="0" bottom="0" percent="0" rank="0" text="" dxfId="9">
      <formula>"Present"</formula>
    </cfRule>
    <cfRule type="cellIs" priority="25" operator="equal" aboveAverage="0" equalAverage="0" bottom="0" percent="0" rank="0" text="" dxfId="10">
      <formula>"Absent"</formula>
    </cfRule>
  </conditionalFormatting>
  <dataValidations count="3">
    <dataValidation allowBlank="true" errorStyle="stop" operator="between" showDropDown="false" showErrorMessage="true" showInputMessage="true" sqref="E1:AB1" type="list">
      <formula1>$A$1:$AD$1</formula1>
      <formula2>0</formula2>
    </dataValidation>
    <dataValidation allowBlank="true" errorStyle="stop" operator="between" showDropDown="false" showErrorMessage="true" showInputMessage="true" sqref="E2:AB37 I38:I39 K38:AB39 M40:AB40 Q41:AB41" type="list">
      <formula1>"Present,Absent,Excused absence"</formula1>
      <formula2>0</formula2>
    </dataValidation>
    <dataValidation allowBlank="true" errorStyle="stop" operator="between" showDropDown="false" showErrorMessage="true" showInputMessage="true" sqref="AC1:AE1" type="list">
      <formula1>$A$1:$AE$1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34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B50" activeCellId="0" sqref="AB5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31" min="5" style="0" width="13"/>
    <col collapsed="false" customWidth="true" hidden="false" outlineLevel="0" max="32" min="32" style="0" width="10.57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n">
        <v>45931</v>
      </c>
      <c r="F1" s="2" t="n">
        <v>45936</v>
      </c>
      <c r="G1" s="2" t="n">
        <v>45937</v>
      </c>
      <c r="H1" s="2" t="n">
        <v>45938</v>
      </c>
      <c r="I1" s="2" t="n">
        <v>45943</v>
      </c>
      <c r="J1" s="2" t="n">
        <v>45945</v>
      </c>
      <c r="K1" s="2" t="n">
        <v>45950</v>
      </c>
      <c r="L1" s="2" t="n">
        <v>45952</v>
      </c>
      <c r="M1" s="2" t="n">
        <v>45957</v>
      </c>
      <c r="N1" s="2" t="n">
        <v>45959</v>
      </c>
      <c r="O1" s="2" t="n">
        <v>45964</v>
      </c>
      <c r="P1" s="2" t="n">
        <v>45966</v>
      </c>
      <c r="Q1" s="2" t="n">
        <v>45971</v>
      </c>
      <c r="R1" s="2" t="n">
        <v>45973</v>
      </c>
      <c r="S1" s="2" t="n">
        <v>45992</v>
      </c>
      <c r="T1" s="2" t="n">
        <v>45994</v>
      </c>
      <c r="U1" s="2" t="n">
        <v>45999</v>
      </c>
      <c r="V1" s="2" t="n">
        <v>46001</v>
      </c>
      <c r="W1" s="2" t="n">
        <v>46006</v>
      </c>
      <c r="X1" s="2" t="n">
        <v>46008</v>
      </c>
      <c r="Y1" s="2" t="n">
        <v>46013</v>
      </c>
      <c r="Z1" s="2" t="n">
        <v>46015</v>
      </c>
      <c r="AA1" s="2" t="n">
        <v>46020</v>
      </c>
      <c r="AB1" s="2" t="n">
        <v>45961</v>
      </c>
      <c r="AC1" s="1" t="s">
        <v>4</v>
      </c>
      <c r="AD1" s="1" t="s">
        <v>5</v>
      </c>
      <c r="AE1" s="1" t="s">
        <v>6</v>
      </c>
    </row>
    <row r="2" customFormat="false" ht="21.75" hidden="false" customHeight="true" outlineLevel="0" collapsed="false">
      <c r="A2" s="3" t="n">
        <v>1</v>
      </c>
      <c r="B2" s="3" t="s">
        <v>583</v>
      </c>
      <c r="C2" s="4" t="s">
        <v>584</v>
      </c>
      <c r="D2" s="3" t="s">
        <v>585</v>
      </c>
      <c r="E2" s="5" t="s">
        <v>10</v>
      </c>
      <c r="F2" s="5" t="s">
        <v>10</v>
      </c>
      <c r="G2" s="5" t="s">
        <v>10</v>
      </c>
      <c r="H2" s="5" t="s">
        <v>33</v>
      </c>
      <c r="I2" s="5" t="s">
        <v>10</v>
      </c>
      <c r="J2" s="5" t="s">
        <v>11</v>
      </c>
      <c r="K2" s="5" t="s">
        <v>10</v>
      </c>
      <c r="L2" s="5" t="s">
        <v>10</v>
      </c>
      <c r="M2" s="5" t="s">
        <v>10</v>
      </c>
      <c r="N2" s="5" t="s">
        <v>11</v>
      </c>
      <c r="O2" s="5" t="s">
        <v>10</v>
      </c>
      <c r="P2" s="5" t="s">
        <v>11</v>
      </c>
      <c r="Q2" s="5" t="s">
        <v>10</v>
      </c>
      <c r="R2" s="5" t="s">
        <v>11</v>
      </c>
      <c r="S2" s="5" t="s">
        <v>11</v>
      </c>
      <c r="T2" s="5" t="s">
        <v>10</v>
      </c>
      <c r="U2" s="5" t="s">
        <v>11</v>
      </c>
      <c r="V2" s="5" t="s">
        <v>11</v>
      </c>
      <c r="W2" s="5" t="s">
        <v>11</v>
      </c>
      <c r="X2" s="5" t="s">
        <v>10</v>
      </c>
      <c r="Y2" s="5" t="s">
        <v>11</v>
      </c>
      <c r="Z2" s="5" t="s">
        <v>10</v>
      </c>
      <c r="AA2" s="5" t="s">
        <v>10</v>
      </c>
      <c r="AB2" s="5" t="s">
        <v>10</v>
      </c>
      <c r="AC2" s="3" t="n">
        <f aca="false">COUNTIF(E2:AB2,"Absent")</f>
        <v>9</v>
      </c>
      <c r="AD2" s="3" t="n">
        <f aca="false">COUNTIF(E2:AB2,"Present")</f>
        <v>14</v>
      </c>
      <c r="AE2" s="3" t="n">
        <f aca="false">(AD2*5)+(AC2*-5)</f>
        <v>25</v>
      </c>
    </row>
    <row r="3" customFormat="false" ht="21.75" hidden="false" customHeight="true" outlineLevel="0" collapsed="false">
      <c r="A3" s="3" t="n">
        <v>2</v>
      </c>
      <c r="B3" s="3" t="s">
        <v>586</v>
      </c>
      <c r="C3" s="4" t="s">
        <v>587</v>
      </c>
      <c r="D3" s="3" t="s">
        <v>588</v>
      </c>
      <c r="E3" s="5" t="s">
        <v>10</v>
      </c>
      <c r="F3" s="5" t="s">
        <v>33</v>
      </c>
      <c r="G3" s="5" t="s">
        <v>10</v>
      </c>
      <c r="H3" s="5" t="s">
        <v>33</v>
      </c>
      <c r="I3" s="5" t="s">
        <v>10</v>
      </c>
      <c r="J3" s="5" t="s">
        <v>10</v>
      </c>
      <c r="K3" s="5" t="s">
        <v>10</v>
      </c>
      <c r="L3" s="5" t="s">
        <v>10</v>
      </c>
      <c r="M3" s="5" t="s">
        <v>10</v>
      </c>
      <c r="N3" s="5" t="s">
        <v>11</v>
      </c>
      <c r="O3" s="5" t="s">
        <v>11</v>
      </c>
      <c r="P3" s="5" t="s">
        <v>10</v>
      </c>
      <c r="Q3" s="5" t="s">
        <v>10</v>
      </c>
      <c r="R3" s="5" t="s">
        <v>10</v>
      </c>
      <c r="S3" s="5" t="s">
        <v>10</v>
      </c>
      <c r="T3" s="5" t="s">
        <v>11</v>
      </c>
      <c r="U3" s="5" t="s">
        <v>10</v>
      </c>
      <c r="V3" s="5" t="s">
        <v>10</v>
      </c>
      <c r="W3" s="5" t="s">
        <v>10</v>
      </c>
      <c r="X3" s="5" t="s">
        <v>11</v>
      </c>
      <c r="Y3" s="5" t="s">
        <v>10</v>
      </c>
      <c r="Z3" s="5" t="s">
        <v>10</v>
      </c>
      <c r="AA3" s="5" t="s">
        <v>11</v>
      </c>
      <c r="AB3" s="5" t="s">
        <v>11</v>
      </c>
      <c r="AC3" s="3" t="n">
        <f aca="false">COUNTIF(E3:AB3,"Absent")</f>
        <v>6</v>
      </c>
      <c r="AD3" s="3" t="n">
        <f aca="false">COUNTIF(E3:AB3,"Present")</f>
        <v>16</v>
      </c>
      <c r="AE3" s="3" t="n">
        <f aca="false">(AD3*5)+(AC3*-5)</f>
        <v>50</v>
      </c>
    </row>
    <row r="4" customFormat="false" ht="21.75" hidden="false" customHeight="true" outlineLevel="0" collapsed="false">
      <c r="A4" s="3" t="n">
        <v>3</v>
      </c>
      <c r="B4" s="3" t="s">
        <v>589</v>
      </c>
      <c r="C4" s="4" t="s">
        <v>590</v>
      </c>
      <c r="D4" s="3" t="s">
        <v>591</v>
      </c>
      <c r="E4" s="5" t="s">
        <v>11</v>
      </c>
      <c r="F4" s="5" t="s">
        <v>11</v>
      </c>
      <c r="G4" s="5" t="s">
        <v>10</v>
      </c>
      <c r="H4" s="5" t="s">
        <v>10</v>
      </c>
      <c r="I4" s="5" t="s">
        <v>10</v>
      </c>
      <c r="J4" s="5" t="s">
        <v>11</v>
      </c>
      <c r="K4" s="5" t="s">
        <v>11</v>
      </c>
      <c r="L4" s="5" t="s">
        <v>11</v>
      </c>
      <c r="M4" s="5" t="s">
        <v>11</v>
      </c>
      <c r="N4" s="5" t="s">
        <v>11</v>
      </c>
      <c r="O4" s="5" t="s">
        <v>11</v>
      </c>
      <c r="P4" s="5" t="s">
        <v>11</v>
      </c>
      <c r="Q4" s="5" t="s">
        <v>11</v>
      </c>
      <c r="R4" s="5" t="s">
        <v>11</v>
      </c>
      <c r="S4" s="5" t="s">
        <v>11</v>
      </c>
      <c r="T4" s="5" t="s">
        <v>11</v>
      </c>
      <c r="U4" s="5" t="s">
        <v>10</v>
      </c>
      <c r="V4" s="5" t="s">
        <v>11</v>
      </c>
      <c r="W4" s="5" t="s">
        <v>11</v>
      </c>
      <c r="X4" s="5" t="s">
        <v>10</v>
      </c>
      <c r="Y4" s="5" t="s">
        <v>10</v>
      </c>
      <c r="Z4" s="5" t="s">
        <v>10</v>
      </c>
      <c r="AA4" s="5" t="s">
        <v>11</v>
      </c>
      <c r="AB4" s="5" t="s">
        <v>10</v>
      </c>
      <c r="AC4" s="3" t="n">
        <f aca="false">COUNTIF(E4:AB4,"Absent")</f>
        <v>16</v>
      </c>
      <c r="AD4" s="3" t="n">
        <f aca="false">COUNTIF(E4:AB4,"Present")</f>
        <v>8</v>
      </c>
      <c r="AE4" s="3" t="n">
        <f aca="false">(AD4*5)+(AC4*-5)</f>
        <v>-40</v>
      </c>
    </row>
    <row r="5" customFormat="false" ht="21.75" hidden="false" customHeight="true" outlineLevel="0" collapsed="false">
      <c r="A5" s="3" t="n">
        <v>4</v>
      </c>
      <c r="B5" s="9" t="s">
        <v>592</v>
      </c>
      <c r="C5" s="6" t="s">
        <v>593</v>
      </c>
      <c r="D5" s="9" t="s">
        <v>594</v>
      </c>
      <c r="E5" s="5" t="s">
        <v>11</v>
      </c>
      <c r="F5" s="5" t="s">
        <v>11</v>
      </c>
      <c r="G5" s="5" t="s">
        <v>10</v>
      </c>
      <c r="H5" s="5" t="s">
        <v>10</v>
      </c>
      <c r="I5" s="5" t="s">
        <v>11</v>
      </c>
      <c r="J5" s="5" t="s">
        <v>11</v>
      </c>
      <c r="K5" s="5" t="s">
        <v>11</v>
      </c>
      <c r="L5" s="5" t="s">
        <v>10</v>
      </c>
      <c r="M5" s="5" t="s">
        <v>11</v>
      </c>
      <c r="N5" s="5" t="s">
        <v>11</v>
      </c>
      <c r="O5" s="5" t="s">
        <v>11</v>
      </c>
      <c r="P5" s="5" t="s">
        <v>11</v>
      </c>
      <c r="Q5" s="5" t="s">
        <v>11</v>
      </c>
      <c r="R5" s="5" t="s">
        <v>10</v>
      </c>
      <c r="S5" s="5" t="s">
        <v>11</v>
      </c>
      <c r="T5" s="5" t="s">
        <v>11</v>
      </c>
      <c r="U5" s="5" t="s">
        <v>11</v>
      </c>
      <c r="V5" s="5" t="s">
        <v>11</v>
      </c>
      <c r="W5" s="5" t="s">
        <v>11</v>
      </c>
      <c r="X5" s="5" t="s">
        <v>10</v>
      </c>
      <c r="Y5" s="5" t="s">
        <v>10</v>
      </c>
      <c r="Z5" s="5" t="s">
        <v>10</v>
      </c>
      <c r="AA5" s="5" t="s">
        <v>10</v>
      </c>
      <c r="AB5" s="5" t="s">
        <v>10</v>
      </c>
      <c r="AC5" s="3" t="n">
        <f aca="false">COUNTIF(E5:AB5,"Absent")</f>
        <v>15</v>
      </c>
      <c r="AD5" s="3" t="n">
        <f aca="false">COUNTIF(E5:AB5,"Present")</f>
        <v>9</v>
      </c>
      <c r="AE5" s="3" t="n">
        <f aca="false">(AD5*5)+(AC5*-5)</f>
        <v>-30</v>
      </c>
    </row>
    <row r="6" customFormat="false" ht="21.75" hidden="false" customHeight="true" outlineLevel="0" collapsed="false">
      <c r="A6" s="3" t="n">
        <v>5</v>
      </c>
      <c r="B6" s="3" t="s">
        <v>595</v>
      </c>
      <c r="C6" s="4" t="s">
        <v>596</v>
      </c>
      <c r="D6" s="3" t="s">
        <v>597</v>
      </c>
      <c r="E6" s="5" t="s">
        <v>33</v>
      </c>
      <c r="F6" s="5" t="s">
        <v>10</v>
      </c>
      <c r="G6" s="5" t="s">
        <v>11</v>
      </c>
      <c r="H6" s="5" t="s">
        <v>10</v>
      </c>
      <c r="I6" s="5" t="s">
        <v>11</v>
      </c>
      <c r="J6" s="5" t="s">
        <v>10</v>
      </c>
      <c r="K6" s="5" t="s">
        <v>10</v>
      </c>
      <c r="L6" s="5" t="s">
        <v>11</v>
      </c>
      <c r="M6" s="5" t="s">
        <v>10</v>
      </c>
      <c r="N6" s="5" t="s">
        <v>10</v>
      </c>
      <c r="O6" s="5" t="s">
        <v>11</v>
      </c>
      <c r="P6" s="5" t="s">
        <v>11</v>
      </c>
      <c r="Q6" s="5" t="s">
        <v>10</v>
      </c>
      <c r="R6" s="5" t="s">
        <v>11</v>
      </c>
      <c r="S6" s="5" t="s">
        <v>10</v>
      </c>
      <c r="T6" s="5" t="s">
        <v>10</v>
      </c>
      <c r="U6" s="5" t="s">
        <v>10</v>
      </c>
      <c r="V6" s="5" t="s">
        <v>11</v>
      </c>
      <c r="W6" s="5" t="s">
        <v>10</v>
      </c>
      <c r="X6" s="5" t="s">
        <v>10</v>
      </c>
      <c r="Y6" s="5" t="s">
        <v>10</v>
      </c>
      <c r="Z6" s="5" t="s">
        <v>33</v>
      </c>
      <c r="AA6" s="5" t="s">
        <v>10</v>
      </c>
      <c r="AB6" s="5" t="s">
        <v>10</v>
      </c>
      <c r="AC6" s="3" t="n">
        <f aca="false">COUNTIF(E6:AB6,"Absent")</f>
        <v>7</v>
      </c>
      <c r="AD6" s="3" t="n">
        <f aca="false">COUNTIF(E6:AB6,"Present")</f>
        <v>15</v>
      </c>
      <c r="AE6" s="3" t="n">
        <f aca="false">(AD6*5)+(AC6*-5)</f>
        <v>40</v>
      </c>
    </row>
    <row r="7" customFormat="false" ht="21.75" hidden="false" customHeight="true" outlineLevel="0" collapsed="false">
      <c r="A7" s="3" t="n">
        <v>6</v>
      </c>
      <c r="B7" s="3" t="s">
        <v>598</v>
      </c>
      <c r="C7" s="4" t="s">
        <v>599</v>
      </c>
      <c r="D7" s="3" t="s">
        <v>600</v>
      </c>
      <c r="E7" s="5" t="s">
        <v>10</v>
      </c>
      <c r="F7" s="5" t="s">
        <v>10</v>
      </c>
      <c r="G7" s="5" t="s">
        <v>11</v>
      </c>
      <c r="H7" s="5" t="s">
        <v>33</v>
      </c>
      <c r="I7" s="5" t="s">
        <v>10</v>
      </c>
      <c r="J7" s="5" t="s">
        <v>33</v>
      </c>
      <c r="K7" s="5" t="s">
        <v>10</v>
      </c>
      <c r="L7" s="5" t="s">
        <v>10</v>
      </c>
      <c r="M7" s="5" t="s">
        <v>10</v>
      </c>
      <c r="N7" s="5" t="s">
        <v>11</v>
      </c>
      <c r="O7" s="5" t="s">
        <v>10</v>
      </c>
      <c r="P7" s="5" t="s">
        <v>11</v>
      </c>
      <c r="Q7" s="5" t="s">
        <v>10</v>
      </c>
      <c r="R7" s="5" t="s">
        <v>10</v>
      </c>
      <c r="S7" s="5" t="s">
        <v>11</v>
      </c>
      <c r="T7" s="5" t="s">
        <v>10</v>
      </c>
      <c r="U7" s="5" t="s">
        <v>11</v>
      </c>
      <c r="V7" s="5" t="s">
        <v>11</v>
      </c>
      <c r="W7" s="5" t="s">
        <v>11</v>
      </c>
      <c r="X7" s="5" t="s">
        <v>10</v>
      </c>
      <c r="Y7" s="5" t="s">
        <v>10</v>
      </c>
      <c r="Z7" s="5" t="s">
        <v>10</v>
      </c>
      <c r="AA7" s="5" t="s">
        <v>10</v>
      </c>
      <c r="AB7" s="5" t="s">
        <v>10</v>
      </c>
      <c r="AC7" s="3" t="n">
        <f aca="false">COUNTIF(E7:AB7,"Absent")</f>
        <v>7</v>
      </c>
      <c r="AD7" s="3" t="n">
        <f aca="false">COUNTIF(E7:AB7,"Present")</f>
        <v>15</v>
      </c>
      <c r="AE7" s="3" t="n">
        <f aca="false">(AD7*5)+(AC7*-5)</f>
        <v>40</v>
      </c>
    </row>
    <row r="8" customFormat="false" ht="21.75" hidden="false" customHeight="true" outlineLevel="0" collapsed="false">
      <c r="A8" s="3" t="n">
        <v>7</v>
      </c>
      <c r="B8" s="3" t="s">
        <v>601</v>
      </c>
      <c r="C8" s="4" t="s">
        <v>602</v>
      </c>
      <c r="D8" s="3" t="s">
        <v>603</v>
      </c>
      <c r="E8" s="5" t="s">
        <v>10</v>
      </c>
      <c r="F8" s="5" t="s">
        <v>10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10</v>
      </c>
      <c r="L8" s="5" t="s">
        <v>10</v>
      </c>
      <c r="M8" s="5" t="s">
        <v>10</v>
      </c>
      <c r="N8" s="5" t="s">
        <v>10</v>
      </c>
      <c r="O8" s="5" t="s">
        <v>10</v>
      </c>
      <c r="P8" s="5" t="s">
        <v>11</v>
      </c>
      <c r="Q8" s="5" t="s">
        <v>10</v>
      </c>
      <c r="R8" s="5" t="s">
        <v>10</v>
      </c>
      <c r="S8" s="5" t="s">
        <v>10</v>
      </c>
      <c r="T8" s="5" t="s">
        <v>10</v>
      </c>
      <c r="U8" s="5" t="s">
        <v>11</v>
      </c>
      <c r="V8" s="5" t="s">
        <v>10</v>
      </c>
      <c r="W8" s="5" t="s">
        <v>11</v>
      </c>
      <c r="X8" s="5" t="s">
        <v>10</v>
      </c>
      <c r="Y8" s="5" t="s">
        <v>11</v>
      </c>
      <c r="Z8" s="5" t="s">
        <v>11</v>
      </c>
      <c r="AA8" s="5" t="s">
        <v>10</v>
      </c>
      <c r="AB8" s="5" t="s">
        <v>10</v>
      </c>
      <c r="AC8" s="3" t="n">
        <f aca="false">COUNTIF(E8:AB8,"Absent")</f>
        <v>5</v>
      </c>
      <c r="AD8" s="3" t="n">
        <f aca="false">COUNTIF(E8:AB8,"Present")</f>
        <v>19</v>
      </c>
      <c r="AE8" s="3" t="n">
        <f aca="false">(AD8*5)+(AC8*-5)</f>
        <v>70</v>
      </c>
    </row>
    <row r="9" customFormat="false" ht="21.75" hidden="false" customHeight="true" outlineLevel="0" collapsed="false">
      <c r="A9" s="3" t="n">
        <v>8</v>
      </c>
      <c r="B9" s="3" t="s">
        <v>604</v>
      </c>
      <c r="C9" s="4" t="s">
        <v>605</v>
      </c>
      <c r="D9" s="3" t="s">
        <v>606</v>
      </c>
      <c r="E9" s="5" t="s">
        <v>10</v>
      </c>
      <c r="F9" s="5" t="s">
        <v>10</v>
      </c>
      <c r="G9" s="5" t="s">
        <v>10</v>
      </c>
      <c r="H9" s="5" t="s">
        <v>33</v>
      </c>
      <c r="I9" s="5" t="s">
        <v>10</v>
      </c>
      <c r="J9" s="5" t="s">
        <v>10</v>
      </c>
      <c r="K9" s="5" t="s">
        <v>10</v>
      </c>
      <c r="L9" s="5" t="s">
        <v>10</v>
      </c>
      <c r="M9" s="5" t="s">
        <v>10</v>
      </c>
      <c r="N9" s="5" t="s">
        <v>10</v>
      </c>
      <c r="O9" s="5" t="s">
        <v>10</v>
      </c>
      <c r="P9" s="5" t="s">
        <v>11</v>
      </c>
      <c r="Q9" s="5" t="s">
        <v>11</v>
      </c>
      <c r="R9" s="5" t="s">
        <v>10</v>
      </c>
      <c r="S9" s="5" t="s">
        <v>10</v>
      </c>
      <c r="T9" s="5" t="s">
        <v>10</v>
      </c>
      <c r="U9" s="5" t="s">
        <v>10</v>
      </c>
      <c r="V9" s="5" t="s">
        <v>11</v>
      </c>
      <c r="W9" s="5" t="s">
        <v>11</v>
      </c>
      <c r="X9" s="5" t="s">
        <v>11</v>
      </c>
      <c r="Y9" s="5" t="s">
        <v>10</v>
      </c>
      <c r="Z9" s="5" t="s">
        <v>11</v>
      </c>
      <c r="AA9" s="5" t="s">
        <v>10</v>
      </c>
      <c r="AB9" s="5" t="s">
        <v>10</v>
      </c>
      <c r="AC9" s="3" t="n">
        <f aca="false">COUNTIF(E9:AB9,"Absent")</f>
        <v>6</v>
      </c>
      <c r="AD9" s="3" t="n">
        <f aca="false">COUNTIF(E9:AB9,"Present")</f>
        <v>17</v>
      </c>
      <c r="AE9" s="3" t="n">
        <f aca="false">(AD9*5)+(AC9*-5)</f>
        <v>55</v>
      </c>
    </row>
    <row r="10" customFormat="false" ht="21.75" hidden="false" customHeight="true" outlineLevel="0" collapsed="false">
      <c r="A10" s="3" t="n">
        <v>9</v>
      </c>
      <c r="B10" s="3" t="s">
        <v>607</v>
      </c>
      <c r="C10" s="4" t="s">
        <v>608</v>
      </c>
      <c r="D10" s="3" t="s">
        <v>609</v>
      </c>
      <c r="E10" s="5" t="s">
        <v>10</v>
      </c>
      <c r="F10" s="5" t="s">
        <v>10</v>
      </c>
      <c r="G10" s="5" t="s">
        <v>10</v>
      </c>
      <c r="H10" s="5" t="s">
        <v>33</v>
      </c>
      <c r="I10" s="5" t="s">
        <v>10</v>
      </c>
      <c r="J10" s="5" t="s">
        <v>33</v>
      </c>
      <c r="K10" s="5" t="s">
        <v>10</v>
      </c>
      <c r="L10" s="5" t="s">
        <v>11</v>
      </c>
      <c r="M10" s="5" t="s">
        <v>10</v>
      </c>
      <c r="N10" s="5" t="s">
        <v>10</v>
      </c>
      <c r="O10" s="5" t="s">
        <v>11</v>
      </c>
      <c r="P10" s="5" t="s">
        <v>11</v>
      </c>
      <c r="Q10" s="5" t="s">
        <v>10</v>
      </c>
      <c r="R10" s="5" t="s">
        <v>11</v>
      </c>
      <c r="S10" s="5" t="s">
        <v>11</v>
      </c>
      <c r="T10" s="5" t="s">
        <v>11</v>
      </c>
      <c r="U10" s="5" t="s">
        <v>11</v>
      </c>
      <c r="V10" s="5" t="s">
        <v>10</v>
      </c>
      <c r="W10" s="5" t="s">
        <v>11</v>
      </c>
      <c r="X10" s="5" t="s">
        <v>10</v>
      </c>
      <c r="Y10" s="5" t="s">
        <v>11</v>
      </c>
      <c r="Z10" s="5" t="s">
        <v>10</v>
      </c>
      <c r="AA10" s="5" t="s">
        <v>11</v>
      </c>
      <c r="AB10" s="5" t="s">
        <v>10</v>
      </c>
      <c r="AC10" s="3" t="n">
        <f aca="false">COUNTIF(E10:AB10,"Absent")</f>
        <v>10</v>
      </c>
      <c r="AD10" s="3" t="n">
        <f aca="false">COUNTIF(E10:AB10,"Present")</f>
        <v>12</v>
      </c>
      <c r="AE10" s="3" t="n">
        <f aca="false">(AD10*5)+(AC10*-5)</f>
        <v>10</v>
      </c>
    </row>
    <row r="11" customFormat="false" ht="21.75" hidden="false" customHeight="true" outlineLevel="0" collapsed="false">
      <c r="A11" s="3" t="n">
        <v>10</v>
      </c>
      <c r="B11" s="9" t="s">
        <v>610</v>
      </c>
      <c r="C11" s="6" t="s">
        <v>611</v>
      </c>
      <c r="D11" s="9" t="s">
        <v>612</v>
      </c>
      <c r="E11" s="5" t="s">
        <v>11</v>
      </c>
      <c r="F11" s="5" t="s">
        <v>10</v>
      </c>
      <c r="G11" s="5" t="s">
        <v>10</v>
      </c>
      <c r="H11" s="5" t="s">
        <v>11</v>
      </c>
      <c r="I11" s="5" t="s">
        <v>11</v>
      </c>
      <c r="J11" s="5" t="s">
        <v>11</v>
      </c>
      <c r="K11" s="5" t="s">
        <v>10</v>
      </c>
      <c r="L11" s="5" t="s">
        <v>11</v>
      </c>
      <c r="M11" s="5" t="s">
        <v>10</v>
      </c>
      <c r="N11" s="5" t="s">
        <v>11</v>
      </c>
      <c r="O11" s="5" t="s">
        <v>10</v>
      </c>
      <c r="P11" s="5" t="s">
        <v>10</v>
      </c>
      <c r="Q11" s="5" t="s">
        <v>11</v>
      </c>
      <c r="R11" s="5" t="s">
        <v>11</v>
      </c>
      <c r="S11" s="5" t="s">
        <v>11</v>
      </c>
      <c r="T11" s="5" t="s">
        <v>11</v>
      </c>
      <c r="U11" s="5" t="s">
        <v>11</v>
      </c>
      <c r="V11" s="5" t="s">
        <v>11</v>
      </c>
      <c r="W11" s="5" t="s">
        <v>11</v>
      </c>
      <c r="X11" s="5" t="s">
        <v>10</v>
      </c>
      <c r="Y11" s="5" t="s">
        <v>11</v>
      </c>
      <c r="Z11" s="5" t="s">
        <v>11</v>
      </c>
      <c r="AA11" s="5" t="s">
        <v>10</v>
      </c>
      <c r="AB11" s="5" t="s">
        <v>11</v>
      </c>
      <c r="AC11" s="3" t="n">
        <f aca="false">COUNTIF(E11:AB11,"Absent")</f>
        <v>16</v>
      </c>
      <c r="AD11" s="3" t="n">
        <f aca="false">COUNTIF(E11:AB11,"Present")</f>
        <v>8</v>
      </c>
      <c r="AE11" s="3" t="n">
        <f aca="false">(AD11*5)+(AC11*-5)</f>
        <v>-40</v>
      </c>
    </row>
    <row r="12" customFormat="false" ht="21.75" hidden="false" customHeight="true" outlineLevel="0" collapsed="false">
      <c r="A12" s="3" t="n">
        <v>11</v>
      </c>
      <c r="B12" s="3" t="s">
        <v>613</v>
      </c>
      <c r="C12" s="4" t="s">
        <v>614</v>
      </c>
      <c r="D12" s="3" t="s">
        <v>615</v>
      </c>
      <c r="E12" s="5" t="s">
        <v>10</v>
      </c>
      <c r="F12" s="5" t="s">
        <v>10</v>
      </c>
      <c r="G12" s="5" t="s">
        <v>10</v>
      </c>
      <c r="H12" s="5" t="s">
        <v>11</v>
      </c>
      <c r="I12" s="5" t="s">
        <v>33</v>
      </c>
      <c r="J12" s="5" t="s">
        <v>10</v>
      </c>
      <c r="K12" s="5" t="s">
        <v>10</v>
      </c>
      <c r="L12" s="5" t="s">
        <v>10</v>
      </c>
      <c r="M12" s="5" t="s">
        <v>10</v>
      </c>
      <c r="N12" s="5" t="s">
        <v>10</v>
      </c>
      <c r="O12" s="5" t="s">
        <v>11</v>
      </c>
      <c r="P12" s="5" t="s">
        <v>10</v>
      </c>
      <c r="Q12" s="5" t="s">
        <v>10</v>
      </c>
      <c r="R12" s="5" t="s">
        <v>10</v>
      </c>
      <c r="S12" s="5" t="s">
        <v>11</v>
      </c>
      <c r="T12" s="5" t="s">
        <v>10</v>
      </c>
      <c r="U12" s="5" t="s">
        <v>11</v>
      </c>
      <c r="V12" s="5" t="s">
        <v>11</v>
      </c>
      <c r="W12" s="5" t="s">
        <v>11</v>
      </c>
      <c r="X12" s="5" t="s">
        <v>33</v>
      </c>
      <c r="Y12" s="5" t="s">
        <v>10</v>
      </c>
      <c r="Z12" s="5" t="s">
        <v>11</v>
      </c>
      <c r="AA12" s="5" t="s">
        <v>10</v>
      </c>
      <c r="AB12" s="5" t="s">
        <v>10</v>
      </c>
      <c r="AC12" s="3" t="n">
        <f aca="false">COUNTIF(E12:AB12,"Absent")</f>
        <v>7</v>
      </c>
      <c r="AD12" s="3" t="n">
        <f aca="false">COUNTIF(E12:AB12,"Present")</f>
        <v>15</v>
      </c>
      <c r="AE12" s="3" t="n">
        <f aca="false">(AD12*5)+(AC12*-5)</f>
        <v>40</v>
      </c>
    </row>
    <row r="13" customFormat="false" ht="21.75" hidden="false" customHeight="true" outlineLevel="0" collapsed="false">
      <c r="A13" s="3" t="n">
        <v>12</v>
      </c>
      <c r="B13" s="3" t="s">
        <v>616</v>
      </c>
      <c r="C13" s="4" t="s">
        <v>617</v>
      </c>
      <c r="D13" s="3" t="s">
        <v>618</v>
      </c>
      <c r="E13" s="5" t="s">
        <v>10</v>
      </c>
      <c r="F13" s="5" t="s">
        <v>10</v>
      </c>
      <c r="G13" s="5" t="s">
        <v>10</v>
      </c>
      <c r="H13" s="5" t="s">
        <v>10</v>
      </c>
      <c r="I13" s="5" t="s">
        <v>10</v>
      </c>
      <c r="J13" s="5" t="s">
        <v>33</v>
      </c>
      <c r="K13" s="5" t="s">
        <v>10</v>
      </c>
      <c r="L13" s="5" t="s">
        <v>10</v>
      </c>
      <c r="M13" s="5" t="s">
        <v>10</v>
      </c>
      <c r="N13" s="5" t="s">
        <v>10</v>
      </c>
      <c r="O13" s="5" t="s">
        <v>10</v>
      </c>
      <c r="P13" s="5" t="s">
        <v>10</v>
      </c>
      <c r="Q13" s="5" t="s">
        <v>10</v>
      </c>
      <c r="R13" s="5" t="s">
        <v>10</v>
      </c>
      <c r="S13" s="5" t="s">
        <v>11</v>
      </c>
      <c r="T13" s="5" t="s">
        <v>10</v>
      </c>
      <c r="U13" s="5" t="s">
        <v>10</v>
      </c>
      <c r="V13" s="5" t="s">
        <v>10</v>
      </c>
      <c r="W13" s="5" t="s">
        <v>10</v>
      </c>
      <c r="X13" s="5" t="s">
        <v>10</v>
      </c>
      <c r="Y13" s="5" t="s">
        <v>11</v>
      </c>
      <c r="Z13" s="5" t="s">
        <v>10</v>
      </c>
      <c r="AA13" s="5" t="s">
        <v>10</v>
      </c>
      <c r="AB13" s="5" t="s">
        <v>11</v>
      </c>
      <c r="AC13" s="3" t="n">
        <f aca="false">COUNTIF(E13:AB13,"Absent")</f>
        <v>3</v>
      </c>
      <c r="AD13" s="3" t="n">
        <f aca="false">COUNTIF(E13:AB13,"Present")</f>
        <v>20</v>
      </c>
      <c r="AE13" s="3" t="n">
        <f aca="false">(AD13*5)+(AC13*-5)</f>
        <v>85</v>
      </c>
    </row>
    <row r="14" customFormat="false" ht="21.75" hidden="false" customHeight="true" outlineLevel="0" collapsed="false">
      <c r="A14" s="3" t="n">
        <v>13</v>
      </c>
      <c r="B14" s="3" t="s">
        <v>619</v>
      </c>
      <c r="C14" s="4" t="s">
        <v>620</v>
      </c>
      <c r="D14" s="3" t="s">
        <v>621</v>
      </c>
      <c r="E14" s="5" t="s">
        <v>10</v>
      </c>
      <c r="F14" s="5" t="s">
        <v>10</v>
      </c>
      <c r="G14" s="5" t="s">
        <v>11</v>
      </c>
      <c r="H14" s="5" t="s">
        <v>10</v>
      </c>
      <c r="I14" s="5" t="s">
        <v>10</v>
      </c>
      <c r="J14" s="5" t="s">
        <v>10</v>
      </c>
      <c r="K14" s="5" t="s">
        <v>11</v>
      </c>
      <c r="L14" s="5" t="s">
        <v>10</v>
      </c>
      <c r="M14" s="5" t="s">
        <v>10</v>
      </c>
      <c r="N14" s="5" t="s">
        <v>10</v>
      </c>
      <c r="O14" s="5" t="s">
        <v>10</v>
      </c>
      <c r="P14" s="5" t="s">
        <v>10</v>
      </c>
      <c r="Q14" s="5" t="s">
        <v>10</v>
      </c>
      <c r="R14" s="5" t="s">
        <v>10</v>
      </c>
      <c r="S14" s="5" t="s">
        <v>10</v>
      </c>
      <c r="T14" s="5" t="s">
        <v>10</v>
      </c>
      <c r="U14" s="5" t="s">
        <v>10</v>
      </c>
      <c r="V14" s="5" t="s">
        <v>10</v>
      </c>
      <c r="W14" s="5" t="s">
        <v>10</v>
      </c>
      <c r="X14" s="5" t="s">
        <v>10</v>
      </c>
      <c r="Y14" s="5" t="s">
        <v>10</v>
      </c>
      <c r="Z14" s="5" t="s">
        <v>33</v>
      </c>
      <c r="AA14" s="5" t="s">
        <v>11</v>
      </c>
      <c r="AB14" s="5" t="s">
        <v>11</v>
      </c>
      <c r="AC14" s="3" t="n">
        <f aca="false">COUNTIF(E14:AB14,"Absent")</f>
        <v>4</v>
      </c>
      <c r="AD14" s="3" t="n">
        <f aca="false">COUNTIF(E14:AB14,"Present")</f>
        <v>19</v>
      </c>
      <c r="AE14" s="3" t="n">
        <f aca="false">(AD14*5)+(AC14*-5)</f>
        <v>75</v>
      </c>
    </row>
    <row r="15" customFormat="false" ht="21.75" hidden="false" customHeight="true" outlineLevel="0" collapsed="false">
      <c r="A15" s="3" t="n">
        <v>14</v>
      </c>
      <c r="B15" s="3" t="s">
        <v>622</v>
      </c>
      <c r="C15" s="4" t="s">
        <v>623</v>
      </c>
      <c r="D15" s="3" t="s">
        <v>624</v>
      </c>
      <c r="E15" s="5" t="s">
        <v>10</v>
      </c>
      <c r="F15" s="5" t="s">
        <v>10</v>
      </c>
      <c r="G15" s="5" t="s">
        <v>10</v>
      </c>
      <c r="H15" s="5" t="s">
        <v>10</v>
      </c>
      <c r="I15" s="5" t="s">
        <v>11</v>
      </c>
      <c r="J15" s="5" t="s">
        <v>10</v>
      </c>
      <c r="K15" s="5" t="s">
        <v>10</v>
      </c>
      <c r="L15" s="5" t="s">
        <v>11</v>
      </c>
      <c r="M15" s="5" t="s">
        <v>10</v>
      </c>
      <c r="N15" s="5" t="s">
        <v>10</v>
      </c>
      <c r="O15" s="5" t="s">
        <v>10</v>
      </c>
      <c r="P15" s="5" t="s">
        <v>10</v>
      </c>
      <c r="Q15" s="5" t="s">
        <v>10</v>
      </c>
      <c r="R15" s="5" t="s">
        <v>10</v>
      </c>
      <c r="S15" s="5" t="s">
        <v>11</v>
      </c>
      <c r="T15" s="5" t="s">
        <v>10</v>
      </c>
      <c r="U15" s="5" t="s">
        <v>11</v>
      </c>
      <c r="V15" s="5" t="s">
        <v>10</v>
      </c>
      <c r="W15" s="5" t="s">
        <v>11</v>
      </c>
      <c r="X15" s="5" t="s">
        <v>11</v>
      </c>
      <c r="Y15" s="5" t="s">
        <v>10</v>
      </c>
      <c r="Z15" s="5" t="s">
        <v>10</v>
      </c>
      <c r="AA15" s="5" t="s">
        <v>11</v>
      </c>
      <c r="AB15" s="5" t="s">
        <v>11</v>
      </c>
      <c r="AC15" s="3" t="n">
        <f aca="false">COUNTIF(E15:AB15,"Absent")</f>
        <v>8</v>
      </c>
      <c r="AD15" s="3" t="n">
        <f aca="false">COUNTIF(E15:AB15,"Present")</f>
        <v>16</v>
      </c>
      <c r="AE15" s="3" t="n">
        <f aca="false">(AD15*5)+(AC15*-5)</f>
        <v>40</v>
      </c>
    </row>
    <row r="16" customFormat="false" ht="21.75" hidden="false" customHeight="true" outlineLevel="0" collapsed="false">
      <c r="A16" s="3" t="n">
        <v>15</v>
      </c>
      <c r="B16" s="3" t="s">
        <v>625</v>
      </c>
      <c r="C16" s="4" t="s">
        <v>626</v>
      </c>
      <c r="D16" s="3" t="s">
        <v>627</v>
      </c>
      <c r="E16" s="5" t="s">
        <v>10</v>
      </c>
      <c r="F16" s="5" t="s">
        <v>10</v>
      </c>
      <c r="G16" s="5" t="s">
        <v>11</v>
      </c>
      <c r="H16" s="5" t="s">
        <v>10</v>
      </c>
      <c r="I16" s="5" t="s">
        <v>10</v>
      </c>
      <c r="J16" s="5" t="s">
        <v>33</v>
      </c>
      <c r="K16" s="5" t="s">
        <v>10</v>
      </c>
      <c r="L16" s="5" t="s">
        <v>10</v>
      </c>
      <c r="M16" s="5" t="s">
        <v>10</v>
      </c>
      <c r="N16" s="5" t="s">
        <v>10</v>
      </c>
      <c r="O16" s="5" t="s">
        <v>11</v>
      </c>
      <c r="P16" s="5" t="s">
        <v>10</v>
      </c>
      <c r="Q16" s="5" t="s">
        <v>10</v>
      </c>
      <c r="R16" s="5" t="s">
        <v>11</v>
      </c>
      <c r="S16" s="5" t="s">
        <v>10</v>
      </c>
      <c r="T16" s="5" t="s">
        <v>10</v>
      </c>
      <c r="U16" s="5" t="s">
        <v>11</v>
      </c>
      <c r="V16" s="5" t="s">
        <v>10</v>
      </c>
      <c r="W16" s="5" t="s">
        <v>10</v>
      </c>
      <c r="X16" s="5" t="s">
        <v>10</v>
      </c>
      <c r="Y16" s="5" t="s">
        <v>10</v>
      </c>
      <c r="Z16" s="5" t="s">
        <v>10</v>
      </c>
      <c r="AA16" s="5" t="s">
        <v>33</v>
      </c>
      <c r="AB16" s="5" t="s">
        <v>11</v>
      </c>
      <c r="AC16" s="3" t="n">
        <f aca="false">COUNTIF(E16:AB16,"Absent")</f>
        <v>5</v>
      </c>
      <c r="AD16" s="3" t="n">
        <f aca="false">COUNTIF(E16:AB16,"Present")</f>
        <v>17</v>
      </c>
      <c r="AE16" s="3" t="n">
        <f aca="false">(AD16*5)+(AC16*-5)</f>
        <v>60</v>
      </c>
    </row>
    <row r="17" customFormat="false" ht="21.75" hidden="false" customHeight="true" outlineLevel="0" collapsed="false">
      <c r="A17" s="3" t="n">
        <v>16</v>
      </c>
      <c r="B17" s="9" t="s">
        <v>628</v>
      </c>
      <c r="C17" s="6" t="s">
        <v>629</v>
      </c>
      <c r="D17" s="3" t="s">
        <v>630</v>
      </c>
      <c r="E17" s="5" t="s">
        <v>10</v>
      </c>
      <c r="F17" s="5" t="s">
        <v>33</v>
      </c>
      <c r="G17" s="5" t="s">
        <v>10</v>
      </c>
      <c r="H17" s="5" t="s">
        <v>33</v>
      </c>
      <c r="I17" s="5" t="s">
        <v>33</v>
      </c>
      <c r="J17" s="5" t="s">
        <v>33</v>
      </c>
      <c r="K17" s="5" t="s">
        <v>33</v>
      </c>
      <c r="L17" s="5" t="s">
        <v>33</v>
      </c>
      <c r="M17" s="5" t="s">
        <v>33</v>
      </c>
      <c r="N17" s="5" t="s">
        <v>33</v>
      </c>
      <c r="O17" s="5" t="s">
        <v>10</v>
      </c>
      <c r="P17" s="5" t="s">
        <v>10</v>
      </c>
      <c r="Q17" s="5" t="s">
        <v>33</v>
      </c>
      <c r="R17" s="5" t="s">
        <v>10</v>
      </c>
      <c r="S17" s="5" t="s">
        <v>33</v>
      </c>
      <c r="T17" s="5" t="s">
        <v>33</v>
      </c>
      <c r="U17" s="5" t="s">
        <v>33</v>
      </c>
      <c r="V17" s="5" t="s">
        <v>33</v>
      </c>
      <c r="W17" s="5" t="s">
        <v>33</v>
      </c>
      <c r="X17" s="5" t="s">
        <v>11</v>
      </c>
      <c r="Y17" s="5" t="s">
        <v>10</v>
      </c>
      <c r="Z17" s="5" t="s">
        <v>10</v>
      </c>
      <c r="AA17" s="5" t="s">
        <v>11</v>
      </c>
      <c r="AB17" s="5" t="s">
        <v>11</v>
      </c>
      <c r="AC17" s="3" t="n">
        <f aca="false">COUNTIF(E17:AB17,"Absent")</f>
        <v>3</v>
      </c>
      <c r="AD17" s="3" t="n">
        <f aca="false">COUNTIF(E17:AB17,"Present")</f>
        <v>7</v>
      </c>
      <c r="AE17" s="3" t="n">
        <f aca="false">(AD17*5)+(AC17*-5)</f>
        <v>20</v>
      </c>
    </row>
    <row r="18" customFormat="false" ht="21.75" hidden="false" customHeight="true" outlineLevel="0" collapsed="false">
      <c r="A18" s="3" t="n">
        <v>17</v>
      </c>
      <c r="B18" s="3" t="s">
        <v>631</v>
      </c>
      <c r="C18" s="4" t="s">
        <v>632</v>
      </c>
      <c r="D18" s="3" t="s">
        <v>633</v>
      </c>
      <c r="E18" s="5" t="s">
        <v>10</v>
      </c>
      <c r="F18" s="5" t="s">
        <v>10</v>
      </c>
      <c r="G18" s="5" t="s">
        <v>10</v>
      </c>
      <c r="H18" s="5" t="s">
        <v>10</v>
      </c>
      <c r="I18" s="5" t="s">
        <v>11</v>
      </c>
      <c r="J18" s="5" t="s">
        <v>11</v>
      </c>
      <c r="K18" s="5" t="s">
        <v>10</v>
      </c>
      <c r="L18" s="5" t="s">
        <v>10</v>
      </c>
      <c r="M18" s="5" t="s">
        <v>10</v>
      </c>
      <c r="N18" s="5" t="s">
        <v>10</v>
      </c>
      <c r="O18" s="5" t="s">
        <v>10</v>
      </c>
      <c r="P18" s="5" t="s">
        <v>10</v>
      </c>
      <c r="Q18" s="5" t="s">
        <v>10</v>
      </c>
      <c r="R18" s="5" t="s">
        <v>10</v>
      </c>
      <c r="S18" s="5" t="s">
        <v>10</v>
      </c>
      <c r="T18" s="5" t="s">
        <v>10</v>
      </c>
      <c r="U18" s="5" t="s">
        <v>11</v>
      </c>
      <c r="V18" s="5" t="s">
        <v>10</v>
      </c>
      <c r="W18" s="5" t="s">
        <v>11</v>
      </c>
      <c r="X18" s="5" t="s">
        <v>10</v>
      </c>
      <c r="Y18" s="5" t="s">
        <v>10</v>
      </c>
      <c r="Z18" s="5" t="s">
        <v>10</v>
      </c>
      <c r="AA18" s="5" t="s">
        <v>10</v>
      </c>
      <c r="AB18" s="5" t="s">
        <v>10</v>
      </c>
      <c r="AC18" s="3" t="n">
        <f aca="false">COUNTIF(E18:AB18,"Absent")</f>
        <v>4</v>
      </c>
      <c r="AD18" s="3" t="n">
        <f aca="false">COUNTIF(E18:AB18,"Present")</f>
        <v>20</v>
      </c>
      <c r="AE18" s="3" t="n">
        <f aca="false">(AD18*5)+(AC18*-5)</f>
        <v>80</v>
      </c>
    </row>
    <row r="19" customFormat="false" ht="21.75" hidden="false" customHeight="true" outlineLevel="0" collapsed="false">
      <c r="A19" s="3" t="n">
        <v>18</v>
      </c>
      <c r="B19" s="9" t="s">
        <v>634</v>
      </c>
      <c r="C19" s="6" t="s">
        <v>635</v>
      </c>
      <c r="D19" s="3" t="s">
        <v>636</v>
      </c>
      <c r="E19" s="5" t="s">
        <v>33</v>
      </c>
      <c r="F19" s="5" t="s">
        <v>10</v>
      </c>
      <c r="G19" s="5" t="s">
        <v>10</v>
      </c>
      <c r="H19" s="5" t="s">
        <v>10</v>
      </c>
      <c r="I19" s="5" t="s">
        <v>10</v>
      </c>
      <c r="J19" s="5" t="s">
        <v>11</v>
      </c>
      <c r="K19" s="5" t="s">
        <v>11</v>
      </c>
      <c r="L19" s="5" t="s">
        <v>10</v>
      </c>
      <c r="M19" s="5" t="s">
        <v>11</v>
      </c>
      <c r="N19" s="5" t="s">
        <v>10</v>
      </c>
      <c r="O19" s="5" t="s">
        <v>10</v>
      </c>
      <c r="P19" s="5" t="s">
        <v>10</v>
      </c>
      <c r="Q19" s="5" t="s">
        <v>10</v>
      </c>
      <c r="R19" s="5" t="s">
        <v>10</v>
      </c>
      <c r="S19" s="5" t="s">
        <v>11</v>
      </c>
      <c r="T19" s="5" t="s">
        <v>10</v>
      </c>
      <c r="U19" s="5" t="s">
        <v>10</v>
      </c>
      <c r="V19" s="5" t="s">
        <v>10</v>
      </c>
      <c r="W19" s="5" t="s">
        <v>11</v>
      </c>
      <c r="X19" s="5" t="s">
        <v>10</v>
      </c>
      <c r="Y19" s="5" t="s">
        <v>10</v>
      </c>
      <c r="Z19" s="5" t="s">
        <v>11</v>
      </c>
      <c r="AA19" s="5" t="s">
        <v>10</v>
      </c>
      <c r="AB19" s="5" t="s">
        <v>11</v>
      </c>
      <c r="AC19" s="3" t="n">
        <f aca="false">COUNTIF(E19:AB19,"Absent")</f>
        <v>7</v>
      </c>
      <c r="AD19" s="3" t="n">
        <f aca="false">COUNTIF(E19:AB19,"Present")</f>
        <v>16</v>
      </c>
      <c r="AE19" s="3" t="n">
        <f aca="false">(AD19*5)+(AC19*-5)</f>
        <v>45</v>
      </c>
    </row>
    <row r="20" customFormat="false" ht="21.75" hidden="false" customHeight="true" outlineLevel="0" collapsed="false">
      <c r="A20" s="3" t="n">
        <v>19</v>
      </c>
      <c r="B20" s="3" t="s">
        <v>637</v>
      </c>
      <c r="C20" s="4" t="s">
        <v>638</v>
      </c>
      <c r="D20" s="3" t="s">
        <v>639</v>
      </c>
      <c r="E20" s="5" t="s">
        <v>10</v>
      </c>
      <c r="F20" s="5" t="s">
        <v>10</v>
      </c>
      <c r="G20" s="5" t="s">
        <v>10</v>
      </c>
      <c r="H20" s="5" t="s">
        <v>10</v>
      </c>
      <c r="I20" s="5" t="s">
        <v>10</v>
      </c>
      <c r="J20" s="5" t="s">
        <v>11</v>
      </c>
      <c r="K20" s="5" t="s">
        <v>10</v>
      </c>
      <c r="L20" s="5" t="s">
        <v>11</v>
      </c>
      <c r="M20" s="5" t="s">
        <v>10</v>
      </c>
      <c r="N20" s="5" t="s">
        <v>10</v>
      </c>
      <c r="O20" s="5" t="s">
        <v>11</v>
      </c>
      <c r="P20" s="5" t="s">
        <v>10</v>
      </c>
      <c r="Q20" s="5" t="s">
        <v>10</v>
      </c>
      <c r="R20" s="5" t="s">
        <v>10</v>
      </c>
      <c r="S20" s="5" t="s">
        <v>10</v>
      </c>
      <c r="T20" s="5" t="s">
        <v>10</v>
      </c>
      <c r="U20" s="5" t="s">
        <v>11</v>
      </c>
      <c r="V20" s="5" t="s">
        <v>10</v>
      </c>
      <c r="W20" s="5" t="s">
        <v>11</v>
      </c>
      <c r="X20" s="5" t="s">
        <v>10</v>
      </c>
      <c r="Y20" s="5" t="s">
        <v>10</v>
      </c>
      <c r="Z20" s="5" t="s">
        <v>10</v>
      </c>
      <c r="AA20" s="5" t="s">
        <v>10</v>
      </c>
      <c r="AB20" s="5" t="s">
        <v>10</v>
      </c>
      <c r="AC20" s="3" t="n">
        <f aca="false">COUNTIF(E20:AB20,"Absent")</f>
        <v>5</v>
      </c>
      <c r="AD20" s="3" t="n">
        <f aca="false">COUNTIF(E20:AB20,"Present")</f>
        <v>19</v>
      </c>
      <c r="AE20" s="3" t="n">
        <f aca="false">(AD20*5)+(AC20*-5)</f>
        <v>70</v>
      </c>
    </row>
    <row r="21" customFormat="false" ht="21.75" hidden="false" customHeight="true" outlineLevel="0" collapsed="false">
      <c r="A21" s="3" t="n">
        <v>20</v>
      </c>
      <c r="B21" s="3" t="s">
        <v>640</v>
      </c>
      <c r="C21" s="4" t="s">
        <v>641</v>
      </c>
      <c r="D21" s="3" t="s">
        <v>642</v>
      </c>
      <c r="E21" s="5" t="s">
        <v>10</v>
      </c>
      <c r="F21" s="5" t="s">
        <v>10</v>
      </c>
      <c r="G21" s="5" t="s">
        <v>10</v>
      </c>
      <c r="H21" s="5" t="s">
        <v>11</v>
      </c>
      <c r="I21" s="5" t="s">
        <v>10</v>
      </c>
      <c r="J21" s="5" t="s">
        <v>10</v>
      </c>
      <c r="K21" s="5" t="s">
        <v>10</v>
      </c>
      <c r="L21" s="5" t="s">
        <v>10</v>
      </c>
      <c r="M21" s="5" t="s">
        <v>10</v>
      </c>
      <c r="N21" s="5" t="s">
        <v>11</v>
      </c>
      <c r="O21" s="5" t="s">
        <v>10</v>
      </c>
      <c r="P21" s="5" t="s">
        <v>11</v>
      </c>
      <c r="Q21" s="5" t="s">
        <v>10</v>
      </c>
      <c r="R21" s="5" t="s">
        <v>10</v>
      </c>
      <c r="S21" s="5" t="s">
        <v>11</v>
      </c>
      <c r="T21" s="5" t="s">
        <v>10</v>
      </c>
      <c r="U21" s="5" t="s">
        <v>10</v>
      </c>
      <c r="V21" s="5" t="s">
        <v>10</v>
      </c>
      <c r="W21" s="5" t="s">
        <v>11</v>
      </c>
      <c r="X21" s="5" t="s">
        <v>10</v>
      </c>
      <c r="Y21" s="5" t="s">
        <v>10</v>
      </c>
      <c r="Z21" s="5" t="s">
        <v>33</v>
      </c>
      <c r="AA21" s="5" t="s">
        <v>11</v>
      </c>
      <c r="AB21" s="5" t="s">
        <v>10</v>
      </c>
      <c r="AC21" s="3" t="n">
        <f aca="false">COUNTIF(E21:AB21,"Absent")</f>
        <v>6</v>
      </c>
      <c r="AD21" s="3" t="n">
        <f aca="false">COUNTIF(E21:AB21,"Present")</f>
        <v>17</v>
      </c>
      <c r="AE21" s="3" t="n">
        <f aca="false">(AD21*5)+(AC21*-5)</f>
        <v>55</v>
      </c>
    </row>
    <row r="22" customFormat="false" ht="21.75" hidden="false" customHeight="true" outlineLevel="0" collapsed="false">
      <c r="A22" s="3" t="n">
        <v>21</v>
      </c>
      <c r="B22" s="3" t="s">
        <v>643</v>
      </c>
      <c r="C22" s="4" t="s">
        <v>644</v>
      </c>
      <c r="D22" s="3" t="s">
        <v>645</v>
      </c>
      <c r="E22" s="5" t="s">
        <v>10</v>
      </c>
      <c r="F22" s="5" t="s">
        <v>33</v>
      </c>
      <c r="G22" s="5" t="s">
        <v>11</v>
      </c>
      <c r="H22" s="5" t="s">
        <v>33</v>
      </c>
      <c r="I22" s="5" t="s">
        <v>10</v>
      </c>
      <c r="J22" s="5" t="s">
        <v>10</v>
      </c>
      <c r="K22" s="5" t="s">
        <v>11</v>
      </c>
      <c r="L22" s="5" t="s">
        <v>10</v>
      </c>
      <c r="M22" s="5" t="s">
        <v>11</v>
      </c>
      <c r="N22" s="5" t="s">
        <v>11</v>
      </c>
      <c r="O22" s="5" t="s">
        <v>10</v>
      </c>
      <c r="P22" s="5" t="s">
        <v>11</v>
      </c>
      <c r="Q22" s="5" t="s">
        <v>10</v>
      </c>
      <c r="R22" s="5" t="s">
        <v>11</v>
      </c>
      <c r="S22" s="5" t="s">
        <v>10</v>
      </c>
      <c r="T22" s="5" t="s">
        <v>10</v>
      </c>
      <c r="U22" s="5" t="s">
        <v>11</v>
      </c>
      <c r="V22" s="5" t="s">
        <v>10</v>
      </c>
      <c r="W22" s="5" t="s">
        <v>11</v>
      </c>
      <c r="X22" s="5" t="s">
        <v>10</v>
      </c>
      <c r="Y22" s="5" t="s">
        <v>10</v>
      </c>
      <c r="Z22" s="5" t="s">
        <v>11</v>
      </c>
      <c r="AA22" s="5" t="s">
        <v>10</v>
      </c>
      <c r="AB22" s="5" t="s">
        <v>10</v>
      </c>
      <c r="AC22" s="3" t="n">
        <f aca="false">COUNTIF(E22:AB22,"Absent")</f>
        <v>9</v>
      </c>
      <c r="AD22" s="3" t="n">
        <f aca="false">COUNTIF(E22:AB22,"Present")</f>
        <v>13</v>
      </c>
      <c r="AE22" s="3" t="n">
        <f aca="false">(AD22*5)+(AC22*-5)</f>
        <v>20</v>
      </c>
    </row>
    <row r="23" customFormat="false" ht="21.75" hidden="false" customHeight="true" outlineLevel="0" collapsed="false">
      <c r="A23" s="3" t="n">
        <v>22</v>
      </c>
      <c r="B23" s="3" t="s">
        <v>646</v>
      </c>
      <c r="C23" s="4" t="s">
        <v>647</v>
      </c>
      <c r="D23" s="3" t="s">
        <v>648</v>
      </c>
      <c r="E23" s="5" t="s">
        <v>10</v>
      </c>
      <c r="F23" s="5" t="s">
        <v>10</v>
      </c>
      <c r="G23" s="5" t="s">
        <v>11</v>
      </c>
      <c r="H23" s="5" t="s">
        <v>10</v>
      </c>
      <c r="I23" s="5" t="s">
        <v>10</v>
      </c>
      <c r="J23" s="5" t="s">
        <v>10</v>
      </c>
      <c r="K23" s="5" t="s">
        <v>10</v>
      </c>
      <c r="L23" s="5" t="s">
        <v>10</v>
      </c>
      <c r="M23" s="5" t="s">
        <v>10</v>
      </c>
      <c r="N23" s="5" t="s">
        <v>10</v>
      </c>
      <c r="O23" s="5" t="s">
        <v>11</v>
      </c>
      <c r="P23" s="5" t="s">
        <v>10</v>
      </c>
      <c r="Q23" s="5" t="s">
        <v>10</v>
      </c>
      <c r="R23" s="5" t="s">
        <v>11</v>
      </c>
      <c r="S23" s="5" t="s">
        <v>11</v>
      </c>
      <c r="T23" s="5" t="s">
        <v>10</v>
      </c>
      <c r="U23" s="5" t="s">
        <v>10</v>
      </c>
      <c r="V23" s="5" t="s">
        <v>11</v>
      </c>
      <c r="W23" s="5" t="s">
        <v>10</v>
      </c>
      <c r="X23" s="5" t="s">
        <v>11</v>
      </c>
      <c r="Y23" s="5" t="s">
        <v>10</v>
      </c>
      <c r="Z23" s="5" t="s">
        <v>10</v>
      </c>
      <c r="AA23" s="5" t="s">
        <v>10</v>
      </c>
      <c r="AB23" s="5" t="s">
        <v>10</v>
      </c>
      <c r="AC23" s="3" t="n">
        <f aca="false">COUNTIF(E23:AB23,"Absent")</f>
        <v>6</v>
      </c>
      <c r="AD23" s="3" t="n">
        <f aca="false">COUNTIF(E23:AB23,"Present")</f>
        <v>18</v>
      </c>
      <c r="AE23" s="3" t="n">
        <f aca="false">(AD23*5)+(AC23*-5)</f>
        <v>60</v>
      </c>
    </row>
    <row r="24" customFormat="false" ht="21.75" hidden="false" customHeight="true" outlineLevel="0" collapsed="false">
      <c r="A24" s="3" t="n">
        <v>23</v>
      </c>
      <c r="B24" s="3" t="s">
        <v>649</v>
      </c>
      <c r="C24" s="4" t="s">
        <v>650</v>
      </c>
      <c r="D24" s="3" t="s">
        <v>651</v>
      </c>
      <c r="E24" s="5" t="s">
        <v>10</v>
      </c>
      <c r="F24" s="5" t="s">
        <v>10</v>
      </c>
      <c r="G24" s="5" t="s">
        <v>10</v>
      </c>
      <c r="H24" s="5" t="s">
        <v>10</v>
      </c>
      <c r="I24" s="5" t="s">
        <v>11</v>
      </c>
      <c r="J24" s="5" t="s">
        <v>10</v>
      </c>
      <c r="K24" s="5" t="s">
        <v>11</v>
      </c>
      <c r="L24" s="5" t="s">
        <v>10</v>
      </c>
      <c r="M24" s="5" t="s">
        <v>10</v>
      </c>
      <c r="N24" s="5" t="s">
        <v>10</v>
      </c>
      <c r="O24" s="5" t="s">
        <v>10</v>
      </c>
      <c r="P24" s="5" t="s">
        <v>11</v>
      </c>
      <c r="Q24" s="5" t="s">
        <v>10</v>
      </c>
      <c r="R24" s="5" t="s">
        <v>10</v>
      </c>
      <c r="S24" s="5" t="s">
        <v>10</v>
      </c>
      <c r="T24" s="5" t="s">
        <v>10</v>
      </c>
      <c r="U24" s="5" t="s">
        <v>10</v>
      </c>
      <c r="V24" s="5" t="s">
        <v>11</v>
      </c>
      <c r="W24" s="5" t="s">
        <v>10</v>
      </c>
      <c r="X24" s="5" t="s">
        <v>10</v>
      </c>
      <c r="Y24" s="5" t="s">
        <v>10</v>
      </c>
      <c r="Z24" s="5" t="s">
        <v>10</v>
      </c>
      <c r="AA24" s="5" t="s">
        <v>10</v>
      </c>
      <c r="AB24" s="5" t="s">
        <v>10</v>
      </c>
      <c r="AC24" s="3" t="n">
        <f aca="false">COUNTIF(E24:AB24,"Absent")</f>
        <v>4</v>
      </c>
      <c r="AD24" s="3" t="n">
        <f aca="false">COUNTIF(E24:AB24,"Present")</f>
        <v>20</v>
      </c>
      <c r="AE24" s="3" t="n">
        <f aca="false">(AD24*5)+(AC24*-5)</f>
        <v>80</v>
      </c>
    </row>
    <row r="25" customFormat="false" ht="21.75" hidden="false" customHeight="true" outlineLevel="0" collapsed="false">
      <c r="A25" s="3" t="n">
        <v>24</v>
      </c>
      <c r="B25" s="3" t="s">
        <v>652</v>
      </c>
      <c r="C25" s="4" t="s">
        <v>653</v>
      </c>
      <c r="D25" s="3" t="s">
        <v>654</v>
      </c>
      <c r="E25" s="5" t="s">
        <v>10</v>
      </c>
      <c r="F25" s="5" t="s">
        <v>10</v>
      </c>
      <c r="G25" s="5" t="s">
        <v>10</v>
      </c>
      <c r="H25" s="5" t="s">
        <v>10</v>
      </c>
      <c r="I25" s="5" t="s">
        <v>10</v>
      </c>
      <c r="J25" s="5" t="s">
        <v>10</v>
      </c>
      <c r="K25" s="5" t="s">
        <v>10</v>
      </c>
      <c r="L25" s="5" t="s">
        <v>10</v>
      </c>
      <c r="M25" s="5" t="s">
        <v>10</v>
      </c>
      <c r="N25" s="5" t="s">
        <v>10</v>
      </c>
      <c r="O25" s="5" t="s">
        <v>10</v>
      </c>
      <c r="P25" s="5" t="s">
        <v>10</v>
      </c>
      <c r="Q25" s="5" t="s">
        <v>11</v>
      </c>
      <c r="R25" s="5" t="s">
        <v>11</v>
      </c>
      <c r="S25" s="5" t="s">
        <v>10</v>
      </c>
      <c r="T25" s="5" t="s">
        <v>10</v>
      </c>
      <c r="U25" s="5" t="s">
        <v>10</v>
      </c>
      <c r="V25" s="5" t="s">
        <v>10</v>
      </c>
      <c r="W25" s="5" t="s">
        <v>10</v>
      </c>
      <c r="X25" s="5" t="s">
        <v>10</v>
      </c>
      <c r="Y25" s="5" t="s">
        <v>10</v>
      </c>
      <c r="Z25" s="5" t="s">
        <v>10</v>
      </c>
      <c r="AA25" s="5" t="s">
        <v>33</v>
      </c>
      <c r="AB25" s="5" t="s">
        <v>10</v>
      </c>
      <c r="AC25" s="3" t="n">
        <f aca="false">COUNTIF(E25:AB25,"Absent")</f>
        <v>2</v>
      </c>
      <c r="AD25" s="3" t="n">
        <f aca="false">COUNTIF(E25:AB25,"Present")</f>
        <v>21</v>
      </c>
      <c r="AE25" s="3" t="n">
        <f aca="false">(AD25*5)+(AC25*-5)</f>
        <v>95</v>
      </c>
    </row>
    <row r="26" customFormat="false" ht="21.75" hidden="false" customHeight="true" outlineLevel="0" collapsed="false">
      <c r="A26" s="3" t="n">
        <v>25</v>
      </c>
      <c r="B26" s="3" t="s">
        <v>655</v>
      </c>
      <c r="C26" s="4" t="s">
        <v>656</v>
      </c>
      <c r="D26" s="3" t="s">
        <v>657</v>
      </c>
      <c r="E26" s="5" t="s">
        <v>10</v>
      </c>
      <c r="F26" s="5" t="s">
        <v>11</v>
      </c>
      <c r="G26" s="5" t="s">
        <v>10</v>
      </c>
      <c r="H26" s="5" t="s">
        <v>33</v>
      </c>
      <c r="I26" s="5" t="s">
        <v>33</v>
      </c>
      <c r="J26" s="5" t="s">
        <v>10</v>
      </c>
      <c r="K26" s="5" t="s">
        <v>10</v>
      </c>
      <c r="L26" s="5" t="s">
        <v>11</v>
      </c>
      <c r="M26" s="5" t="s">
        <v>10</v>
      </c>
      <c r="N26" s="5" t="s">
        <v>10</v>
      </c>
      <c r="O26" s="5" t="s">
        <v>11</v>
      </c>
      <c r="P26" s="5" t="s">
        <v>10</v>
      </c>
      <c r="Q26" s="5" t="s">
        <v>11</v>
      </c>
      <c r="R26" s="5" t="s">
        <v>11</v>
      </c>
      <c r="S26" s="5" t="s">
        <v>11</v>
      </c>
      <c r="T26" s="5" t="s">
        <v>10</v>
      </c>
      <c r="U26" s="5" t="s">
        <v>11</v>
      </c>
      <c r="V26" s="5" t="s">
        <v>11</v>
      </c>
      <c r="W26" s="5" t="s">
        <v>11</v>
      </c>
      <c r="X26" s="5" t="s">
        <v>10</v>
      </c>
      <c r="Y26" s="5" t="s">
        <v>10</v>
      </c>
      <c r="Z26" s="5" t="s">
        <v>11</v>
      </c>
      <c r="AA26" s="5" t="s">
        <v>33</v>
      </c>
      <c r="AB26" s="5" t="s">
        <v>11</v>
      </c>
      <c r="AC26" s="3" t="n">
        <f aca="false">COUNTIF(E26:AB26,"Absent")</f>
        <v>11</v>
      </c>
      <c r="AD26" s="3" t="n">
        <f aca="false">COUNTIF(E26:AB26,"Present")</f>
        <v>10</v>
      </c>
      <c r="AE26" s="3" t="n">
        <f aca="false">(AD26*5)+(AC26*-5)</f>
        <v>-5</v>
      </c>
    </row>
    <row r="27" customFormat="false" ht="21.75" hidden="false" customHeight="true" outlineLevel="0" collapsed="false">
      <c r="A27" s="3" t="n">
        <v>26</v>
      </c>
      <c r="B27" s="3" t="s">
        <v>658</v>
      </c>
      <c r="C27" s="4" t="s">
        <v>659</v>
      </c>
      <c r="D27" s="3" t="s">
        <v>660</v>
      </c>
      <c r="E27" s="5" t="s">
        <v>10</v>
      </c>
      <c r="F27" s="5" t="s">
        <v>10</v>
      </c>
      <c r="G27" s="5" t="s">
        <v>10</v>
      </c>
      <c r="H27" s="5" t="s">
        <v>10</v>
      </c>
      <c r="I27" s="5" t="s">
        <v>10</v>
      </c>
      <c r="J27" s="5" t="s">
        <v>10</v>
      </c>
      <c r="K27" s="5" t="s">
        <v>11</v>
      </c>
      <c r="L27" s="5" t="s">
        <v>11</v>
      </c>
      <c r="M27" s="5" t="s">
        <v>10</v>
      </c>
      <c r="N27" s="5" t="s">
        <v>11</v>
      </c>
      <c r="O27" s="5" t="s">
        <v>11</v>
      </c>
      <c r="P27" s="5" t="s">
        <v>11</v>
      </c>
      <c r="Q27" s="5" t="s">
        <v>10</v>
      </c>
      <c r="R27" s="5" t="s">
        <v>11</v>
      </c>
      <c r="S27" s="5" t="s">
        <v>11</v>
      </c>
      <c r="T27" s="5" t="s">
        <v>11</v>
      </c>
      <c r="U27" s="5" t="s">
        <v>11</v>
      </c>
      <c r="V27" s="5" t="s">
        <v>11</v>
      </c>
      <c r="W27" s="5" t="s">
        <v>11</v>
      </c>
      <c r="X27" s="5" t="s">
        <v>10</v>
      </c>
      <c r="Y27" s="5" t="s">
        <v>10</v>
      </c>
      <c r="Z27" s="5" t="s">
        <v>10</v>
      </c>
      <c r="AA27" s="5" t="s">
        <v>10</v>
      </c>
      <c r="AB27" s="5" t="s">
        <v>10</v>
      </c>
      <c r="AC27" s="3" t="n">
        <f aca="false">COUNTIF(E27:AB27,"Absent")</f>
        <v>11</v>
      </c>
      <c r="AD27" s="3" t="n">
        <f aca="false">COUNTIF(E27:AB27,"Present")</f>
        <v>13</v>
      </c>
      <c r="AE27" s="3" t="n">
        <f aca="false">(AD27*5)+(AC27*-5)</f>
        <v>10</v>
      </c>
    </row>
    <row r="28" customFormat="false" ht="21.75" hidden="false" customHeight="true" outlineLevel="0" collapsed="false">
      <c r="A28" s="3" t="n">
        <v>27</v>
      </c>
      <c r="B28" s="3" t="s">
        <v>661</v>
      </c>
      <c r="C28" s="4" t="s">
        <v>662</v>
      </c>
      <c r="D28" s="3" t="s">
        <v>663</v>
      </c>
      <c r="E28" s="5" t="s">
        <v>10</v>
      </c>
      <c r="F28" s="5" t="s">
        <v>10</v>
      </c>
      <c r="G28" s="5" t="s">
        <v>11</v>
      </c>
      <c r="H28" s="5" t="s">
        <v>10</v>
      </c>
      <c r="I28" s="5" t="s">
        <v>10</v>
      </c>
      <c r="J28" s="5" t="s">
        <v>10</v>
      </c>
      <c r="K28" s="5" t="s">
        <v>10</v>
      </c>
      <c r="L28" s="5" t="s">
        <v>10</v>
      </c>
      <c r="M28" s="5" t="s">
        <v>10</v>
      </c>
      <c r="N28" s="5" t="s">
        <v>10</v>
      </c>
      <c r="O28" s="5" t="s">
        <v>10</v>
      </c>
      <c r="P28" s="5" t="s">
        <v>11</v>
      </c>
      <c r="Q28" s="5" t="s">
        <v>10</v>
      </c>
      <c r="R28" s="5" t="s">
        <v>10</v>
      </c>
      <c r="S28" s="5" t="s">
        <v>10</v>
      </c>
      <c r="T28" s="5" t="s">
        <v>10</v>
      </c>
      <c r="U28" s="5" t="s">
        <v>10</v>
      </c>
      <c r="V28" s="5" t="s">
        <v>10</v>
      </c>
      <c r="W28" s="5" t="s">
        <v>10</v>
      </c>
      <c r="X28" s="5" t="s">
        <v>10</v>
      </c>
      <c r="Y28" s="5" t="s">
        <v>10</v>
      </c>
      <c r="Z28" s="5" t="s">
        <v>10</v>
      </c>
      <c r="AA28" s="5" t="s">
        <v>33</v>
      </c>
      <c r="AB28" s="5" t="s">
        <v>33</v>
      </c>
      <c r="AC28" s="3" t="n">
        <f aca="false">COUNTIF(E28:AB28,"Absent")</f>
        <v>2</v>
      </c>
      <c r="AD28" s="3" t="n">
        <f aca="false">COUNTIF(E28:AB28,"Present")</f>
        <v>20</v>
      </c>
      <c r="AE28" s="3" t="n">
        <f aca="false">(AD28*5)+(AC28*-5)</f>
        <v>90</v>
      </c>
    </row>
    <row r="29" customFormat="false" ht="21.75" hidden="false" customHeight="true" outlineLevel="0" collapsed="false">
      <c r="A29" s="3" t="n">
        <v>28</v>
      </c>
      <c r="B29" s="3" t="s">
        <v>664</v>
      </c>
      <c r="C29" s="4" t="s">
        <v>665</v>
      </c>
      <c r="D29" s="3" t="s">
        <v>666</v>
      </c>
      <c r="E29" s="5" t="s">
        <v>10</v>
      </c>
      <c r="F29" s="5" t="s">
        <v>10</v>
      </c>
      <c r="G29" s="5" t="s">
        <v>11</v>
      </c>
      <c r="H29" s="5" t="s">
        <v>10</v>
      </c>
      <c r="I29" s="5" t="s">
        <v>10</v>
      </c>
      <c r="J29" s="5" t="s">
        <v>10</v>
      </c>
      <c r="K29" s="5" t="s">
        <v>10</v>
      </c>
      <c r="L29" s="5" t="s">
        <v>10</v>
      </c>
      <c r="M29" s="5" t="s">
        <v>10</v>
      </c>
      <c r="N29" s="5" t="s">
        <v>10</v>
      </c>
      <c r="O29" s="5" t="s">
        <v>10</v>
      </c>
      <c r="P29" s="5" t="s">
        <v>11</v>
      </c>
      <c r="Q29" s="5" t="s">
        <v>11</v>
      </c>
      <c r="R29" s="5" t="s">
        <v>10</v>
      </c>
      <c r="S29" s="5" t="s">
        <v>10</v>
      </c>
      <c r="T29" s="5" t="s">
        <v>10</v>
      </c>
      <c r="U29" s="5" t="s">
        <v>10</v>
      </c>
      <c r="V29" s="5" t="s">
        <v>11</v>
      </c>
      <c r="W29" s="5" t="s">
        <v>10</v>
      </c>
      <c r="X29" s="5" t="s">
        <v>10</v>
      </c>
      <c r="Y29" s="5" t="s">
        <v>10</v>
      </c>
      <c r="Z29" s="5" t="s">
        <v>11</v>
      </c>
      <c r="AA29" s="5" t="s">
        <v>10</v>
      </c>
      <c r="AB29" s="5" t="s">
        <v>10</v>
      </c>
      <c r="AC29" s="3" t="n">
        <f aca="false">COUNTIF(E29:AB29,"Absent")</f>
        <v>5</v>
      </c>
      <c r="AD29" s="3" t="n">
        <f aca="false">COUNTIF(E29:AB29,"Present")</f>
        <v>19</v>
      </c>
      <c r="AE29" s="3" t="n">
        <f aca="false">(AD29*5)+(AC29*-5)</f>
        <v>70</v>
      </c>
    </row>
    <row r="30" customFormat="false" ht="21.75" hidden="false" customHeight="true" outlineLevel="0" collapsed="false">
      <c r="A30" s="3" t="n">
        <v>29</v>
      </c>
      <c r="B30" s="3" t="s">
        <v>667</v>
      </c>
      <c r="C30" s="4" t="s">
        <v>668</v>
      </c>
      <c r="D30" s="3" t="s">
        <v>669</v>
      </c>
      <c r="E30" s="5" t="s">
        <v>10</v>
      </c>
      <c r="F30" s="5" t="s">
        <v>33</v>
      </c>
      <c r="G30" s="5" t="s">
        <v>10</v>
      </c>
      <c r="H30" s="5" t="s">
        <v>33</v>
      </c>
      <c r="I30" s="5" t="s">
        <v>33</v>
      </c>
      <c r="J30" s="5" t="s">
        <v>10</v>
      </c>
      <c r="K30" s="5" t="s">
        <v>11</v>
      </c>
      <c r="L30" s="5" t="s">
        <v>10</v>
      </c>
      <c r="M30" s="5" t="s">
        <v>10</v>
      </c>
      <c r="N30" s="5" t="s">
        <v>11</v>
      </c>
      <c r="O30" s="5" t="s">
        <v>11</v>
      </c>
      <c r="P30" s="5" t="s">
        <v>11</v>
      </c>
      <c r="Q30" s="5" t="s">
        <v>11</v>
      </c>
      <c r="R30" s="5" t="s">
        <v>11</v>
      </c>
      <c r="S30" s="5" t="s">
        <v>11</v>
      </c>
      <c r="T30" s="5" t="s">
        <v>11</v>
      </c>
      <c r="U30" s="5" t="s">
        <v>11</v>
      </c>
      <c r="V30" s="5" t="s">
        <v>11</v>
      </c>
      <c r="W30" s="5" t="s">
        <v>11</v>
      </c>
      <c r="X30" s="5" t="s">
        <v>10</v>
      </c>
      <c r="Y30" s="5" t="s">
        <v>11</v>
      </c>
      <c r="Z30" s="5" t="s">
        <v>11</v>
      </c>
      <c r="AA30" s="5" t="s">
        <v>10</v>
      </c>
      <c r="AB30" s="5" t="s">
        <v>10</v>
      </c>
      <c r="AC30" s="3" t="n">
        <f aca="false">COUNTIF(E30:AB30,"Absent")</f>
        <v>13</v>
      </c>
      <c r="AD30" s="3" t="n">
        <f aca="false">COUNTIF(E30:AB30,"Present")</f>
        <v>8</v>
      </c>
      <c r="AE30" s="3" t="n">
        <f aca="false">(AD30*5)+(AC30*-5)</f>
        <v>-25</v>
      </c>
    </row>
    <row r="31" customFormat="false" ht="21.75" hidden="false" customHeight="true" outlineLevel="0" collapsed="false">
      <c r="A31" s="3" t="n">
        <v>30</v>
      </c>
      <c r="B31" s="3" t="s">
        <v>670</v>
      </c>
      <c r="C31" s="4" t="s">
        <v>671</v>
      </c>
      <c r="D31" s="3" t="s">
        <v>672</v>
      </c>
      <c r="E31" s="5" t="s">
        <v>10</v>
      </c>
      <c r="F31" s="5" t="s">
        <v>10</v>
      </c>
      <c r="G31" s="5" t="s">
        <v>10</v>
      </c>
      <c r="H31" s="5" t="s">
        <v>11</v>
      </c>
      <c r="I31" s="5" t="s">
        <v>33</v>
      </c>
      <c r="J31" s="5" t="s">
        <v>33</v>
      </c>
      <c r="K31" s="5" t="s">
        <v>11</v>
      </c>
      <c r="L31" s="5" t="s">
        <v>11</v>
      </c>
      <c r="M31" s="5" t="s">
        <v>11</v>
      </c>
      <c r="N31" s="5" t="s">
        <v>11</v>
      </c>
      <c r="O31" s="5" t="s">
        <v>11</v>
      </c>
      <c r="P31" s="5" t="s">
        <v>11</v>
      </c>
      <c r="Q31" s="5" t="s">
        <v>11</v>
      </c>
      <c r="R31" s="5" t="s">
        <v>11</v>
      </c>
      <c r="S31" s="5" t="s">
        <v>11</v>
      </c>
      <c r="T31" s="5" t="s">
        <v>11</v>
      </c>
      <c r="U31" s="5" t="s">
        <v>11</v>
      </c>
      <c r="V31" s="5" t="s">
        <v>11</v>
      </c>
      <c r="W31" s="5" t="s">
        <v>10</v>
      </c>
      <c r="X31" s="5" t="s">
        <v>10</v>
      </c>
      <c r="Y31" s="5" t="s">
        <v>33</v>
      </c>
      <c r="Z31" s="5" t="s">
        <v>11</v>
      </c>
      <c r="AA31" s="5" t="s">
        <v>10</v>
      </c>
      <c r="AB31" s="5" t="s">
        <v>10</v>
      </c>
      <c r="AC31" s="3" t="n">
        <f aca="false">COUNTIF(E31:AB31,"Absent")</f>
        <v>14</v>
      </c>
      <c r="AD31" s="3" t="n">
        <f aca="false">COUNTIF(E31:AB31,"Present")</f>
        <v>7</v>
      </c>
      <c r="AE31" s="3" t="n">
        <f aca="false">(AD31*5)+(AC31*-5)</f>
        <v>-35</v>
      </c>
    </row>
    <row r="32" customFormat="false" ht="21.75" hidden="false" customHeight="true" outlineLevel="0" collapsed="false">
      <c r="A32" s="3" t="n">
        <v>31</v>
      </c>
      <c r="B32" s="3" t="s">
        <v>673</v>
      </c>
      <c r="C32" s="4" t="s">
        <v>674</v>
      </c>
      <c r="D32" s="3" t="s">
        <v>675</v>
      </c>
      <c r="E32" s="5" t="s">
        <v>10</v>
      </c>
      <c r="F32" s="5" t="s">
        <v>10</v>
      </c>
      <c r="G32" s="5" t="s">
        <v>10</v>
      </c>
      <c r="H32" s="5" t="s">
        <v>11</v>
      </c>
      <c r="I32" s="5" t="s">
        <v>10</v>
      </c>
      <c r="J32" s="5" t="s">
        <v>10</v>
      </c>
      <c r="K32" s="5" t="s">
        <v>10</v>
      </c>
      <c r="L32" s="5" t="s">
        <v>10</v>
      </c>
      <c r="M32" s="5" t="s">
        <v>10</v>
      </c>
      <c r="N32" s="5" t="s">
        <v>10</v>
      </c>
      <c r="O32" s="5" t="s">
        <v>10</v>
      </c>
      <c r="P32" s="5" t="s">
        <v>11</v>
      </c>
      <c r="Q32" s="5" t="s">
        <v>10</v>
      </c>
      <c r="R32" s="5" t="s">
        <v>10</v>
      </c>
      <c r="S32" s="5" t="s">
        <v>10</v>
      </c>
      <c r="T32" s="5" t="s">
        <v>10</v>
      </c>
      <c r="U32" s="5" t="s">
        <v>10</v>
      </c>
      <c r="V32" s="5" t="s">
        <v>10</v>
      </c>
      <c r="W32" s="5" t="s">
        <v>11</v>
      </c>
      <c r="X32" s="5" t="s">
        <v>10</v>
      </c>
      <c r="Y32" s="5" t="s">
        <v>10</v>
      </c>
      <c r="Z32" s="5" t="s">
        <v>11</v>
      </c>
      <c r="AA32" s="5" t="s">
        <v>10</v>
      </c>
      <c r="AB32" s="5" t="s">
        <v>10</v>
      </c>
      <c r="AC32" s="3" t="n">
        <f aca="false">COUNTIF(E32:AB32,"Absent")</f>
        <v>4</v>
      </c>
      <c r="AD32" s="3" t="n">
        <f aca="false">COUNTIF(E32:AB32,"Present")</f>
        <v>20</v>
      </c>
      <c r="AE32" s="3" t="n">
        <f aca="false">(AD32*5)+(AC32*-5)</f>
        <v>80</v>
      </c>
    </row>
    <row r="33" customFormat="false" ht="21.75" hidden="false" customHeight="true" outlineLevel="0" collapsed="false">
      <c r="A33" s="3" t="n">
        <v>32</v>
      </c>
      <c r="B33" s="3" t="s">
        <v>676</v>
      </c>
      <c r="C33" s="4" t="s">
        <v>677</v>
      </c>
      <c r="D33" s="3" t="s">
        <v>678</v>
      </c>
      <c r="E33" s="3" t="s">
        <v>10</v>
      </c>
      <c r="F33" s="5" t="s">
        <v>11</v>
      </c>
      <c r="G33" s="3" t="s">
        <v>10</v>
      </c>
      <c r="H33" s="5" t="s">
        <v>10</v>
      </c>
      <c r="I33" s="5" t="s">
        <v>10</v>
      </c>
      <c r="J33" s="5" t="s">
        <v>10</v>
      </c>
      <c r="K33" s="5" t="s">
        <v>11</v>
      </c>
      <c r="L33" s="5" t="s">
        <v>10</v>
      </c>
      <c r="M33" s="5" t="s">
        <v>10</v>
      </c>
      <c r="N33" s="5" t="s">
        <v>10</v>
      </c>
      <c r="O33" s="5" t="s">
        <v>10</v>
      </c>
      <c r="P33" s="5" t="s">
        <v>10</v>
      </c>
      <c r="Q33" s="5" t="s">
        <v>10</v>
      </c>
      <c r="R33" s="5" t="s">
        <v>10</v>
      </c>
      <c r="S33" s="5" t="s">
        <v>10</v>
      </c>
      <c r="T33" s="5" t="s">
        <v>10</v>
      </c>
      <c r="U33" s="5" t="s">
        <v>11</v>
      </c>
      <c r="V33" s="5" t="s">
        <v>10</v>
      </c>
      <c r="W33" s="5" t="s">
        <v>10</v>
      </c>
      <c r="X33" s="5" t="s">
        <v>11</v>
      </c>
      <c r="Y33" s="5" t="s">
        <v>10</v>
      </c>
      <c r="Z33" s="5" t="s">
        <v>10</v>
      </c>
      <c r="AA33" s="5" t="s">
        <v>10</v>
      </c>
      <c r="AB33" s="5" t="s">
        <v>10</v>
      </c>
      <c r="AC33" s="3" t="n">
        <f aca="false">COUNTIF(E33:AB33,"Absent")</f>
        <v>4</v>
      </c>
      <c r="AD33" s="3" t="n">
        <f aca="false">COUNTIF(E33:AB33,"Present")</f>
        <v>20</v>
      </c>
      <c r="AE33" s="3" t="n">
        <f aca="false">(AD33*5)+(AC33*-5)</f>
        <v>80</v>
      </c>
    </row>
    <row r="34" customFormat="false" ht="21.75" hidden="false" customHeight="true" outlineLevel="0" collapsed="false">
      <c r="A34" s="3"/>
      <c r="B34" s="3" t="s">
        <v>679</v>
      </c>
      <c r="C34" s="4" t="s">
        <v>680</v>
      </c>
      <c r="D34" s="3" t="s">
        <v>681</v>
      </c>
      <c r="E34" s="3" t="s">
        <v>10</v>
      </c>
      <c r="F34" s="3" t="s">
        <v>10</v>
      </c>
      <c r="G34" s="3" t="s">
        <v>10</v>
      </c>
      <c r="H34" s="3" t="s">
        <v>10</v>
      </c>
      <c r="I34" s="3" t="s">
        <v>10</v>
      </c>
      <c r="J34" s="3" t="s">
        <v>33</v>
      </c>
      <c r="K34" s="3" t="s">
        <v>11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11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33</v>
      </c>
      <c r="Z34" s="3" t="s">
        <v>11</v>
      </c>
      <c r="AA34" s="3" t="s">
        <v>10</v>
      </c>
      <c r="AB34" s="3" t="s">
        <v>10</v>
      </c>
      <c r="AC34" s="3" t="n">
        <f aca="false">COUNTIF(E34:AB34,"Absent")</f>
        <v>3</v>
      </c>
      <c r="AD34" s="3" t="n">
        <f aca="false">COUNTIF(E34:AB34,"Present")</f>
        <v>19</v>
      </c>
      <c r="AE34" s="3" t="n">
        <f aca="false">(AD34*5)+(AC34*-5)</f>
        <v>80</v>
      </c>
    </row>
  </sheetData>
  <autoFilter ref="A1:AE34"/>
  <conditionalFormatting sqref="S17:W17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conditionalFormatting sqref="Q17">
    <cfRule type="cellIs" priority="4" operator="equal" aboveAverage="0" equalAverage="0" bottom="0" percent="0" rank="0" text="" dxfId="9">
      <formula>"Present"</formula>
    </cfRule>
    <cfRule type="cellIs" priority="5" operator="equal" aboveAverage="0" equalAverage="0" bottom="0" percent="0" rank="0" text="" dxfId="10">
      <formula>"Absent"</formula>
    </cfRule>
  </conditionalFormatting>
  <conditionalFormatting sqref="H17:N17">
    <cfRule type="cellIs" priority="6" operator="equal" aboveAverage="0" equalAverage="0" bottom="0" percent="0" rank="0" text="" dxfId="9">
      <formula>"Present"</formula>
    </cfRule>
    <cfRule type="cellIs" priority="7" operator="equal" aboveAverage="0" equalAverage="0" bottom="0" percent="0" rank="0" text="" dxfId="10">
      <formula>"Absent"</formula>
    </cfRule>
  </conditionalFormatting>
  <conditionalFormatting sqref="AC1">
    <cfRule type="cellIs" priority="8" operator="equal" aboveAverage="0" equalAverage="0" bottom="0" percent="0" rank="0" text="" dxfId="9">
      <formula>"Present"</formula>
    </cfRule>
    <cfRule type="cellIs" priority="9" operator="equal" aboveAverage="0" equalAverage="0" bottom="0" percent="0" rank="0" text="" dxfId="10">
      <formula>"Absent"</formula>
    </cfRule>
  </conditionalFormatting>
  <conditionalFormatting sqref="AC1:AE1">
    <cfRule type="cellIs" priority="10" operator="equal" aboveAverage="0" equalAverage="0" bottom="0" percent="0" rank="0" text="" dxfId="9">
      <formula>"Present"</formula>
    </cfRule>
    <cfRule type="cellIs" priority="11" operator="equal" aboveAverage="0" equalAverage="0" bottom="0" percent="0" rank="0" text="" dxfId="10">
      <formula>"Absent"</formula>
    </cfRule>
  </conditionalFormatting>
  <conditionalFormatting sqref="N2:AB16 N18:AB33 O17:P17 R17 X17:AB17">
    <cfRule type="cellIs" priority="12" operator="equal" aboveAverage="0" equalAverage="0" bottom="0" percent="0" rank="0" text="" dxfId="9">
      <formula>"Present"</formula>
    </cfRule>
    <cfRule type="cellIs" priority="13" operator="equal" aboveAverage="0" equalAverage="0" bottom="0" percent="0" rank="0" text="" dxfId="10">
      <formula>"Absent"</formula>
    </cfRule>
  </conditionalFormatting>
  <conditionalFormatting sqref="I2:M16 I18:M33">
    <cfRule type="cellIs" priority="14" operator="equal" aboveAverage="0" equalAverage="0" bottom="0" percent="0" rank="0" text="" dxfId="9">
      <formula>"Present"</formula>
    </cfRule>
    <cfRule type="cellIs" priority="15" operator="equal" aboveAverage="0" equalAverage="0" bottom="0" percent="0" rank="0" text="" dxfId="10">
      <formula>"Absent"</formula>
    </cfRule>
  </conditionalFormatting>
  <conditionalFormatting sqref="S1:AB1">
    <cfRule type="cellIs" priority="16" operator="equal" aboveAverage="0" equalAverage="0" bottom="0" percent="0" rank="0" text="" dxfId="9">
      <formula>"Present"</formula>
    </cfRule>
    <cfRule type="cellIs" priority="17" operator="equal" aboveAverage="0" equalAverage="0" bottom="0" percent="0" rank="0" text="" dxfId="10">
      <formula>"Absent"</formula>
    </cfRule>
  </conditionalFormatting>
  <conditionalFormatting sqref="Q1">
    <cfRule type="cellIs" priority="18" operator="equal" aboveAverage="0" equalAverage="0" bottom="0" percent="0" rank="0" text="" dxfId="9">
      <formula>"Present"</formula>
    </cfRule>
    <cfRule type="cellIs" priority="19" operator="equal" aboveAverage="0" equalAverage="0" bottom="0" percent="0" rank="0" text="" dxfId="10">
      <formula>"Absent"</formula>
    </cfRule>
  </conditionalFormatting>
  <conditionalFormatting sqref="Q1:R1">
    <cfRule type="cellIs" priority="20" operator="equal" aboveAverage="0" equalAverage="0" bottom="0" percent="0" rank="0" text="" dxfId="9">
      <formula>"Present"</formula>
    </cfRule>
    <cfRule type="cellIs" priority="21" operator="equal" aboveAverage="0" equalAverage="0" bottom="0" percent="0" rank="0" text="" dxfId="10">
      <formula>"Absent"</formula>
    </cfRule>
  </conditionalFormatting>
  <conditionalFormatting sqref="B1:P1 E2:H2 E3:G32 F33 H3:H16 H18:H33">
    <cfRule type="cellIs" priority="22" operator="equal" aboveAverage="0" equalAverage="0" bottom="0" percent="0" rank="0" text="" dxfId="9">
      <formula>"Present"</formula>
    </cfRule>
    <cfRule type="cellIs" priority="23" operator="equal" aboveAverage="0" equalAverage="0" bottom="0" percent="0" rank="0" text="" dxfId="10">
      <formula>"Absent"</formula>
    </cfRule>
  </conditionalFormatting>
  <dataValidations count="3">
    <dataValidation allowBlank="true" errorStyle="stop" operator="between" showDropDown="false" showErrorMessage="true" showInputMessage="true" sqref="E1:AB1" type="list">
      <formula1>$A$1:$AD$1</formula1>
      <formula2>0</formula2>
    </dataValidation>
    <dataValidation allowBlank="true" errorStyle="stop" operator="between" showDropDown="false" showErrorMessage="true" showInputMessage="true" sqref="E2:AB32 F33 H33:AB33" type="list">
      <formula1>"Present,Absent,Excused absence"</formula1>
      <formula2>0</formula2>
    </dataValidation>
    <dataValidation allowBlank="true" errorStyle="stop" operator="between" showDropDown="false" showErrorMessage="true" showInputMessage="true" sqref="AC1:AE1" type="list">
      <formula1>$A$1:$AE$1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37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G8" activeCellId="0" sqref="G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30" min="5" style="0" width="11"/>
  </cols>
  <sheetData>
    <row r="1" customFormat="false" ht="33.75" hidden="false" customHeight="true" outlineLevel="0" collapsed="false">
      <c r="A1" s="1" t="s">
        <v>0</v>
      </c>
      <c r="B1" s="1" t="s">
        <v>682</v>
      </c>
      <c r="C1" s="1" t="s">
        <v>2</v>
      </c>
      <c r="D1" s="1" t="s">
        <v>3</v>
      </c>
      <c r="E1" s="1" t="s">
        <v>683</v>
      </c>
      <c r="F1" s="1" t="s">
        <v>684</v>
      </c>
      <c r="G1" s="1" t="s">
        <v>685</v>
      </c>
      <c r="H1" s="1" t="s">
        <v>686</v>
      </c>
      <c r="I1" s="1" t="s">
        <v>687</v>
      </c>
      <c r="J1" s="1" t="s">
        <v>688</v>
      </c>
      <c r="K1" s="1" t="s">
        <v>689</v>
      </c>
      <c r="L1" s="1" t="s">
        <v>690</v>
      </c>
      <c r="M1" s="1" t="s">
        <v>691</v>
      </c>
      <c r="N1" s="1" t="s">
        <v>692</v>
      </c>
      <c r="O1" s="1" t="s">
        <v>693</v>
      </c>
      <c r="P1" s="1" t="s">
        <v>694</v>
      </c>
      <c r="Q1" s="1" t="s">
        <v>695</v>
      </c>
      <c r="R1" s="1" t="s">
        <v>696</v>
      </c>
      <c r="S1" s="1" t="s">
        <v>697</v>
      </c>
      <c r="T1" s="1" t="s">
        <v>698</v>
      </c>
      <c r="U1" s="1" t="s">
        <v>699</v>
      </c>
      <c r="V1" s="1" t="s">
        <v>700</v>
      </c>
      <c r="W1" s="1" t="s">
        <v>701</v>
      </c>
      <c r="X1" s="1" t="s">
        <v>702</v>
      </c>
      <c r="Y1" s="1" t="s">
        <v>703</v>
      </c>
      <c r="Z1" s="1" t="s">
        <v>704</v>
      </c>
      <c r="AA1" s="1" t="s">
        <v>705</v>
      </c>
      <c r="AB1" s="1" t="s">
        <v>706</v>
      </c>
      <c r="AC1" s="1" t="s">
        <v>707</v>
      </c>
      <c r="AD1" s="1" t="s">
        <v>708</v>
      </c>
    </row>
    <row r="2" customFormat="false" ht="21.75" hidden="false" customHeight="true" outlineLevel="0" collapsed="false">
      <c r="A2" s="3" t="n">
        <v>1</v>
      </c>
      <c r="B2" s="3" t="s">
        <v>7</v>
      </c>
      <c r="C2" s="4" t="s">
        <v>8</v>
      </c>
      <c r="D2" s="3" t="s">
        <v>9</v>
      </c>
      <c r="E2" s="3" t="n">
        <v>4</v>
      </c>
      <c r="F2" s="3" t="n">
        <v>9</v>
      </c>
      <c r="G2" s="3" t="n">
        <v>6</v>
      </c>
      <c r="H2" s="3" t="n">
        <v>5</v>
      </c>
      <c r="I2" s="3" t="n">
        <v>9</v>
      </c>
      <c r="J2" s="3" t="n">
        <v>3</v>
      </c>
      <c r="K2" s="3" t="n">
        <v>4</v>
      </c>
      <c r="L2" s="3" t="n">
        <v>10</v>
      </c>
      <c r="M2" s="3" t="n">
        <v>1</v>
      </c>
      <c r="N2" s="3" t="n">
        <v>2</v>
      </c>
      <c r="O2" s="3" t="n">
        <v>2</v>
      </c>
      <c r="P2" s="3" t="n">
        <v>0</v>
      </c>
      <c r="Q2" s="3" t="n">
        <v>2</v>
      </c>
      <c r="R2" s="3" t="n">
        <v>10</v>
      </c>
      <c r="S2" s="3" t="n">
        <v>10</v>
      </c>
      <c r="T2" s="3" t="n">
        <v>2</v>
      </c>
      <c r="U2" s="3" t="n">
        <v>7</v>
      </c>
      <c r="V2" s="3" t="n">
        <v>3</v>
      </c>
      <c r="W2" s="3" t="n">
        <v>3</v>
      </c>
      <c r="X2" s="3" t="n">
        <v>1</v>
      </c>
      <c r="Y2" s="3" t="n">
        <v>10</v>
      </c>
      <c r="Z2" s="3" t="n">
        <v>6</v>
      </c>
      <c r="AA2" s="3" t="n">
        <v>1</v>
      </c>
      <c r="AB2" s="3" t="n">
        <v>5</v>
      </c>
      <c r="AC2" s="3" t="n">
        <v>1</v>
      </c>
      <c r="AD2" s="3" t="n">
        <f aca="false">SUM(E2:AC2)</f>
        <v>116</v>
      </c>
    </row>
    <row r="3" customFormat="false" ht="21.75" hidden="false" customHeight="true" outlineLevel="0" collapsed="false">
      <c r="A3" s="3" t="n">
        <v>2</v>
      </c>
      <c r="B3" s="3" t="s">
        <v>12</v>
      </c>
      <c r="C3" s="4" t="s">
        <v>13</v>
      </c>
      <c r="D3" s="3" t="s">
        <v>14</v>
      </c>
      <c r="E3" s="3" t="n">
        <v>7</v>
      </c>
      <c r="F3" s="3" t="n">
        <v>7</v>
      </c>
      <c r="G3" s="3" t="n">
        <v>8</v>
      </c>
      <c r="H3" s="3" t="n">
        <v>6</v>
      </c>
      <c r="I3" s="3" t="n">
        <v>6</v>
      </c>
      <c r="J3" s="3" t="n">
        <v>2</v>
      </c>
      <c r="K3" s="3" t="n">
        <v>3</v>
      </c>
      <c r="L3" s="3" t="n">
        <v>2</v>
      </c>
      <c r="M3" s="3" t="n">
        <v>8</v>
      </c>
      <c r="N3" s="3" t="n">
        <v>10</v>
      </c>
      <c r="O3" s="3" t="n">
        <v>3</v>
      </c>
      <c r="P3" s="3" t="n">
        <v>1</v>
      </c>
      <c r="Q3" s="3" t="n">
        <v>7</v>
      </c>
      <c r="R3" s="3" t="n">
        <v>2</v>
      </c>
      <c r="S3" s="3" t="n">
        <v>2</v>
      </c>
      <c r="T3" s="3" t="n">
        <v>2</v>
      </c>
      <c r="U3" s="3" t="n">
        <v>45</v>
      </c>
      <c r="V3" s="3" t="n">
        <v>4</v>
      </c>
      <c r="W3" s="3" t="n">
        <v>10</v>
      </c>
      <c r="X3" s="3" t="n">
        <v>2</v>
      </c>
      <c r="Y3" s="3" t="n">
        <v>2</v>
      </c>
      <c r="Z3" s="3" t="n">
        <v>10</v>
      </c>
      <c r="AA3" s="3" t="n">
        <v>3</v>
      </c>
      <c r="AB3" s="3" t="n">
        <v>0</v>
      </c>
      <c r="AC3" s="3" t="n">
        <v>1</v>
      </c>
      <c r="AD3" s="3" t="n">
        <f aca="false">SUM(E3:AC3)</f>
        <v>153</v>
      </c>
    </row>
    <row r="4" customFormat="false" ht="21.75" hidden="false" customHeight="true" outlineLevel="0" collapsed="false">
      <c r="A4" s="3" t="n">
        <v>3</v>
      </c>
      <c r="B4" s="3" t="s">
        <v>15</v>
      </c>
      <c r="C4" s="4" t="s">
        <v>16</v>
      </c>
      <c r="D4" s="3" t="s">
        <v>17</v>
      </c>
      <c r="E4" s="3" t="n">
        <v>6</v>
      </c>
      <c r="F4" s="3" t="n">
        <v>5</v>
      </c>
      <c r="G4" s="3" t="n">
        <v>6</v>
      </c>
      <c r="H4" s="3" t="n">
        <v>1</v>
      </c>
      <c r="I4" s="3" t="n">
        <v>9</v>
      </c>
      <c r="J4" s="3" t="n">
        <v>4</v>
      </c>
      <c r="K4" s="3" t="n">
        <v>6</v>
      </c>
      <c r="L4" s="3" t="n">
        <v>2</v>
      </c>
      <c r="M4" s="3" t="n">
        <v>9</v>
      </c>
      <c r="N4" s="3" t="n">
        <v>8</v>
      </c>
      <c r="O4" s="3" t="n">
        <v>4</v>
      </c>
      <c r="P4" s="3" t="n">
        <v>4</v>
      </c>
      <c r="Q4" s="3" t="n">
        <v>8</v>
      </c>
      <c r="R4" s="3" t="n">
        <v>7</v>
      </c>
      <c r="S4" s="3" t="n">
        <v>6</v>
      </c>
      <c r="T4" s="3" t="n">
        <v>2</v>
      </c>
      <c r="U4" s="3" t="n">
        <v>6</v>
      </c>
      <c r="V4" s="3" t="n">
        <v>4</v>
      </c>
      <c r="W4" s="3" t="n">
        <v>5</v>
      </c>
      <c r="X4" s="3" t="n">
        <v>10</v>
      </c>
      <c r="Y4" s="3" t="n">
        <v>8</v>
      </c>
      <c r="Z4" s="3" t="n">
        <v>3</v>
      </c>
      <c r="AA4" s="3" t="n">
        <v>1</v>
      </c>
      <c r="AB4" s="3" t="n">
        <v>7</v>
      </c>
      <c r="AC4" s="3" t="n">
        <v>9</v>
      </c>
      <c r="AD4" s="3" t="n">
        <f aca="false">SUM(E4:AC4)</f>
        <v>140</v>
      </c>
    </row>
    <row r="5" customFormat="false" ht="21.75" hidden="false" customHeight="true" outlineLevel="0" collapsed="false">
      <c r="A5" s="3" t="n">
        <v>4</v>
      </c>
      <c r="B5" s="3" t="s">
        <v>18</v>
      </c>
      <c r="C5" s="4" t="s">
        <v>19</v>
      </c>
      <c r="D5" s="3" t="s">
        <v>20</v>
      </c>
      <c r="E5" s="3" t="n">
        <v>10</v>
      </c>
      <c r="F5" s="3" t="n">
        <v>8</v>
      </c>
      <c r="G5" s="3" t="n">
        <v>7</v>
      </c>
      <c r="H5" s="3" t="n">
        <v>6</v>
      </c>
      <c r="I5" s="3" t="n">
        <v>5</v>
      </c>
      <c r="J5" s="3" t="n">
        <v>0</v>
      </c>
      <c r="K5" s="3" t="n">
        <v>7</v>
      </c>
      <c r="L5" s="3" t="n">
        <v>7</v>
      </c>
      <c r="M5" s="3" t="n">
        <v>2</v>
      </c>
      <c r="N5" s="3" t="n">
        <v>6</v>
      </c>
      <c r="O5" s="3" t="n">
        <v>8</v>
      </c>
      <c r="P5" s="3" t="n">
        <v>4</v>
      </c>
      <c r="Q5" s="3" t="n">
        <v>6</v>
      </c>
      <c r="R5" s="3" t="n">
        <v>5</v>
      </c>
      <c r="S5" s="3" t="n">
        <v>2</v>
      </c>
      <c r="T5" s="3" t="n">
        <v>2</v>
      </c>
      <c r="U5" s="3" t="n">
        <v>6</v>
      </c>
      <c r="V5" s="3" t="n">
        <v>0</v>
      </c>
      <c r="W5" s="3" t="n">
        <v>3</v>
      </c>
      <c r="X5" s="3" t="n">
        <v>5</v>
      </c>
      <c r="Y5" s="3" t="n">
        <v>8</v>
      </c>
      <c r="Z5" s="3" t="n">
        <v>4</v>
      </c>
      <c r="AA5" s="3" t="n">
        <v>1</v>
      </c>
      <c r="AB5" s="3" t="n">
        <v>3</v>
      </c>
      <c r="AC5" s="3" t="n">
        <v>9</v>
      </c>
      <c r="AD5" s="3" t="n">
        <f aca="false">SUM(E5:AC5)</f>
        <v>124</v>
      </c>
    </row>
    <row r="6" customFormat="false" ht="21.75" hidden="false" customHeight="true" outlineLevel="0" collapsed="false">
      <c r="A6" s="3" t="n">
        <v>5</v>
      </c>
      <c r="B6" s="3" t="s">
        <v>21</v>
      </c>
      <c r="C6" s="4" t="s">
        <v>22</v>
      </c>
      <c r="D6" s="3" t="s">
        <v>23</v>
      </c>
      <c r="E6" s="3" t="n">
        <v>9</v>
      </c>
      <c r="F6" s="3" t="n">
        <v>3</v>
      </c>
      <c r="G6" s="3" t="n">
        <v>9</v>
      </c>
      <c r="H6" s="3" t="n">
        <v>8</v>
      </c>
      <c r="I6" s="3" t="n">
        <v>2</v>
      </c>
      <c r="J6" s="3" t="n">
        <v>3</v>
      </c>
      <c r="K6" s="3" t="n">
        <v>10</v>
      </c>
      <c r="L6" s="3" t="n">
        <v>3</v>
      </c>
      <c r="M6" s="3" t="n">
        <v>8</v>
      </c>
      <c r="N6" s="3" t="n">
        <v>9</v>
      </c>
      <c r="O6" s="3" t="n">
        <v>8</v>
      </c>
      <c r="P6" s="3" t="n">
        <v>6</v>
      </c>
      <c r="Q6" s="3" t="n">
        <v>7</v>
      </c>
      <c r="R6" s="3" t="n">
        <v>7</v>
      </c>
      <c r="S6" s="3" t="n">
        <v>0</v>
      </c>
      <c r="T6" s="3" t="n">
        <v>2</v>
      </c>
      <c r="U6" s="3" t="n">
        <v>5</v>
      </c>
      <c r="V6" s="3" t="n">
        <v>7</v>
      </c>
      <c r="W6" s="3" t="n">
        <v>0</v>
      </c>
      <c r="X6" s="3" t="n">
        <v>5</v>
      </c>
      <c r="Y6" s="3" t="n">
        <v>9</v>
      </c>
      <c r="Z6" s="3" t="n">
        <v>7</v>
      </c>
      <c r="AA6" s="3" t="n">
        <v>0</v>
      </c>
      <c r="AB6" s="3" t="n">
        <v>3</v>
      </c>
      <c r="AC6" s="3" t="n">
        <v>6</v>
      </c>
      <c r="AD6" s="3" t="n">
        <f aca="false">SUM(E6:AC6)</f>
        <v>136</v>
      </c>
    </row>
    <row r="7" customFormat="false" ht="21.75" hidden="false" customHeight="true" outlineLevel="0" collapsed="false">
      <c r="A7" s="3" t="n">
        <v>6</v>
      </c>
      <c r="B7" s="3" t="s">
        <v>24</v>
      </c>
      <c r="C7" s="4" t="s">
        <v>25</v>
      </c>
      <c r="D7" s="3" t="s">
        <v>26</v>
      </c>
      <c r="E7" s="3" t="n">
        <v>8</v>
      </c>
      <c r="F7" s="3" t="n">
        <v>0</v>
      </c>
      <c r="G7" s="3" t="n">
        <v>9</v>
      </c>
      <c r="H7" s="3" t="n">
        <v>9</v>
      </c>
      <c r="I7" s="3" t="n">
        <v>0</v>
      </c>
      <c r="J7" s="3" t="n">
        <v>7</v>
      </c>
      <c r="K7" s="3" t="n">
        <v>7</v>
      </c>
      <c r="L7" s="3" t="n">
        <v>2</v>
      </c>
      <c r="M7" s="3" t="n">
        <v>10</v>
      </c>
      <c r="N7" s="3" t="n">
        <v>2</v>
      </c>
      <c r="O7" s="3" t="n">
        <v>2</v>
      </c>
      <c r="P7" s="3" t="n">
        <v>9</v>
      </c>
      <c r="Q7" s="3" t="n">
        <v>10</v>
      </c>
      <c r="R7" s="3" t="n">
        <v>8</v>
      </c>
      <c r="S7" s="3" t="n">
        <v>6</v>
      </c>
      <c r="T7" s="3" t="n">
        <v>10</v>
      </c>
      <c r="U7" s="3" t="n">
        <v>3</v>
      </c>
      <c r="V7" s="3" t="n">
        <v>10</v>
      </c>
      <c r="W7" s="3" t="n">
        <v>6</v>
      </c>
      <c r="X7" s="3" t="n">
        <v>8</v>
      </c>
      <c r="Y7" s="3" t="n">
        <v>2</v>
      </c>
      <c r="Z7" s="3" t="n">
        <v>4</v>
      </c>
      <c r="AA7" s="3" t="n">
        <v>2</v>
      </c>
      <c r="AB7" s="3" t="n">
        <v>8</v>
      </c>
      <c r="AC7" s="3" t="n">
        <v>5</v>
      </c>
      <c r="AD7" s="3" t="n">
        <f aca="false">SUM(E7:AC7)</f>
        <v>147</v>
      </c>
    </row>
    <row r="8" customFormat="false" ht="21.75" hidden="false" customHeight="true" outlineLevel="0" collapsed="false">
      <c r="A8" s="3" t="n">
        <v>7</v>
      </c>
      <c r="B8" s="3" t="s">
        <v>27</v>
      </c>
      <c r="C8" s="4" t="s">
        <v>28</v>
      </c>
      <c r="D8" s="3" t="s">
        <v>29</v>
      </c>
      <c r="E8" s="3" t="n">
        <v>8</v>
      </c>
      <c r="F8" s="3" t="n">
        <v>5</v>
      </c>
      <c r="G8" s="3" t="n">
        <v>2</v>
      </c>
      <c r="H8" s="3" t="n">
        <v>6</v>
      </c>
      <c r="I8" s="3" t="n">
        <v>5</v>
      </c>
      <c r="J8" s="3" t="n">
        <v>4</v>
      </c>
      <c r="K8" s="3" t="n">
        <v>3</v>
      </c>
      <c r="L8" s="3" t="n">
        <v>4</v>
      </c>
      <c r="M8" s="3" t="n">
        <v>8</v>
      </c>
      <c r="N8" s="3" t="n">
        <v>9</v>
      </c>
      <c r="O8" s="3" t="n">
        <v>5</v>
      </c>
      <c r="P8" s="3" t="n">
        <v>6</v>
      </c>
      <c r="Q8" s="3" t="n">
        <v>8</v>
      </c>
      <c r="R8" s="3" t="n">
        <v>5</v>
      </c>
      <c r="S8" s="3" t="n">
        <v>1</v>
      </c>
      <c r="T8" s="3" t="n">
        <v>1</v>
      </c>
      <c r="U8" s="3" t="n">
        <v>7</v>
      </c>
      <c r="V8" s="3" t="n">
        <v>3</v>
      </c>
      <c r="W8" s="3" t="n">
        <v>7</v>
      </c>
      <c r="X8" s="3" t="n">
        <v>2</v>
      </c>
      <c r="Y8" s="3" t="n">
        <v>5</v>
      </c>
      <c r="Z8" s="3" t="n">
        <v>8</v>
      </c>
      <c r="AA8" s="3" t="n">
        <v>10</v>
      </c>
      <c r="AB8" s="3" t="n">
        <v>5</v>
      </c>
      <c r="AC8" s="3" t="n">
        <v>1</v>
      </c>
      <c r="AD8" s="3" t="n">
        <f aca="false">SUM(E8:AC8)</f>
        <v>128</v>
      </c>
    </row>
    <row r="9" customFormat="false" ht="21.75" hidden="false" customHeight="true" outlineLevel="0" collapsed="false">
      <c r="A9" s="3" t="n">
        <v>8</v>
      </c>
      <c r="B9" s="3" t="s">
        <v>30</v>
      </c>
      <c r="C9" s="4" t="s">
        <v>31</v>
      </c>
      <c r="D9" s="3" t="s">
        <v>32</v>
      </c>
      <c r="E9" s="3" t="n">
        <v>0</v>
      </c>
      <c r="F9" s="3" t="n">
        <v>1</v>
      </c>
      <c r="G9" s="3" t="n">
        <v>2</v>
      </c>
      <c r="H9" s="3" t="n">
        <v>5</v>
      </c>
      <c r="I9" s="3" t="n">
        <v>6</v>
      </c>
      <c r="J9" s="3" t="n">
        <v>9</v>
      </c>
      <c r="K9" s="3" t="n">
        <v>0</v>
      </c>
      <c r="L9" s="3" t="n">
        <v>9</v>
      </c>
      <c r="M9" s="3" t="n">
        <v>2</v>
      </c>
      <c r="N9" s="3" t="n">
        <v>0</v>
      </c>
      <c r="O9" s="3" t="n">
        <v>7</v>
      </c>
      <c r="P9" s="3" t="n">
        <v>3</v>
      </c>
      <c r="Q9" s="3" t="n">
        <v>2</v>
      </c>
      <c r="R9" s="3" t="n">
        <v>7</v>
      </c>
      <c r="S9" s="3" t="n">
        <v>10</v>
      </c>
      <c r="T9" s="3" t="n">
        <v>2</v>
      </c>
      <c r="U9" s="3" t="n">
        <v>2</v>
      </c>
      <c r="V9" s="3" t="n">
        <v>5</v>
      </c>
      <c r="W9" s="3" t="n">
        <v>10</v>
      </c>
      <c r="X9" s="3" t="n">
        <v>6</v>
      </c>
      <c r="Y9" s="3" t="n">
        <v>7</v>
      </c>
      <c r="Z9" s="3" t="n">
        <v>6</v>
      </c>
      <c r="AA9" s="3" t="n">
        <v>9</v>
      </c>
      <c r="AB9" s="3" t="n">
        <v>5</v>
      </c>
      <c r="AC9" s="3" t="n">
        <v>3</v>
      </c>
      <c r="AD9" s="3" t="n">
        <f aca="false">SUM(E9:AC9)</f>
        <v>118</v>
      </c>
    </row>
    <row r="10" customFormat="false" ht="21.75" hidden="false" customHeight="true" outlineLevel="0" collapsed="false">
      <c r="A10" s="3" t="n">
        <v>9</v>
      </c>
      <c r="B10" s="3" t="s">
        <v>34</v>
      </c>
      <c r="C10" s="4" t="s">
        <v>35</v>
      </c>
      <c r="D10" s="3" t="s">
        <v>36</v>
      </c>
      <c r="E10" s="3" t="n">
        <v>1</v>
      </c>
      <c r="F10" s="3" t="n">
        <v>9</v>
      </c>
      <c r="G10" s="3" t="n">
        <v>9</v>
      </c>
      <c r="H10" s="3" t="n">
        <v>8</v>
      </c>
      <c r="I10" s="3" t="n">
        <v>4</v>
      </c>
      <c r="J10" s="3" t="n">
        <v>3</v>
      </c>
      <c r="K10" s="3" t="n">
        <v>7</v>
      </c>
      <c r="L10" s="3" t="n">
        <v>3</v>
      </c>
      <c r="M10" s="3" t="n">
        <v>2</v>
      </c>
      <c r="N10" s="3" t="n">
        <v>6</v>
      </c>
      <c r="O10" s="3" t="n">
        <v>10</v>
      </c>
      <c r="P10" s="3" t="n">
        <v>2</v>
      </c>
      <c r="Q10" s="3" t="n">
        <v>5</v>
      </c>
      <c r="R10" s="3" t="n">
        <v>3</v>
      </c>
      <c r="S10" s="3" t="n">
        <v>2</v>
      </c>
      <c r="T10" s="3" t="n">
        <v>5</v>
      </c>
      <c r="U10" s="3" t="n">
        <v>3</v>
      </c>
      <c r="V10" s="3" t="n">
        <v>2</v>
      </c>
      <c r="W10" s="3" t="n">
        <v>7</v>
      </c>
      <c r="X10" s="3" t="n">
        <v>7</v>
      </c>
      <c r="Y10" s="3" t="n">
        <v>5</v>
      </c>
      <c r="Z10" s="3" t="n">
        <v>5</v>
      </c>
      <c r="AA10" s="3" t="n">
        <v>4</v>
      </c>
      <c r="AB10" s="3" t="n">
        <v>6</v>
      </c>
      <c r="AC10" s="3" t="n">
        <v>3</v>
      </c>
      <c r="AD10" s="3" t="n">
        <f aca="false">SUM(E10:AC10)</f>
        <v>121</v>
      </c>
    </row>
    <row r="11" customFormat="false" ht="21.75" hidden="false" customHeight="true" outlineLevel="0" collapsed="false">
      <c r="A11" s="3" t="n">
        <v>10</v>
      </c>
      <c r="B11" s="3" t="s">
        <v>37</v>
      </c>
      <c r="C11" s="4" t="s">
        <v>38</v>
      </c>
      <c r="D11" s="3" t="s">
        <v>39</v>
      </c>
      <c r="E11" s="3" t="n">
        <v>7</v>
      </c>
      <c r="F11" s="3" t="n">
        <v>3</v>
      </c>
      <c r="G11" s="3" t="n">
        <v>9</v>
      </c>
      <c r="H11" s="3" t="n">
        <v>0</v>
      </c>
      <c r="I11" s="3" t="n">
        <v>2</v>
      </c>
      <c r="J11" s="3" t="n">
        <v>7</v>
      </c>
      <c r="K11" s="3" t="n">
        <v>4</v>
      </c>
      <c r="L11" s="3" t="n">
        <v>2</v>
      </c>
      <c r="M11" s="3" t="n">
        <v>0</v>
      </c>
      <c r="N11" s="3" t="n">
        <v>6</v>
      </c>
      <c r="O11" s="3" t="n">
        <v>6</v>
      </c>
      <c r="P11" s="3" t="n">
        <v>1</v>
      </c>
      <c r="Q11" s="3" t="n">
        <v>1</v>
      </c>
      <c r="R11" s="3" t="n">
        <v>5</v>
      </c>
      <c r="S11" s="3" t="n">
        <v>2</v>
      </c>
      <c r="T11" s="3" t="n">
        <v>5</v>
      </c>
      <c r="U11" s="3" t="n">
        <v>9</v>
      </c>
      <c r="V11" s="3" t="n">
        <v>9</v>
      </c>
      <c r="W11" s="3" t="n">
        <v>0</v>
      </c>
      <c r="X11" s="3" t="n">
        <v>0</v>
      </c>
      <c r="Y11" s="3" t="n">
        <v>7</v>
      </c>
      <c r="Z11" s="3" t="n">
        <v>8</v>
      </c>
      <c r="AA11" s="3" t="n">
        <v>5</v>
      </c>
      <c r="AB11" s="3" t="n">
        <v>9</v>
      </c>
      <c r="AC11" s="3" t="n">
        <v>3</v>
      </c>
      <c r="AD11" s="3" t="n">
        <f aca="false">SUM(E11:AC11)</f>
        <v>110</v>
      </c>
    </row>
    <row r="12" customFormat="false" ht="21.75" hidden="false" customHeight="true" outlineLevel="0" collapsed="false">
      <c r="A12" s="3" t="n">
        <v>11</v>
      </c>
      <c r="B12" s="3" t="s">
        <v>40</v>
      </c>
      <c r="C12" s="4" t="s">
        <v>41</v>
      </c>
      <c r="D12" s="3" t="s">
        <v>42</v>
      </c>
      <c r="E12" s="3" t="n">
        <v>6</v>
      </c>
      <c r="F12" s="3" t="n">
        <v>8</v>
      </c>
      <c r="G12" s="3" t="n">
        <v>5</v>
      </c>
      <c r="H12" s="3" t="n">
        <v>5</v>
      </c>
      <c r="I12" s="3" t="n">
        <v>5</v>
      </c>
      <c r="J12" s="3" t="n">
        <v>2</v>
      </c>
      <c r="K12" s="3" t="n">
        <v>6</v>
      </c>
      <c r="L12" s="3" t="n">
        <v>5</v>
      </c>
      <c r="M12" s="3" t="n">
        <v>2</v>
      </c>
      <c r="N12" s="3" t="n">
        <v>6</v>
      </c>
      <c r="O12" s="3" t="n">
        <v>0</v>
      </c>
      <c r="P12" s="3" t="n">
        <v>5</v>
      </c>
      <c r="Q12" s="3" t="n">
        <v>9</v>
      </c>
      <c r="R12" s="3" t="n">
        <v>8</v>
      </c>
      <c r="S12" s="3" t="n">
        <v>7</v>
      </c>
      <c r="T12" s="3" t="n">
        <v>2</v>
      </c>
      <c r="U12" s="3" t="n">
        <v>10</v>
      </c>
      <c r="V12" s="3" t="n">
        <v>5</v>
      </c>
      <c r="W12" s="3" t="n">
        <v>5</v>
      </c>
      <c r="X12" s="3" t="n">
        <v>1</v>
      </c>
      <c r="Y12" s="3" t="n">
        <v>3</v>
      </c>
      <c r="Z12" s="3" t="n">
        <v>4</v>
      </c>
      <c r="AA12" s="3" t="n">
        <v>7</v>
      </c>
      <c r="AB12" s="3" t="n">
        <v>5</v>
      </c>
      <c r="AC12" s="3" t="n">
        <v>6</v>
      </c>
      <c r="AD12" s="3" t="n">
        <f aca="false">SUM(E12:AC12)</f>
        <v>127</v>
      </c>
    </row>
    <row r="13" customFormat="false" ht="21.75" hidden="false" customHeight="true" outlineLevel="0" collapsed="false">
      <c r="A13" s="3" t="n">
        <v>12</v>
      </c>
      <c r="B13" s="3" t="s">
        <v>43</v>
      </c>
      <c r="C13" s="4" t="s">
        <v>44</v>
      </c>
      <c r="D13" s="3" t="s">
        <v>45</v>
      </c>
      <c r="E13" s="3" t="n">
        <v>0</v>
      </c>
      <c r="F13" s="3" t="n">
        <v>9</v>
      </c>
      <c r="G13" s="3" t="n">
        <v>4</v>
      </c>
      <c r="H13" s="3" t="n">
        <v>7</v>
      </c>
      <c r="I13" s="3" t="n">
        <v>4</v>
      </c>
      <c r="J13" s="3" t="n">
        <v>10</v>
      </c>
      <c r="K13" s="3" t="n">
        <v>6</v>
      </c>
      <c r="L13" s="3" t="n">
        <v>3</v>
      </c>
      <c r="M13" s="3" t="n">
        <v>10</v>
      </c>
      <c r="N13" s="3" t="n">
        <v>5</v>
      </c>
      <c r="O13" s="3" t="n">
        <v>1</v>
      </c>
      <c r="P13" s="3" t="n">
        <v>6</v>
      </c>
      <c r="Q13" s="3" t="n">
        <v>5</v>
      </c>
      <c r="R13" s="3" t="n">
        <v>1</v>
      </c>
      <c r="S13" s="3" t="n">
        <v>3</v>
      </c>
      <c r="T13" s="3" t="n">
        <v>10</v>
      </c>
      <c r="U13" s="3" t="n">
        <v>10</v>
      </c>
      <c r="V13" s="3" t="n">
        <v>5</v>
      </c>
      <c r="W13" s="3" t="n">
        <v>7</v>
      </c>
      <c r="X13" s="3" t="n">
        <v>5</v>
      </c>
      <c r="Y13" s="3" t="n">
        <v>1</v>
      </c>
      <c r="Z13" s="3" t="n">
        <v>7</v>
      </c>
      <c r="AA13" s="3" t="n">
        <v>8</v>
      </c>
      <c r="AB13" s="3" t="n">
        <v>3</v>
      </c>
      <c r="AC13" s="3" t="n">
        <v>2</v>
      </c>
      <c r="AD13" s="3" t="n">
        <f aca="false">SUM(E13:AC13)</f>
        <v>132</v>
      </c>
    </row>
    <row r="14" customFormat="false" ht="21.75" hidden="false" customHeight="true" outlineLevel="0" collapsed="false">
      <c r="A14" s="3" t="n">
        <v>13</v>
      </c>
      <c r="B14" s="3" t="s">
        <v>46</v>
      </c>
      <c r="C14" s="4" t="s">
        <v>47</v>
      </c>
      <c r="D14" s="3" t="s">
        <v>48</v>
      </c>
      <c r="E14" s="3" t="n">
        <v>0</v>
      </c>
      <c r="F14" s="3" t="n">
        <v>2</v>
      </c>
      <c r="G14" s="3" t="n">
        <v>0</v>
      </c>
      <c r="H14" s="3" t="n">
        <v>7</v>
      </c>
      <c r="I14" s="3" t="n">
        <v>5</v>
      </c>
      <c r="J14" s="3" t="n">
        <v>4</v>
      </c>
      <c r="K14" s="3" t="n">
        <v>5</v>
      </c>
      <c r="L14" s="3" t="n">
        <v>5</v>
      </c>
      <c r="M14" s="3" t="n">
        <v>10</v>
      </c>
      <c r="N14" s="3" t="n">
        <v>7</v>
      </c>
      <c r="O14" s="3" t="n">
        <v>10</v>
      </c>
      <c r="P14" s="3" t="n">
        <v>4</v>
      </c>
      <c r="Q14" s="3" t="n">
        <v>0</v>
      </c>
      <c r="R14" s="3" t="n">
        <v>5</v>
      </c>
      <c r="S14" s="3" t="n">
        <v>7</v>
      </c>
      <c r="T14" s="3" t="n">
        <v>2</v>
      </c>
      <c r="U14" s="3" t="n">
        <v>0</v>
      </c>
      <c r="V14" s="3" t="n">
        <v>9</v>
      </c>
      <c r="W14" s="3" t="n">
        <v>1</v>
      </c>
      <c r="X14" s="3" t="n">
        <v>4</v>
      </c>
      <c r="Y14" s="3" t="n">
        <v>7</v>
      </c>
      <c r="Z14" s="3" t="n">
        <v>4</v>
      </c>
      <c r="AA14" s="3" t="n">
        <v>7</v>
      </c>
      <c r="AB14" s="3" t="n">
        <v>6</v>
      </c>
      <c r="AC14" s="3" t="n">
        <v>5</v>
      </c>
      <c r="AD14" s="3" t="n">
        <f aca="false">SUM(E14:AC14)</f>
        <v>116</v>
      </c>
    </row>
    <row r="15" customFormat="false" ht="21.75" hidden="false" customHeight="true" outlineLevel="0" collapsed="false">
      <c r="A15" s="3" t="n">
        <v>14</v>
      </c>
      <c r="B15" s="3" t="s">
        <v>49</v>
      </c>
      <c r="C15" s="4" t="s">
        <v>50</v>
      </c>
      <c r="D15" s="3" t="s">
        <v>51</v>
      </c>
      <c r="E15" s="3" t="n">
        <v>5</v>
      </c>
      <c r="F15" s="3" t="n">
        <v>2</v>
      </c>
      <c r="G15" s="3" t="n">
        <v>5</v>
      </c>
      <c r="H15" s="3" t="n">
        <v>10</v>
      </c>
      <c r="I15" s="3" t="n">
        <v>8</v>
      </c>
      <c r="J15" s="3" t="n">
        <v>3</v>
      </c>
      <c r="K15" s="3" t="n">
        <v>0</v>
      </c>
      <c r="L15" s="3" t="n">
        <v>3</v>
      </c>
      <c r="M15" s="3" t="n">
        <v>0</v>
      </c>
      <c r="N15" s="3" t="n">
        <v>7</v>
      </c>
      <c r="O15" s="3" t="n">
        <v>9</v>
      </c>
      <c r="P15" s="3" t="n">
        <v>8</v>
      </c>
      <c r="Q15" s="3" t="n">
        <v>7</v>
      </c>
      <c r="R15" s="3" t="n">
        <v>7</v>
      </c>
      <c r="S15" s="3" t="n">
        <v>4</v>
      </c>
      <c r="T15" s="3" t="n">
        <v>2</v>
      </c>
      <c r="U15" s="3" t="n">
        <v>5</v>
      </c>
      <c r="V15" s="3" t="n">
        <v>4</v>
      </c>
      <c r="W15" s="3" t="n">
        <v>3</v>
      </c>
      <c r="X15" s="3" t="n">
        <v>3</v>
      </c>
      <c r="Y15" s="3" t="n">
        <v>1</v>
      </c>
      <c r="Z15" s="3" t="n">
        <v>4</v>
      </c>
      <c r="AA15" s="3" t="n">
        <v>4</v>
      </c>
      <c r="AB15" s="3" t="n">
        <v>6</v>
      </c>
      <c r="AC15" s="3" t="n">
        <v>2</v>
      </c>
      <c r="AD15" s="3" t="n">
        <f aca="false">SUM(E15:AC15)</f>
        <v>112</v>
      </c>
    </row>
    <row r="16" customFormat="false" ht="21.75" hidden="false" customHeight="true" outlineLevel="0" collapsed="false">
      <c r="A16" s="3" t="n">
        <v>15</v>
      </c>
      <c r="B16" s="3" t="s">
        <v>52</v>
      </c>
      <c r="C16" s="4" t="s">
        <v>53</v>
      </c>
      <c r="D16" s="3" t="s">
        <v>54</v>
      </c>
      <c r="E16" s="3" t="n">
        <v>2</v>
      </c>
      <c r="F16" s="3" t="n">
        <v>3</v>
      </c>
      <c r="G16" s="3" t="n">
        <v>9</v>
      </c>
      <c r="H16" s="3" t="n">
        <v>2</v>
      </c>
      <c r="I16" s="3" t="n">
        <v>10</v>
      </c>
      <c r="J16" s="3" t="n">
        <v>0</v>
      </c>
      <c r="K16" s="3" t="n">
        <v>8</v>
      </c>
      <c r="L16" s="3" t="n">
        <v>5</v>
      </c>
      <c r="M16" s="3" t="n">
        <v>2</v>
      </c>
      <c r="N16" s="3" t="n">
        <v>9</v>
      </c>
      <c r="O16" s="3" t="n">
        <v>0</v>
      </c>
      <c r="P16" s="3" t="n">
        <v>5</v>
      </c>
      <c r="Q16" s="3" t="n">
        <v>1</v>
      </c>
      <c r="R16" s="3" t="n">
        <v>2</v>
      </c>
      <c r="S16" s="3" t="n">
        <v>5</v>
      </c>
      <c r="T16" s="3" t="n">
        <v>2</v>
      </c>
      <c r="U16" s="3" t="n">
        <v>10</v>
      </c>
      <c r="V16" s="3" t="n">
        <v>3</v>
      </c>
      <c r="W16" s="3" t="n">
        <v>10</v>
      </c>
      <c r="X16" s="3" t="n">
        <v>5</v>
      </c>
      <c r="Y16" s="3" t="n">
        <v>1</v>
      </c>
      <c r="Z16" s="3" t="n">
        <v>3</v>
      </c>
      <c r="AA16" s="3" t="n">
        <v>10</v>
      </c>
      <c r="AB16" s="3" t="n">
        <v>2</v>
      </c>
      <c r="AC16" s="3" t="n">
        <v>10</v>
      </c>
      <c r="AD16" s="3" t="n">
        <f aca="false">SUM(E16:AC16)</f>
        <v>119</v>
      </c>
    </row>
    <row r="17" customFormat="false" ht="21.75" hidden="false" customHeight="true" outlineLevel="0" collapsed="false">
      <c r="A17" s="3" t="n">
        <v>16</v>
      </c>
      <c r="B17" s="3" t="s">
        <v>55</v>
      </c>
      <c r="C17" s="4" t="s">
        <v>56</v>
      </c>
      <c r="D17" s="3" t="s">
        <v>57</v>
      </c>
      <c r="E17" s="3" t="n">
        <v>5</v>
      </c>
      <c r="F17" s="3" t="n">
        <v>7</v>
      </c>
      <c r="G17" s="3" t="n">
        <v>6</v>
      </c>
      <c r="H17" s="3" t="n">
        <v>3</v>
      </c>
      <c r="I17" s="3" t="n">
        <v>0</v>
      </c>
      <c r="J17" s="3" t="n">
        <v>4</v>
      </c>
      <c r="K17" s="3" t="n">
        <v>1</v>
      </c>
      <c r="L17" s="3" t="n">
        <v>9</v>
      </c>
      <c r="M17" s="3" t="n">
        <v>10</v>
      </c>
      <c r="N17" s="3" t="n">
        <v>6</v>
      </c>
      <c r="O17" s="3" t="n">
        <v>6</v>
      </c>
      <c r="P17" s="3" t="n">
        <v>8</v>
      </c>
      <c r="Q17" s="3" t="n">
        <v>7</v>
      </c>
      <c r="R17" s="3" t="n">
        <v>8</v>
      </c>
      <c r="S17" s="3" t="n">
        <v>6</v>
      </c>
      <c r="T17" s="3" t="n">
        <v>4</v>
      </c>
      <c r="U17" s="3" t="n">
        <v>1</v>
      </c>
      <c r="V17" s="3" t="n">
        <v>0</v>
      </c>
      <c r="W17" s="3" t="n">
        <v>7</v>
      </c>
      <c r="X17" s="3" t="n">
        <v>9</v>
      </c>
      <c r="Y17" s="3" t="n">
        <v>0</v>
      </c>
      <c r="Z17" s="3" t="n">
        <v>7</v>
      </c>
      <c r="AA17" s="3" t="n">
        <v>0</v>
      </c>
      <c r="AB17" s="3" t="n">
        <v>6</v>
      </c>
      <c r="AC17" s="3" t="n">
        <v>1</v>
      </c>
      <c r="AD17" s="3" t="n">
        <f aca="false">SUM(E17:AC17)</f>
        <v>121</v>
      </c>
    </row>
    <row r="18" customFormat="false" ht="21.75" hidden="false" customHeight="true" outlineLevel="0" collapsed="false">
      <c r="A18" s="3" t="n">
        <v>17</v>
      </c>
      <c r="B18" s="3" t="s">
        <v>58</v>
      </c>
      <c r="C18" s="4" t="s">
        <v>59</v>
      </c>
      <c r="D18" s="3" t="s">
        <v>60</v>
      </c>
      <c r="E18" s="3" t="n">
        <v>3</v>
      </c>
      <c r="F18" s="3" t="n">
        <v>10</v>
      </c>
      <c r="G18" s="3" t="n">
        <v>9</v>
      </c>
      <c r="H18" s="3" t="n">
        <v>10</v>
      </c>
      <c r="I18" s="3" t="n">
        <v>7</v>
      </c>
      <c r="J18" s="3" t="n">
        <v>6</v>
      </c>
      <c r="K18" s="3" t="n">
        <v>7</v>
      </c>
      <c r="L18" s="3" t="n">
        <v>0</v>
      </c>
      <c r="M18" s="3" t="n">
        <v>2</v>
      </c>
      <c r="N18" s="3" t="n">
        <v>4</v>
      </c>
      <c r="O18" s="3" t="n">
        <v>2</v>
      </c>
      <c r="P18" s="3" t="n">
        <v>10</v>
      </c>
      <c r="Q18" s="3" t="n">
        <v>2</v>
      </c>
      <c r="R18" s="3" t="n">
        <v>1</v>
      </c>
      <c r="S18" s="3" t="n">
        <v>2</v>
      </c>
      <c r="T18" s="3" t="n">
        <v>5</v>
      </c>
      <c r="U18" s="3" t="n">
        <v>1</v>
      </c>
      <c r="V18" s="3" t="n">
        <v>5</v>
      </c>
      <c r="W18" s="3" t="n">
        <v>9</v>
      </c>
      <c r="X18" s="3" t="n">
        <v>0</v>
      </c>
      <c r="Y18" s="3" t="n">
        <v>10</v>
      </c>
      <c r="Z18" s="3" t="n">
        <v>10</v>
      </c>
      <c r="AA18" s="3" t="n">
        <v>1</v>
      </c>
      <c r="AB18" s="3" t="n">
        <v>0</v>
      </c>
      <c r="AC18" s="3" t="n">
        <v>8</v>
      </c>
      <c r="AD18" s="3" t="n">
        <f aca="false">SUM(E18:AC18)</f>
        <v>124</v>
      </c>
    </row>
    <row r="19" customFormat="false" ht="21.75" hidden="false" customHeight="true" outlineLevel="0" collapsed="false">
      <c r="A19" s="3" t="n">
        <v>18</v>
      </c>
      <c r="B19" s="3" t="s">
        <v>61</v>
      </c>
      <c r="C19" s="4" t="s">
        <v>62</v>
      </c>
      <c r="D19" s="3" t="s">
        <v>63</v>
      </c>
      <c r="E19" s="3" t="n">
        <v>10</v>
      </c>
      <c r="F19" s="3" t="n">
        <v>1</v>
      </c>
      <c r="G19" s="3" t="n">
        <v>1</v>
      </c>
      <c r="H19" s="3" t="n">
        <v>10</v>
      </c>
      <c r="I19" s="3" t="n">
        <v>4</v>
      </c>
      <c r="J19" s="3" t="n">
        <v>3</v>
      </c>
      <c r="K19" s="3" t="n">
        <v>3</v>
      </c>
      <c r="L19" s="3" t="n">
        <v>9</v>
      </c>
      <c r="M19" s="3" t="n">
        <v>10</v>
      </c>
      <c r="N19" s="3" t="n">
        <v>8</v>
      </c>
      <c r="O19" s="3" t="n">
        <v>7</v>
      </c>
      <c r="P19" s="3" t="n">
        <v>7</v>
      </c>
      <c r="Q19" s="3" t="n">
        <v>4</v>
      </c>
      <c r="R19" s="3" t="n">
        <v>6</v>
      </c>
      <c r="S19" s="3" t="n">
        <v>4</v>
      </c>
      <c r="T19" s="3" t="n">
        <v>2</v>
      </c>
      <c r="U19" s="3" t="n">
        <v>1</v>
      </c>
      <c r="V19" s="3" t="n">
        <v>0</v>
      </c>
      <c r="W19" s="3" t="n">
        <v>7</v>
      </c>
      <c r="X19" s="3" t="n">
        <v>4</v>
      </c>
      <c r="Y19" s="3" t="n">
        <v>8</v>
      </c>
      <c r="Z19" s="3" t="n">
        <v>2</v>
      </c>
      <c r="AA19" s="3" t="n">
        <v>6</v>
      </c>
      <c r="AB19" s="3" t="n">
        <v>7</v>
      </c>
      <c r="AC19" s="3" t="n">
        <v>3</v>
      </c>
      <c r="AD19" s="3" t="n">
        <f aca="false">SUM(E19:AC19)</f>
        <v>127</v>
      </c>
    </row>
    <row r="20" customFormat="false" ht="21.75" hidden="false" customHeight="true" outlineLevel="0" collapsed="false">
      <c r="A20" s="3" t="n">
        <v>19</v>
      </c>
      <c r="B20" s="3" t="s">
        <v>64</v>
      </c>
      <c r="C20" s="4" t="s">
        <v>65</v>
      </c>
      <c r="D20" s="3" t="s">
        <v>66</v>
      </c>
      <c r="E20" s="3" t="n">
        <v>9</v>
      </c>
      <c r="F20" s="3" t="n">
        <v>8</v>
      </c>
      <c r="G20" s="3" t="n">
        <v>2</v>
      </c>
      <c r="H20" s="3" t="n">
        <v>0</v>
      </c>
      <c r="I20" s="3" t="n">
        <v>3</v>
      </c>
      <c r="J20" s="3" t="n">
        <v>5</v>
      </c>
      <c r="K20" s="3" t="n">
        <v>4</v>
      </c>
      <c r="L20" s="3" t="n">
        <v>7</v>
      </c>
      <c r="M20" s="3" t="n">
        <v>4</v>
      </c>
      <c r="N20" s="3" t="n">
        <v>9</v>
      </c>
      <c r="O20" s="3" t="n">
        <v>6</v>
      </c>
      <c r="P20" s="3" t="n">
        <v>0</v>
      </c>
      <c r="Q20" s="3" t="n">
        <v>6</v>
      </c>
      <c r="R20" s="3" t="n">
        <v>4</v>
      </c>
      <c r="S20" s="3" t="n">
        <v>1</v>
      </c>
      <c r="T20" s="3" t="n">
        <v>6</v>
      </c>
      <c r="U20" s="3" t="n">
        <v>0</v>
      </c>
      <c r="V20" s="3" t="n">
        <v>8</v>
      </c>
      <c r="W20" s="3" t="n">
        <v>2</v>
      </c>
      <c r="X20" s="3" t="n">
        <v>0</v>
      </c>
      <c r="Y20" s="3" t="n">
        <v>4</v>
      </c>
      <c r="Z20" s="3" t="n">
        <v>1</v>
      </c>
      <c r="AA20" s="3" t="n">
        <v>6</v>
      </c>
      <c r="AB20" s="3" t="n">
        <v>8</v>
      </c>
      <c r="AC20" s="3" t="n">
        <v>10</v>
      </c>
      <c r="AD20" s="3" t="n">
        <f aca="false">SUM(E20:AC20)</f>
        <v>113</v>
      </c>
    </row>
    <row r="21" customFormat="false" ht="21.75" hidden="false" customHeight="true" outlineLevel="0" collapsed="false">
      <c r="A21" s="3" t="n">
        <v>20</v>
      </c>
      <c r="B21" s="3" t="s">
        <v>67</v>
      </c>
      <c r="C21" s="4" t="s">
        <v>68</v>
      </c>
      <c r="D21" s="3" t="s">
        <v>69</v>
      </c>
      <c r="E21" s="3" t="n">
        <v>4</v>
      </c>
      <c r="F21" s="3" t="n">
        <v>10</v>
      </c>
      <c r="G21" s="3" t="n">
        <v>2</v>
      </c>
      <c r="H21" s="3" t="n">
        <v>9</v>
      </c>
      <c r="I21" s="3" t="n">
        <v>6</v>
      </c>
      <c r="J21" s="3" t="n">
        <v>4</v>
      </c>
      <c r="K21" s="3" t="n">
        <v>7</v>
      </c>
      <c r="L21" s="3" t="n">
        <v>0</v>
      </c>
      <c r="M21" s="3" t="n">
        <v>1</v>
      </c>
      <c r="N21" s="3" t="n">
        <v>7</v>
      </c>
      <c r="O21" s="3" t="n">
        <v>4</v>
      </c>
      <c r="P21" s="3" t="n">
        <v>6</v>
      </c>
      <c r="Q21" s="3" t="n">
        <v>8</v>
      </c>
      <c r="R21" s="3" t="n">
        <v>9</v>
      </c>
      <c r="S21" s="3" t="n">
        <v>6</v>
      </c>
      <c r="T21" s="3" t="n">
        <v>9</v>
      </c>
      <c r="U21" s="3" t="n">
        <v>5</v>
      </c>
      <c r="V21" s="3" t="n">
        <v>1</v>
      </c>
      <c r="W21" s="3" t="n">
        <v>6</v>
      </c>
      <c r="X21" s="3" t="n">
        <v>6</v>
      </c>
      <c r="Y21" s="3" t="n">
        <v>4</v>
      </c>
      <c r="Z21" s="3" t="n">
        <v>3</v>
      </c>
      <c r="AA21" s="3" t="n">
        <v>2</v>
      </c>
      <c r="AB21" s="3" t="n">
        <v>6</v>
      </c>
      <c r="AC21" s="3" t="n">
        <v>6</v>
      </c>
      <c r="AD21" s="3" t="n">
        <f aca="false">SUM(E21:AC21)</f>
        <v>131</v>
      </c>
    </row>
    <row r="22" customFormat="false" ht="21.75" hidden="false" customHeight="true" outlineLevel="0" collapsed="false">
      <c r="A22" s="3" t="n">
        <v>21</v>
      </c>
      <c r="B22" s="3" t="s">
        <v>70</v>
      </c>
      <c r="C22" s="4" t="s">
        <v>71</v>
      </c>
      <c r="D22" s="3" t="s">
        <v>72</v>
      </c>
      <c r="E22" s="3" t="n">
        <v>10</v>
      </c>
      <c r="F22" s="3" t="n">
        <v>8</v>
      </c>
      <c r="G22" s="3" t="n">
        <v>3</v>
      </c>
      <c r="H22" s="3" t="n">
        <v>10</v>
      </c>
      <c r="I22" s="3" t="n">
        <v>3</v>
      </c>
      <c r="J22" s="3" t="n">
        <v>4</v>
      </c>
      <c r="K22" s="3" t="n">
        <v>4</v>
      </c>
      <c r="L22" s="3" t="n">
        <v>3</v>
      </c>
      <c r="M22" s="3" t="n">
        <v>8</v>
      </c>
      <c r="N22" s="3" t="n">
        <v>4</v>
      </c>
      <c r="O22" s="3" t="n">
        <v>6</v>
      </c>
      <c r="P22" s="3" t="n">
        <v>6</v>
      </c>
      <c r="Q22" s="3" t="n">
        <v>4</v>
      </c>
      <c r="R22" s="3" t="n">
        <v>3</v>
      </c>
      <c r="S22" s="3" t="n">
        <v>9</v>
      </c>
      <c r="T22" s="3" t="n">
        <v>3</v>
      </c>
      <c r="U22" s="3" t="n">
        <v>4</v>
      </c>
      <c r="V22" s="3" t="n">
        <v>8</v>
      </c>
      <c r="W22" s="3" t="n">
        <v>2</v>
      </c>
      <c r="X22" s="3" t="n">
        <v>5</v>
      </c>
      <c r="Y22" s="3" t="n">
        <v>0</v>
      </c>
      <c r="Z22" s="3" t="n">
        <v>3</v>
      </c>
      <c r="AA22" s="3" t="n">
        <v>9</v>
      </c>
      <c r="AB22" s="3" t="n">
        <v>8</v>
      </c>
      <c r="AC22" s="3" t="n">
        <v>7</v>
      </c>
      <c r="AD22" s="3" t="n">
        <f aca="false">SUM(E22:AC22)</f>
        <v>134</v>
      </c>
    </row>
    <row r="23" customFormat="false" ht="21.75" hidden="false" customHeight="true" outlineLevel="0" collapsed="false">
      <c r="A23" s="3" t="n">
        <v>22</v>
      </c>
      <c r="B23" s="3" t="s">
        <v>73</v>
      </c>
      <c r="C23" s="4" t="s">
        <v>74</v>
      </c>
      <c r="D23" s="3" t="s">
        <v>75</v>
      </c>
      <c r="E23" s="3" t="n">
        <v>1</v>
      </c>
      <c r="F23" s="3" t="n">
        <v>1</v>
      </c>
      <c r="G23" s="3" t="n">
        <v>8</v>
      </c>
      <c r="H23" s="3" t="n">
        <v>5</v>
      </c>
      <c r="I23" s="3" t="n">
        <v>0</v>
      </c>
      <c r="J23" s="3" t="n">
        <v>1</v>
      </c>
      <c r="K23" s="3" t="n">
        <v>4</v>
      </c>
      <c r="L23" s="3" t="n">
        <v>1</v>
      </c>
      <c r="M23" s="3" t="n">
        <v>2</v>
      </c>
      <c r="N23" s="3" t="n">
        <v>5</v>
      </c>
      <c r="O23" s="3" t="n">
        <v>0</v>
      </c>
      <c r="P23" s="3" t="n">
        <v>0</v>
      </c>
      <c r="Q23" s="3" t="n">
        <v>6</v>
      </c>
      <c r="R23" s="3" t="n">
        <v>5</v>
      </c>
      <c r="S23" s="3" t="n">
        <v>9</v>
      </c>
      <c r="T23" s="3" t="n">
        <v>5</v>
      </c>
      <c r="U23" s="3" t="n">
        <v>3</v>
      </c>
      <c r="V23" s="3" t="n">
        <v>10</v>
      </c>
      <c r="W23" s="3" t="n">
        <v>2</v>
      </c>
      <c r="X23" s="3" t="n">
        <v>3</v>
      </c>
      <c r="Y23" s="3" t="n">
        <v>1</v>
      </c>
      <c r="Z23" s="3" t="n">
        <v>10</v>
      </c>
      <c r="AA23" s="3" t="n">
        <v>1</v>
      </c>
      <c r="AB23" s="3" t="n">
        <v>2</v>
      </c>
      <c r="AC23" s="3" t="n">
        <v>4</v>
      </c>
      <c r="AD23" s="3" t="n">
        <f aca="false">SUM(E23:AC23)</f>
        <v>89</v>
      </c>
    </row>
    <row r="24" customFormat="false" ht="21.75" hidden="false" customHeight="true" outlineLevel="0" collapsed="false">
      <c r="A24" s="3" t="n">
        <v>23</v>
      </c>
      <c r="B24" s="3" t="s">
        <v>76</v>
      </c>
      <c r="C24" s="4" t="s">
        <v>77</v>
      </c>
      <c r="D24" s="3" t="s">
        <v>78</v>
      </c>
      <c r="E24" s="3" t="n">
        <v>0</v>
      </c>
      <c r="F24" s="3" t="n">
        <v>6</v>
      </c>
      <c r="G24" s="3" t="n">
        <v>8</v>
      </c>
      <c r="H24" s="3" t="n">
        <v>4</v>
      </c>
      <c r="I24" s="3" t="n">
        <v>3</v>
      </c>
      <c r="J24" s="3" t="n">
        <v>3</v>
      </c>
      <c r="K24" s="3" t="n">
        <v>3</v>
      </c>
      <c r="L24" s="3" t="n">
        <v>2</v>
      </c>
      <c r="M24" s="3" t="n">
        <v>2</v>
      </c>
      <c r="N24" s="3" t="n">
        <v>9</v>
      </c>
      <c r="O24" s="3" t="n">
        <v>0</v>
      </c>
      <c r="P24" s="3" t="n">
        <v>8</v>
      </c>
      <c r="Q24" s="3" t="n">
        <v>1</v>
      </c>
      <c r="R24" s="3" t="n">
        <v>3</v>
      </c>
      <c r="S24" s="3" t="n">
        <v>6</v>
      </c>
      <c r="T24" s="3" t="n">
        <v>9</v>
      </c>
      <c r="U24" s="3" t="n">
        <v>8</v>
      </c>
      <c r="V24" s="3" t="n">
        <v>8</v>
      </c>
      <c r="W24" s="3" t="n">
        <v>7</v>
      </c>
      <c r="X24" s="3" t="n">
        <v>5</v>
      </c>
      <c r="Y24" s="3" t="n">
        <v>2</v>
      </c>
      <c r="Z24" s="3" t="n">
        <v>3</v>
      </c>
      <c r="AA24" s="3" t="n">
        <v>8</v>
      </c>
      <c r="AB24" s="3" t="n">
        <v>9</v>
      </c>
      <c r="AC24" s="3" t="n">
        <v>4</v>
      </c>
      <c r="AD24" s="3" t="n">
        <f aca="false">SUM(E24:AC24)</f>
        <v>121</v>
      </c>
    </row>
    <row r="25" customFormat="false" ht="21.75" hidden="false" customHeight="true" outlineLevel="0" collapsed="false">
      <c r="A25" s="3" t="n">
        <v>24</v>
      </c>
      <c r="B25" s="3" t="s">
        <v>79</v>
      </c>
      <c r="C25" s="4" t="s">
        <v>80</v>
      </c>
      <c r="D25" s="3" t="s">
        <v>81</v>
      </c>
      <c r="E25" s="3" t="n">
        <v>2</v>
      </c>
      <c r="F25" s="3" t="n">
        <v>3</v>
      </c>
      <c r="G25" s="3" t="n">
        <v>5</v>
      </c>
      <c r="H25" s="3" t="n">
        <v>7</v>
      </c>
      <c r="I25" s="3" t="n">
        <v>10</v>
      </c>
      <c r="J25" s="3" t="n">
        <v>2</v>
      </c>
      <c r="K25" s="3" t="n">
        <v>1</v>
      </c>
      <c r="L25" s="3" t="n">
        <v>3</v>
      </c>
      <c r="M25" s="3" t="n">
        <v>9</v>
      </c>
      <c r="N25" s="3" t="n">
        <v>2</v>
      </c>
      <c r="O25" s="3" t="n">
        <v>7</v>
      </c>
      <c r="P25" s="3" t="n">
        <v>9</v>
      </c>
      <c r="Q25" s="3" t="n">
        <v>0</v>
      </c>
      <c r="R25" s="3" t="n">
        <v>0</v>
      </c>
      <c r="S25" s="3" t="n">
        <v>7</v>
      </c>
      <c r="T25" s="3" t="n">
        <v>10</v>
      </c>
      <c r="U25" s="3" t="n">
        <v>3</v>
      </c>
      <c r="V25" s="3" t="n">
        <v>3</v>
      </c>
      <c r="W25" s="3" t="n">
        <v>6</v>
      </c>
      <c r="X25" s="3" t="n">
        <v>8</v>
      </c>
      <c r="Y25" s="3" t="n">
        <v>10</v>
      </c>
      <c r="Z25" s="3" t="n">
        <v>3</v>
      </c>
      <c r="AA25" s="3" t="n">
        <v>6</v>
      </c>
      <c r="AB25" s="3" t="n">
        <v>10</v>
      </c>
      <c r="AC25" s="3" t="n">
        <v>2</v>
      </c>
      <c r="AD25" s="3" t="n">
        <f aca="false">SUM(E25:AC25)</f>
        <v>128</v>
      </c>
    </row>
    <row r="26" customFormat="false" ht="21.75" hidden="false" customHeight="true" outlineLevel="0" collapsed="false">
      <c r="A26" s="3" t="n">
        <v>25</v>
      </c>
      <c r="B26" s="3" t="s">
        <v>82</v>
      </c>
      <c r="C26" s="4" t="s">
        <v>83</v>
      </c>
      <c r="D26" s="3" t="s">
        <v>84</v>
      </c>
      <c r="E26" s="3" t="n">
        <v>6</v>
      </c>
      <c r="F26" s="3" t="n">
        <v>9</v>
      </c>
      <c r="G26" s="3" t="n">
        <v>1</v>
      </c>
      <c r="H26" s="3" t="n">
        <v>9</v>
      </c>
      <c r="I26" s="3" t="n">
        <v>10</v>
      </c>
      <c r="J26" s="3" t="n">
        <v>9</v>
      </c>
      <c r="K26" s="3" t="n">
        <v>8</v>
      </c>
      <c r="L26" s="3" t="n">
        <v>0</v>
      </c>
      <c r="M26" s="3" t="n">
        <v>4</v>
      </c>
      <c r="N26" s="3" t="n">
        <v>0</v>
      </c>
      <c r="O26" s="3" t="n">
        <v>6</v>
      </c>
      <c r="P26" s="3" t="n">
        <v>10</v>
      </c>
      <c r="Q26" s="3" t="n">
        <v>2</v>
      </c>
      <c r="R26" s="3" t="n">
        <v>4</v>
      </c>
      <c r="S26" s="3" t="n">
        <v>5</v>
      </c>
      <c r="T26" s="3" t="n">
        <v>0</v>
      </c>
      <c r="U26" s="3" t="n">
        <v>8</v>
      </c>
      <c r="V26" s="3" t="n">
        <v>9</v>
      </c>
      <c r="W26" s="3" t="n">
        <v>7</v>
      </c>
      <c r="X26" s="3" t="n">
        <v>1</v>
      </c>
      <c r="Y26" s="3" t="n">
        <v>5</v>
      </c>
      <c r="Z26" s="3" t="n">
        <v>10</v>
      </c>
      <c r="AA26" s="3" t="n">
        <v>8</v>
      </c>
      <c r="AB26" s="3" t="n">
        <v>1</v>
      </c>
      <c r="AC26" s="3" t="n">
        <v>1</v>
      </c>
      <c r="AD26" s="3" t="n">
        <f aca="false">SUM(E26:AC26)</f>
        <v>133</v>
      </c>
    </row>
    <row r="27" customFormat="false" ht="21.75" hidden="false" customHeight="true" outlineLevel="0" collapsed="false">
      <c r="A27" s="3" t="n">
        <v>26</v>
      </c>
      <c r="B27" s="3" t="s">
        <v>85</v>
      </c>
      <c r="C27" s="4" t="s">
        <v>86</v>
      </c>
      <c r="D27" s="3" t="s">
        <v>87</v>
      </c>
      <c r="E27" s="3" t="n">
        <v>6</v>
      </c>
      <c r="F27" s="3" t="n">
        <v>5</v>
      </c>
      <c r="G27" s="3" t="n">
        <v>10</v>
      </c>
      <c r="H27" s="3" t="n">
        <v>8</v>
      </c>
      <c r="I27" s="3" t="n">
        <v>0</v>
      </c>
      <c r="J27" s="3" t="n">
        <v>5</v>
      </c>
      <c r="K27" s="3" t="n">
        <v>5</v>
      </c>
      <c r="L27" s="3" t="n">
        <v>0</v>
      </c>
      <c r="M27" s="3" t="n">
        <v>6</v>
      </c>
      <c r="N27" s="3" t="n">
        <v>8</v>
      </c>
      <c r="O27" s="3" t="n">
        <v>6</v>
      </c>
      <c r="P27" s="3" t="n">
        <v>9</v>
      </c>
      <c r="Q27" s="3" t="n">
        <v>9</v>
      </c>
      <c r="R27" s="3" t="n">
        <v>8</v>
      </c>
      <c r="S27" s="3" t="n">
        <v>5</v>
      </c>
      <c r="T27" s="3" t="n">
        <v>8</v>
      </c>
      <c r="U27" s="3" t="n">
        <v>8</v>
      </c>
      <c r="V27" s="3" t="n">
        <v>5</v>
      </c>
      <c r="W27" s="3" t="n">
        <v>2</v>
      </c>
      <c r="X27" s="3" t="n">
        <v>6</v>
      </c>
      <c r="Y27" s="3" t="n">
        <v>2</v>
      </c>
      <c r="Z27" s="3" t="n">
        <v>0</v>
      </c>
      <c r="AA27" s="3" t="n">
        <v>9</v>
      </c>
      <c r="AB27" s="3" t="n">
        <v>5</v>
      </c>
      <c r="AC27" s="3" t="n">
        <v>7</v>
      </c>
      <c r="AD27" s="3" t="n">
        <f aca="false">SUM(E27:AC27)</f>
        <v>142</v>
      </c>
    </row>
    <row r="28" customFormat="false" ht="21.75" hidden="false" customHeight="true" outlineLevel="0" collapsed="false">
      <c r="A28" s="3" t="n">
        <v>27</v>
      </c>
      <c r="B28" s="3" t="s">
        <v>88</v>
      </c>
      <c r="C28" s="4" t="s">
        <v>89</v>
      </c>
      <c r="D28" s="3" t="s">
        <v>90</v>
      </c>
      <c r="E28" s="3" t="n">
        <v>8</v>
      </c>
      <c r="F28" s="3" t="n">
        <v>9</v>
      </c>
      <c r="G28" s="3" t="n">
        <v>4</v>
      </c>
      <c r="H28" s="3" t="n">
        <v>3</v>
      </c>
      <c r="I28" s="3" t="n">
        <v>8</v>
      </c>
      <c r="J28" s="3" t="n">
        <v>5</v>
      </c>
      <c r="K28" s="3" t="n">
        <v>9</v>
      </c>
      <c r="L28" s="3" t="n">
        <v>5</v>
      </c>
      <c r="M28" s="3" t="n">
        <v>0</v>
      </c>
      <c r="N28" s="3" t="n">
        <v>9</v>
      </c>
      <c r="O28" s="3" t="n">
        <v>1</v>
      </c>
      <c r="P28" s="3" t="n">
        <v>4</v>
      </c>
      <c r="Q28" s="3" t="n">
        <v>5</v>
      </c>
      <c r="R28" s="3" t="n">
        <v>2</v>
      </c>
      <c r="S28" s="3" t="n">
        <v>10</v>
      </c>
      <c r="T28" s="3" t="n">
        <v>7</v>
      </c>
      <c r="U28" s="3" t="n">
        <v>0</v>
      </c>
      <c r="V28" s="3" t="n">
        <v>10</v>
      </c>
      <c r="W28" s="3" t="n">
        <v>5</v>
      </c>
      <c r="X28" s="3" t="n">
        <v>4</v>
      </c>
      <c r="Y28" s="3" t="n">
        <v>3</v>
      </c>
      <c r="Z28" s="3" t="n">
        <v>3</v>
      </c>
      <c r="AA28" s="3" t="n">
        <v>6</v>
      </c>
      <c r="AB28" s="3" t="n">
        <v>1</v>
      </c>
      <c r="AC28" s="3" t="n">
        <v>9</v>
      </c>
      <c r="AD28" s="3" t="n">
        <f aca="false">SUM(E28:AC28)</f>
        <v>130</v>
      </c>
    </row>
    <row r="29" customFormat="false" ht="21.75" hidden="false" customHeight="true" outlineLevel="0" collapsed="false">
      <c r="A29" s="3" t="n">
        <v>28</v>
      </c>
      <c r="B29" s="3" t="s">
        <v>91</v>
      </c>
      <c r="C29" s="4" t="s">
        <v>92</v>
      </c>
      <c r="D29" s="3" t="s">
        <v>93</v>
      </c>
      <c r="E29" s="3" t="n">
        <v>10</v>
      </c>
      <c r="F29" s="3" t="n">
        <v>9</v>
      </c>
      <c r="G29" s="3" t="n">
        <v>7</v>
      </c>
      <c r="H29" s="3" t="n">
        <v>6</v>
      </c>
      <c r="I29" s="3" t="n">
        <v>7</v>
      </c>
      <c r="J29" s="3" t="n">
        <v>8</v>
      </c>
      <c r="K29" s="3" t="n">
        <v>4</v>
      </c>
      <c r="L29" s="3" t="n">
        <v>8</v>
      </c>
      <c r="M29" s="3" t="n">
        <v>7</v>
      </c>
      <c r="N29" s="3" t="n">
        <v>6</v>
      </c>
      <c r="O29" s="3" t="n">
        <v>10</v>
      </c>
      <c r="P29" s="3" t="n">
        <v>7</v>
      </c>
      <c r="Q29" s="3" t="n">
        <v>5</v>
      </c>
      <c r="R29" s="3" t="n">
        <v>2</v>
      </c>
      <c r="S29" s="3" t="n">
        <v>7</v>
      </c>
      <c r="T29" s="3" t="n">
        <v>1</v>
      </c>
      <c r="U29" s="3" t="n">
        <v>10</v>
      </c>
      <c r="V29" s="3" t="n">
        <v>0</v>
      </c>
      <c r="W29" s="3" t="n">
        <v>2</v>
      </c>
      <c r="X29" s="3" t="n">
        <v>4</v>
      </c>
      <c r="Y29" s="3" t="n">
        <v>10</v>
      </c>
      <c r="Z29" s="3" t="n">
        <v>2</v>
      </c>
      <c r="AA29" s="3" t="n">
        <v>9</v>
      </c>
      <c r="AB29" s="3" t="n">
        <v>5</v>
      </c>
      <c r="AC29" s="3" t="n">
        <v>5</v>
      </c>
      <c r="AD29" s="3" t="n">
        <f aca="false">SUM(E29:AC29)</f>
        <v>151</v>
      </c>
    </row>
    <row r="30" customFormat="false" ht="21.75" hidden="false" customHeight="true" outlineLevel="0" collapsed="false">
      <c r="A30" s="3" t="n">
        <v>29</v>
      </c>
      <c r="B30" s="3" t="s">
        <v>94</v>
      </c>
      <c r="C30" s="4" t="s">
        <v>95</v>
      </c>
      <c r="D30" s="3" t="s">
        <v>96</v>
      </c>
      <c r="E30" s="3" t="n">
        <v>1</v>
      </c>
      <c r="F30" s="3" t="n">
        <v>-2</v>
      </c>
      <c r="G30" s="3" t="n">
        <v>3</v>
      </c>
      <c r="H30" s="3" t="n">
        <v>10</v>
      </c>
      <c r="I30" s="3" t="n">
        <v>3</v>
      </c>
      <c r="J30" s="3" t="n">
        <v>3</v>
      </c>
      <c r="K30" s="3" t="n">
        <v>1</v>
      </c>
      <c r="L30" s="3" t="n">
        <v>1</v>
      </c>
      <c r="M30" s="3" t="n">
        <v>10</v>
      </c>
      <c r="N30" s="3" t="n">
        <v>2</v>
      </c>
      <c r="O30" s="3" t="n">
        <v>0</v>
      </c>
      <c r="P30" s="3" t="n">
        <v>6</v>
      </c>
      <c r="Q30" s="3" t="n">
        <v>10</v>
      </c>
      <c r="R30" s="3" t="n">
        <v>6</v>
      </c>
      <c r="S30" s="3" t="n">
        <v>1</v>
      </c>
      <c r="T30" s="3" t="n">
        <v>7</v>
      </c>
      <c r="U30" s="3" t="n">
        <v>8</v>
      </c>
      <c r="V30" s="3" t="n">
        <v>7</v>
      </c>
      <c r="W30" s="3" t="n">
        <v>8</v>
      </c>
      <c r="X30" s="3" t="n">
        <v>6</v>
      </c>
      <c r="Y30" s="3" t="n">
        <v>8</v>
      </c>
      <c r="Z30" s="3" t="n">
        <v>3</v>
      </c>
      <c r="AA30" s="3" t="n">
        <v>10</v>
      </c>
      <c r="AB30" s="3" t="n">
        <v>0</v>
      </c>
      <c r="AC30" s="3" t="n">
        <v>0</v>
      </c>
      <c r="AD30" s="3" t="n">
        <f aca="false">SUM(E30:AC30)</f>
        <v>112</v>
      </c>
    </row>
    <row r="31" customFormat="false" ht="21.75" hidden="false" customHeight="true" outlineLevel="0" collapsed="false">
      <c r="A31" s="3" t="n">
        <v>30</v>
      </c>
      <c r="B31" s="3" t="s">
        <v>97</v>
      </c>
      <c r="C31" s="4" t="s">
        <v>98</v>
      </c>
      <c r="D31" s="3" t="s">
        <v>99</v>
      </c>
      <c r="E31" s="3" t="n">
        <v>0</v>
      </c>
      <c r="F31" s="3" t="n">
        <v>9</v>
      </c>
      <c r="G31" s="3" t="n">
        <v>4</v>
      </c>
      <c r="H31" s="3" t="n">
        <v>5</v>
      </c>
      <c r="I31" s="3" t="n">
        <v>5</v>
      </c>
      <c r="J31" s="3" t="n">
        <v>1</v>
      </c>
      <c r="K31" s="3" t="n">
        <v>6</v>
      </c>
      <c r="L31" s="3" t="n">
        <v>9</v>
      </c>
      <c r="M31" s="3" t="n">
        <v>1</v>
      </c>
      <c r="N31" s="3" t="n">
        <v>6</v>
      </c>
      <c r="O31" s="3" t="n">
        <v>10</v>
      </c>
      <c r="P31" s="3" t="n">
        <v>0</v>
      </c>
      <c r="Q31" s="3" t="n">
        <v>0</v>
      </c>
      <c r="R31" s="3" t="n">
        <v>2</v>
      </c>
      <c r="S31" s="3" t="n">
        <v>5</v>
      </c>
      <c r="T31" s="3" t="n">
        <v>2</v>
      </c>
      <c r="U31" s="3" t="n">
        <v>6</v>
      </c>
      <c r="V31" s="3" t="n">
        <v>6</v>
      </c>
      <c r="W31" s="3" t="n">
        <v>6</v>
      </c>
      <c r="X31" s="3" t="n">
        <v>6</v>
      </c>
      <c r="Y31" s="3" t="n">
        <v>7</v>
      </c>
      <c r="Z31" s="3" t="n">
        <v>1</v>
      </c>
      <c r="AA31" s="3" t="n">
        <v>10</v>
      </c>
      <c r="AB31" s="3" t="n">
        <v>2</v>
      </c>
      <c r="AC31" s="3" t="n">
        <v>10</v>
      </c>
      <c r="AD31" s="3" t="n">
        <f aca="false">SUM(E31:AC31)</f>
        <v>119</v>
      </c>
    </row>
    <row r="32" customFormat="false" ht="21.75" hidden="false" customHeight="true" outlineLevel="0" collapsed="false">
      <c r="A32" s="3" t="n">
        <v>31</v>
      </c>
      <c r="B32" s="3" t="s">
        <v>100</v>
      </c>
      <c r="C32" s="4" t="s">
        <v>101</v>
      </c>
      <c r="D32" s="3" t="s">
        <v>102</v>
      </c>
      <c r="E32" s="3" t="n">
        <v>2</v>
      </c>
      <c r="F32" s="3" t="n">
        <v>2</v>
      </c>
      <c r="G32" s="3" t="n">
        <v>1</v>
      </c>
      <c r="H32" s="3" t="n">
        <v>6</v>
      </c>
      <c r="I32" s="3" t="n">
        <v>3</v>
      </c>
      <c r="J32" s="3" t="n">
        <v>2</v>
      </c>
      <c r="K32" s="3" t="n">
        <v>10</v>
      </c>
      <c r="L32" s="3" t="n">
        <v>6</v>
      </c>
      <c r="M32" s="3" t="n">
        <v>2</v>
      </c>
      <c r="N32" s="3" t="n">
        <v>3</v>
      </c>
      <c r="O32" s="3" t="n">
        <v>7</v>
      </c>
      <c r="P32" s="3" t="n">
        <v>2</v>
      </c>
      <c r="Q32" s="3" t="n">
        <v>6</v>
      </c>
      <c r="R32" s="3" t="n">
        <v>2</v>
      </c>
      <c r="S32" s="3" t="n">
        <v>4</v>
      </c>
      <c r="T32" s="3" t="n">
        <v>6</v>
      </c>
      <c r="U32" s="3" t="n">
        <v>2</v>
      </c>
      <c r="V32" s="3" t="n">
        <v>10</v>
      </c>
      <c r="W32" s="3" t="n">
        <v>9</v>
      </c>
      <c r="X32" s="3" t="n">
        <v>2</v>
      </c>
      <c r="Y32" s="3" t="n">
        <v>1</v>
      </c>
      <c r="Z32" s="3" t="n">
        <v>1</v>
      </c>
      <c r="AA32" s="3" t="n">
        <v>6</v>
      </c>
      <c r="AB32" s="3" t="n">
        <v>4</v>
      </c>
      <c r="AC32" s="3" t="n">
        <v>4</v>
      </c>
      <c r="AD32" s="3" t="n">
        <f aca="false">SUM(E32:AC32)</f>
        <v>103</v>
      </c>
    </row>
    <row r="33" customFormat="false" ht="21.75" hidden="false" customHeight="true" outlineLevel="0" collapsed="false">
      <c r="A33" s="3" t="n">
        <v>32</v>
      </c>
      <c r="B33" s="3" t="s">
        <v>103</v>
      </c>
      <c r="C33" s="4" t="s">
        <v>104</v>
      </c>
      <c r="D33" s="3" t="s">
        <v>105</v>
      </c>
      <c r="E33" s="3" t="n">
        <v>8</v>
      </c>
      <c r="F33" s="3" t="n">
        <v>7</v>
      </c>
      <c r="G33" s="3" t="n">
        <v>1</v>
      </c>
      <c r="H33" s="3" t="n">
        <v>2</v>
      </c>
      <c r="I33" s="3" t="n">
        <v>6</v>
      </c>
      <c r="J33" s="3" t="n">
        <v>1</v>
      </c>
      <c r="K33" s="3" t="n">
        <v>4</v>
      </c>
      <c r="L33" s="3" t="n">
        <v>7</v>
      </c>
      <c r="M33" s="3" t="n">
        <v>2</v>
      </c>
      <c r="N33" s="3" t="n">
        <v>7</v>
      </c>
      <c r="O33" s="3" t="n">
        <v>8</v>
      </c>
      <c r="P33" s="3" t="n">
        <v>6</v>
      </c>
      <c r="Q33" s="3" t="n">
        <v>0</v>
      </c>
      <c r="R33" s="3" t="n">
        <v>5</v>
      </c>
      <c r="S33" s="3" t="n">
        <v>9</v>
      </c>
      <c r="T33" s="3" t="n">
        <v>10</v>
      </c>
      <c r="U33" s="3" t="n">
        <v>10</v>
      </c>
      <c r="V33" s="3" t="n">
        <v>4</v>
      </c>
      <c r="W33" s="3" t="n">
        <v>4</v>
      </c>
      <c r="X33" s="3" t="n">
        <v>8</v>
      </c>
      <c r="Y33" s="3" t="n">
        <v>7</v>
      </c>
      <c r="Z33" s="3" t="n">
        <v>3</v>
      </c>
      <c r="AA33" s="3" t="n">
        <v>0</v>
      </c>
      <c r="AB33" s="3" t="n">
        <v>9</v>
      </c>
      <c r="AC33" s="3" t="n">
        <v>6</v>
      </c>
      <c r="AD33" s="3" t="n">
        <f aca="false">SUM(E33:AC33)</f>
        <v>134</v>
      </c>
    </row>
    <row r="34" customFormat="false" ht="21.75" hidden="false" customHeight="true" outlineLevel="0" collapsed="false">
      <c r="A34" s="3" t="n">
        <v>33</v>
      </c>
      <c r="B34" s="3" t="s">
        <v>106</v>
      </c>
      <c r="C34" s="4" t="s">
        <v>107</v>
      </c>
      <c r="D34" s="3" t="s">
        <v>108</v>
      </c>
      <c r="E34" s="3" t="n">
        <v>8</v>
      </c>
      <c r="F34" s="3" t="n">
        <v>9</v>
      </c>
      <c r="G34" s="3" t="n">
        <v>1</v>
      </c>
      <c r="H34" s="3" t="n">
        <v>0</v>
      </c>
      <c r="I34" s="3" t="n">
        <v>3</v>
      </c>
      <c r="J34" s="3" t="n">
        <v>4</v>
      </c>
      <c r="K34" s="3" t="n">
        <v>5</v>
      </c>
      <c r="L34" s="3" t="n">
        <v>2</v>
      </c>
      <c r="M34" s="3" t="n">
        <v>0</v>
      </c>
      <c r="N34" s="3" t="n">
        <v>10</v>
      </c>
      <c r="O34" s="3" t="n">
        <v>8</v>
      </c>
      <c r="P34" s="3" t="n">
        <v>6</v>
      </c>
      <c r="Q34" s="3" t="n">
        <v>9</v>
      </c>
      <c r="R34" s="3" t="n">
        <v>0</v>
      </c>
      <c r="S34" s="3" t="n">
        <v>7</v>
      </c>
      <c r="T34" s="3" t="n">
        <v>4</v>
      </c>
      <c r="U34" s="3" t="n">
        <v>3</v>
      </c>
      <c r="V34" s="3" t="n">
        <v>7</v>
      </c>
      <c r="W34" s="3" t="n">
        <v>4</v>
      </c>
      <c r="X34" s="3" t="n">
        <v>7</v>
      </c>
      <c r="Y34" s="3" t="n">
        <v>8</v>
      </c>
      <c r="Z34" s="3" t="n">
        <v>10</v>
      </c>
      <c r="AA34" s="3" t="n">
        <v>1</v>
      </c>
      <c r="AB34" s="3" t="n">
        <v>5</v>
      </c>
      <c r="AC34" s="3" t="n">
        <v>6</v>
      </c>
      <c r="AD34" s="3" t="n">
        <f aca="false">SUM(E34:AC34)</f>
        <v>127</v>
      </c>
    </row>
    <row r="35" customFormat="false" ht="21.75" hidden="false" customHeight="true" outlineLevel="0" collapsed="false">
      <c r="A35" s="3" t="n">
        <v>34</v>
      </c>
      <c r="B35" s="3" t="s">
        <v>109</v>
      </c>
      <c r="C35" s="4" t="s">
        <v>110</v>
      </c>
      <c r="D35" s="3" t="s">
        <v>111</v>
      </c>
      <c r="E35" s="3" t="n">
        <v>1</v>
      </c>
      <c r="F35" s="3" t="n">
        <v>7</v>
      </c>
      <c r="G35" s="3" t="n">
        <v>0</v>
      </c>
      <c r="H35" s="3" t="n">
        <v>3</v>
      </c>
      <c r="I35" s="3" t="n">
        <v>8</v>
      </c>
      <c r="J35" s="3" t="n">
        <v>7</v>
      </c>
      <c r="K35" s="3" t="n">
        <v>6</v>
      </c>
      <c r="L35" s="3" t="n">
        <v>0</v>
      </c>
      <c r="M35" s="3" t="n">
        <v>10</v>
      </c>
      <c r="N35" s="3" t="n">
        <v>4</v>
      </c>
      <c r="O35" s="3" t="n">
        <v>10</v>
      </c>
      <c r="P35" s="3" t="n">
        <v>3</v>
      </c>
      <c r="Q35" s="3" t="n">
        <v>0</v>
      </c>
      <c r="R35" s="3" t="n">
        <v>0</v>
      </c>
      <c r="S35" s="3" t="n">
        <v>8</v>
      </c>
      <c r="T35" s="3" t="n">
        <v>9</v>
      </c>
      <c r="U35" s="3" t="n">
        <v>0</v>
      </c>
      <c r="V35" s="3" t="n">
        <v>6</v>
      </c>
      <c r="W35" s="3" t="n">
        <v>9</v>
      </c>
      <c r="X35" s="3" t="n">
        <v>7</v>
      </c>
      <c r="Y35" s="3" t="n">
        <v>0</v>
      </c>
      <c r="Z35" s="3" t="n">
        <v>7</v>
      </c>
      <c r="AA35" s="3" t="n">
        <v>3</v>
      </c>
      <c r="AB35" s="3" t="n">
        <v>2</v>
      </c>
      <c r="AC35" s="3" t="n">
        <v>8</v>
      </c>
      <c r="AD35" s="3" t="n">
        <f aca="false">SUM(E35:AC35)</f>
        <v>118</v>
      </c>
    </row>
    <row r="36" customFormat="false" ht="21.75" hidden="false" customHeight="true" outlineLevel="0" collapsed="false">
      <c r="A36" s="3" t="n">
        <v>35</v>
      </c>
      <c r="B36" s="3" t="s">
        <v>112</v>
      </c>
      <c r="C36" s="4" t="s">
        <v>113</v>
      </c>
      <c r="D36" s="3" t="s">
        <v>114</v>
      </c>
      <c r="E36" s="3" t="n">
        <v>6</v>
      </c>
      <c r="F36" s="3" t="n">
        <v>4</v>
      </c>
      <c r="G36" s="3" t="n">
        <v>9</v>
      </c>
      <c r="H36" s="3" t="n">
        <v>1</v>
      </c>
      <c r="I36" s="3" t="n">
        <v>7</v>
      </c>
      <c r="J36" s="3" t="n">
        <v>7</v>
      </c>
      <c r="K36" s="3" t="n">
        <v>4</v>
      </c>
      <c r="L36" s="3" t="n">
        <v>3</v>
      </c>
      <c r="M36" s="3" t="n">
        <v>2</v>
      </c>
      <c r="N36" s="3" t="n">
        <v>2</v>
      </c>
      <c r="O36" s="3" t="n">
        <v>10</v>
      </c>
      <c r="P36" s="3" t="n">
        <v>4</v>
      </c>
      <c r="Q36" s="3" t="n">
        <v>8</v>
      </c>
      <c r="R36" s="3" t="n">
        <v>7</v>
      </c>
      <c r="S36" s="3" t="n">
        <v>1</v>
      </c>
      <c r="T36" s="3" t="n">
        <v>2</v>
      </c>
      <c r="U36" s="3" t="n">
        <v>10</v>
      </c>
      <c r="V36" s="3" t="n">
        <v>6</v>
      </c>
      <c r="W36" s="3" t="n">
        <v>10</v>
      </c>
      <c r="X36" s="3" t="n">
        <v>0</v>
      </c>
      <c r="Y36" s="3" t="n">
        <v>10</v>
      </c>
      <c r="Z36" s="3" t="n">
        <v>7</v>
      </c>
      <c r="AA36" s="3" t="n">
        <v>1</v>
      </c>
      <c r="AB36" s="3" t="n">
        <v>7</v>
      </c>
      <c r="AC36" s="3" t="n">
        <v>9</v>
      </c>
      <c r="AD36" s="3" t="n">
        <f aca="false">SUM(E36:AC36)</f>
        <v>137</v>
      </c>
    </row>
    <row r="37" customFormat="false" ht="21.75" hidden="false" customHeight="true" outlineLevel="0" collapsed="false">
      <c r="A37" s="3" t="n">
        <v>36</v>
      </c>
      <c r="B37" s="3" t="s">
        <v>115</v>
      </c>
      <c r="C37" s="4" t="s">
        <v>116</v>
      </c>
      <c r="D37" s="3" t="s">
        <v>117</v>
      </c>
      <c r="E37" s="3" t="n">
        <v>3</v>
      </c>
      <c r="F37" s="3" t="n">
        <v>2</v>
      </c>
      <c r="G37" s="3" t="n">
        <v>10</v>
      </c>
      <c r="H37" s="3" t="n">
        <v>5</v>
      </c>
      <c r="I37" s="3" t="n">
        <v>1</v>
      </c>
      <c r="J37" s="3" t="n">
        <v>4</v>
      </c>
      <c r="K37" s="3" t="n">
        <v>10</v>
      </c>
      <c r="L37" s="3" t="n">
        <v>5</v>
      </c>
      <c r="M37" s="3" t="n">
        <v>0</v>
      </c>
      <c r="N37" s="3" t="n">
        <v>4</v>
      </c>
      <c r="O37" s="3" t="n">
        <v>7</v>
      </c>
      <c r="P37" s="3" t="n">
        <v>3</v>
      </c>
      <c r="Q37" s="3" t="n">
        <v>8</v>
      </c>
      <c r="R37" s="3" t="n">
        <v>8</v>
      </c>
      <c r="S37" s="3" t="n">
        <v>5</v>
      </c>
      <c r="T37" s="3" t="n">
        <v>5</v>
      </c>
      <c r="U37" s="3" t="n">
        <v>7</v>
      </c>
      <c r="V37" s="3" t="n">
        <v>8</v>
      </c>
      <c r="W37" s="3" t="n">
        <v>2</v>
      </c>
      <c r="X37" s="3" t="n">
        <v>2</v>
      </c>
      <c r="Y37" s="3" t="n">
        <v>3</v>
      </c>
      <c r="Z37" s="3" t="n">
        <v>4</v>
      </c>
      <c r="AA37" s="3" t="n">
        <v>10</v>
      </c>
      <c r="AB37" s="3" t="n">
        <v>5</v>
      </c>
      <c r="AC37" s="3" t="n">
        <v>9</v>
      </c>
      <c r="AD37" s="3" t="n">
        <f aca="false">SUM(E37:AC37)</f>
        <v>130</v>
      </c>
    </row>
  </sheetData>
  <autoFilter ref="A1:AD37"/>
  <conditionalFormatting sqref="D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dataValidations count="1">
    <dataValidation allowBlank="true" errorStyle="stop" operator="between" showDropDown="false" showErrorMessage="true" showInputMessage="true" sqref="D1" type="list">
      <formula1>$B$1:$AG$1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42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30" min="5" style="0" width="11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683</v>
      </c>
      <c r="F1" s="1" t="s">
        <v>684</v>
      </c>
      <c r="G1" s="1" t="s">
        <v>685</v>
      </c>
      <c r="H1" s="1" t="s">
        <v>686</v>
      </c>
      <c r="I1" s="1" t="s">
        <v>687</v>
      </c>
      <c r="J1" s="1" t="s">
        <v>688</v>
      </c>
      <c r="K1" s="1" t="s">
        <v>689</v>
      </c>
      <c r="L1" s="1" t="s">
        <v>690</v>
      </c>
      <c r="M1" s="1" t="s">
        <v>691</v>
      </c>
      <c r="N1" s="1" t="s">
        <v>692</v>
      </c>
      <c r="O1" s="1" t="s">
        <v>693</v>
      </c>
      <c r="P1" s="1" t="s">
        <v>694</v>
      </c>
      <c r="Q1" s="1" t="s">
        <v>695</v>
      </c>
      <c r="R1" s="1" t="s">
        <v>696</v>
      </c>
      <c r="S1" s="1" t="s">
        <v>697</v>
      </c>
      <c r="T1" s="1" t="s">
        <v>698</v>
      </c>
      <c r="U1" s="1" t="s">
        <v>699</v>
      </c>
      <c r="V1" s="1" t="s">
        <v>700</v>
      </c>
      <c r="W1" s="1" t="s">
        <v>701</v>
      </c>
      <c r="X1" s="1" t="s">
        <v>702</v>
      </c>
      <c r="Y1" s="1" t="s">
        <v>703</v>
      </c>
      <c r="Z1" s="1" t="s">
        <v>704</v>
      </c>
      <c r="AA1" s="1" t="s">
        <v>705</v>
      </c>
      <c r="AB1" s="1" t="s">
        <v>706</v>
      </c>
      <c r="AC1" s="1" t="s">
        <v>707</v>
      </c>
      <c r="AD1" s="1" t="s">
        <v>708</v>
      </c>
    </row>
    <row r="2" customFormat="false" ht="21.75" hidden="false" customHeight="true" outlineLevel="0" collapsed="false">
      <c r="A2" s="3" t="n">
        <v>1</v>
      </c>
      <c r="B2" s="3" t="s">
        <v>128</v>
      </c>
      <c r="C2" s="4" t="s">
        <v>129</v>
      </c>
      <c r="D2" s="3" t="s">
        <v>130</v>
      </c>
      <c r="E2" s="3" t="n">
        <v>8</v>
      </c>
      <c r="F2" s="3" t="n">
        <v>5</v>
      </c>
      <c r="G2" s="3" t="n">
        <v>10</v>
      </c>
      <c r="H2" s="3" t="n">
        <v>3</v>
      </c>
      <c r="I2" s="3" t="n">
        <v>2</v>
      </c>
      <c r="J2" s="3" t="n">
        <v>10</v>
      </c>
      <c r="K2" s="3" t="n">
        <v>3</v>
      </c>
      <c r="L2" s="3" t="n">
        <v>4</v>
      </c>
      <c r="M2" s="3" t="n">
        <v>6</v>
      </c>
      <c r="N2" s="3" t="n">
        <v>10</v>
      </c>
      <c r="O2" s="3" t="n">
        <v>7</v>
      </c>
      <c r="P2" s="3" t="n">
        <v>2</v>
      </c>
      <c r="Q2" s="3" t="n">
        <v>4</v>
      </c>
      <c r="R2" s="3" t="n">
        <v>5</v>
      </c>
      <c r="S2" s="3" t="n">
        <v>10</v>
      </c>
      <c r="T2" s="3" t="n">
        <v>10</v>
      </c>
      <c r="U2" s="3" t="n">
        <v>0</v>
      </c>
      <c r="V2" s="3" t="n">
        <v>5</v>
      </c>
      <c r="W2" s="3" t="n">
        <v>5</v>
      </c>
      <c r="X2" s="3" t="n">
        <v>3</v>
      </c>
      <c r="Y2" s="3" t="n">
        <v>2</v>
      </c>
      <c r="Z2" s="3" t="n">
        <v>3</v>
      </c>
      <c r="AA2" s="3" t="n">
        <v>10</v>
      </c>
      <c r="AB2" s="3" t="n">
        <v>5</v>
      </c>
      <c r="AC2" s="3" t="n">
        <v>1</v>
      </c>
      <c r="AD2" s="3" t="n">
        <f aca="false">SUM(E2:AC2)</f>
        <v>133</v>
      </c>
    </row>
    <row r="3" customFormat="false" ht="21.75" hidden="false" customHeight="true" outlineLevel="0" collapsed="false">
      <c r="A3" s="3" t="n">
        <v>2</v>
      </c>
      <c r="B3" s="3" t="s">
        <v>131</v>
      </c>
      <c r="C3" s="4" t="s">
        <v>132</v>
      </c>
      <c r="D3" s="3" t="s">
        <v>133</v>
      </c>
      <c r="E3" s="3" t="n">
        <v>3</v>
      </c>
      <c r="F3" s="3" t="n">
        <v>5</v>
      </c>
      <c r="G3" s="3" t="n">
        <v>6</v>
      </c>
      <c r="H3" s="3" t="n">
        <v>4</v>
      </c>
      <c r="I3" s="3" t="n">
        <v>7</v>
      </c>
      <c r="J3" s="3" t="n">
        <v>4</v>
      </c>
      <c r="K3" s="3" t="n">
        <v>8</v>
      </c>
      <c r="L3" s="3" t="n">
        <v>3</v>
      </c>
      <c r="M3" s="3" t="n">
        <v>7</v>
      </c>
      <c r="N3" s="3" t="n">
        <v>7</v>
      </c>
      <c r="O3" s="3" t="n">
        <v>9</v>
      </c>
      <c r="P3" s="3" t="n">
        <v>2</v>
      </c>
      <c r="Q3" s="3" t="n">
        <v>6</v>
      </c>
      <c r="R3" s="3" t="n">
        <v>4</v>
      </c>
      <c r="S3" s="3" t="n">
        <v>10</v>
      </c>
      <c r="T3" s="3" t="n">
        <v>0</v>
      </c>
      <c r="U3" s="3" t="n">
        <v>4</v>
      </c>
      <c r="V3" s="3" t="n">
        <v>8</v>
      </c>
      <c r="W3" s="3" t="n">
        <v>7</v>
      </c>
      <c r="X3" s="3" t="n">
        <v>3</v>
      </c>
      <c r="Y3" s="3" t="n">
        <v>6</v>
      </c>
      <c r="Z3" s="3" t="n">
        <v>7</v>
      </c>
      <c r="AA3" s="3" t="n">
        <v>6</v>
      </c>
      <c r="AB3" s="3" t="n">
        <v>4</v>
      </c>
      <c r="AC3" s="3" t="n">
        <v>5</v>
      </c>
      <c r="AD3" s="3" t="n">
        <f aca="false">SUM(E3:AC3)</f>
        <v>135</v>
      </c>
    </row>
    <row r="4" customFormat="false" ht="21.75" hidden="false" customHeight="true" outlineLevel="0" collapsed="false">
      <c r="A4" s="3" t="n">
        <v>3</v>
      </c>
      <c r="B4" s="3" t="s">
        <v>134</v>
      </c>
      <c r="C4" s="4" t="s">
        <v>135</v>
      </c>
      <c r="D4" s="3" t="s">
        <v>136</v>
      </c>
      <c r="E4" s="3" t="n">
        <v>9</v>
      </c>
      <c r="F4" s="3" t="n">
        <v>5</v>
      </c>
      <c r="G4" s="3" t="n">
        <v>8</v>
      </c>
      <c r="H4" s="3" t="n">
        <v>9</v>
      </c>
      <c r="I4" s="3" t="n">
        <v>4</v>
      </c>
      <c r="J4" s="3" t="n">
        <v>6</v>
      </c>
      <c r="K4" s="3" t="n">
        <v>3</v>
      </c>
      <c r="L4" s="3" t="n">
        <v>9</v>
      </c>
      <c r="M4" s="3" t="n">
        <v>3</v>
      </c>
      <c r="N4" s="3" t="n">
        <v>2</v>
      </c>
      <c r="O4" s="3" t="n">
        <v>7</v>
      </c>
      <c r="P4" s="3" t="n">
        <v>7</v>
      </c>
      <c r="Q4" s="3" t="n">
        <v>1</v>
      </c>
      <c r="R4" s="3" t="n">
        <v>9</v>
      </c>
      <c r="S4" s="3" t="n">
        <v>0</v>
      </c>
      <c r="T4" s="3" t="n">
        <v>2</v>
      </c>
      <c r="U4" s="3" t="n">
        <v>8</v>
      </c>
      <c r="V4" s="3" t="n">
        <v>2</v>
      </c>
      <c r="W4" s="3" t="n">
        <v>9</v>
      </c>
      <c r="X4" s="3" t="n">
        <v>5</v>
      </c>
      <c r="Y4" s="3" t="n">
        <v>10</v>
      </c>
      <c r="Z4" s="3" t="n">
        <v>0</v>
      </c>
      <c r="AA4" s="3" t="n">
        <v>3</v>
      </c>
      <c r="AB4" s="3" t="n">
        <v>4</v>
      </c>
      <c r="AC4" s="3" t="n">
        <v>4</v>
      </c>
      <c r="AD4" s="3" t="n">
        <f aca="false">SUM(E4:AC4)</f>
        <v>129</v>
      </c>
    </row>
    <row r="5" customFormat="false" ht="21.75" hidden="false" customHeight="true" outlineLevel="0" collapsed="false">
      <c r="A5" s="3" t="n">
        <v>4</v>
      </c>
      <c r="B5" s="3" t="s">
        <v>137</v>
      </c>
      <c r="C5" s="4" t="s">
        <v>138</v>
      </c>
      <c r="D5" s="3" t="s">
        <v>139</v>
      </c>
      <c r="E5" s="3" t="n">
        <v>10</v>
      </c>
      <c r="F5" s="3" t="n">
        <v>7</v>
      </c>
      <c r="G5" s="3" t="n">
        <v>4</v>
      </c>
      <c r="H5" s="3" t="n">
        <v>3</v>
      </c>
      <c r="I5" s="3" t="n">
        <v>5</v>
      </c>
      <c r="J5" s="3" t="n">
        <v>4</v>
      </c>
      <c r="K5" s="3" t="n">
        <v>1</v>
      </c>
      <c r="L5" s="3" t="n">
        <v>6</v>
      </c>
      <c r="M5" s="3" t="n">
        <v>5</v>
      </c>
      <c r="N5" s="3" t="n">
        <v>3</v>
      </c>
      <c r="O5" s="3" t="n">
        <v>6</v>
      </c>
      <c r="P5" s="3" t="n">
        <v>7</v>
      </c>
      <c r="Q5" s="3" t="n">
        <v>6</v>
      </c>
      <c r="R5" s="3" t="n">
        <v>4</v>
      </c>
      <c r="S5" s="3" t="n">
        <v>8</v>
      </c>
      <c r="T5" s="3" t="n">
        <v>5</v>
      </c>
      <c r="U5" s="3" t="n">
        <v>0</v>
      </c>
      <c r="V5" s="3" t="n">
        <v>6</v>
      </c>
      <c r="W5" s="3" t="n">
        <v>8</v>
      </c>
      <c r="X5" s="3" t="n">
        <v>0</v>
      </c>
      <c r="Y5" s="3" t="n">
        <v>9</v>
      </c>
      <c r="Z5" s="3" t="n">
        <v>10</v>
      </c>
      <c r="AA5" s="3" t="n">
        <v>1</v>
      </c>
      <c r="AB5" s="3" t="n">
        <v>10</v>
      </c>
      <c r="AC5" s="3" t="n">
        <v>7</v>
      </c>
      <c r="AD5" s="3" t="n">
        <f aca="false">SUM(E5:AC5)</f>
        <v>135</v>
      </c>
    </row>
    <row r="6" customFormat="false" ht="21.75" hidden="false" customHeight="true" outlineLevel="0" collapsed="false">
      <c r="A6" s="3" t="n">
        <v>5</v>
      </c>
      <c r="B6" s="3" t="s">
        <v>140</v>
      </c>
      <c r="C6" s="4" t="s">
        <v>141</v>
      </c>
      <c r="D6" s="3" t="s">
        <v>142</v>
      </c>
      <c r="E6" s="3" t="n">
        <v>4</v>
      </c>
      <c r="F6" s="3" t="n">
        <v>6</v>
      </c>
      <c r="G6" s="3" t="n">
        <v>3</v>
      </c>
      <c r="H6" s="3" t="n">
        <v>4</v>
      </c>
      <c r="I6" s="3" t="n">
        <v>7</v>
      </c>
      <c r="J6" s="3" t="n">
        <v>1</v>
      </c>
      <c r="K6" s="3" t="n">
        <v>0</v>
      </c>
      <c r="L6" s="3" t="n">
        <v>5</v>
      </c>
      <c r="M6" s="3" t="n">
        <v>2</v>
      </c>
      <c r="N6" s="3" t="n">
        <v>1</v>
      </c>
      <c r="O6" s="3" t="n">
        <v>7</v>
      </c>
      <c r="P6" s="3" t="n">
        <v>4</v>
      </c>
      <c r="Q6" s="3" t="n">
        <v>0</v>
      </c>
      <c r="R6" s="3" t="n">
        <v>1</v>
      </c>
      <c r="S6" s="3" t="n">
        <v>8</v>
      </c>
      <c r="T6" s="3" t="n">
        <v>8</v>
      </c>
      <c r="U6" s="3" t="n">
        <v>6</v>
      </c>
      <c r="V6" s="3" t="n">
        <v>5</v>
      </c>
      <c r="W6" s="3" t="n">
        <v>4</v>
      </c>
      <c r="X6" s="3" t="n">
        <v>7</v>
      </c>
      <c r="Y6" s="3" t="n">
        <v>4</v>
      </c>
      <c r="Z6" s="3" t="n">
        <v>3</v>
      </c>
      <c r="AA6" s="3" t="n">
        <v>1</v>
      </c>
      <c r="AB6" s="3" t="n">
        <v>3</v>
      </c>
      <c r="AC6" s="3" t="n">
        <v>9</v>
      </c>
      <c r="AD6" s="3" t="n">
        <f aca="false">SUM(E6:AC6)</f>
        <v>103</v>
      </c>
    </row>
    <row r="7" customFormat="false" ht="21.75" hidden="false" customHeight="true" outlineLevel="0" collapsed="false">
      <c r="A7" s="3" t="n">
        <v>6</v>
      </c>
      <c r="B7" s="3" t="s">
        <v>143</v>
      </c>
      <c r="C7" s="4" t="s">
        <v>144</v>
      </c>
      <c r="D7" s="3" t="s">
        <v>145</v>
      </c>
      <c r="E7" s="3" t="n">
        <v>9</v>
      </c>
      <c r="F7" s="3" t="n">
        <v>2</v>
      </c>
      <c r="G7" s="3" t="n">
        <v>5</v>
      </c>
      <c r="H7" s="3" t="n">
        <v>10</v>
      </c>
      <c r="I7" s="3" t="n">
        <v>0</v>
      </c>
      <c r="J7" s="3" t="n">
        <v>6</v>
      </c>
      <c r="K7" s="3" t="n">
        <v>4</v>
      </c>
      <c r="L7" s="3" t="n">
        <v>0</v>
      </c>
      <c r="M7" s="3" t="n">
        <v>4</v>
      </c>
      <c r="N7" s="3" t="n">
        <v>6</v>
      </c>
      <c r="O7" s="3" t="n">
        <v>2</v>
      </c>
      <c r="P7" s="3" t="n">
        <v>2</v>
      </c>
      <c r="Q7" s="3" t="n">
        <v>9</v>
      </c>
      <c r="R7" s="3" t="n">
        <v>6</v>
      </c>
      <c r="S7" s="3" t="n">
        <v>9</v>
      </c>
      <c r="T7" s="3" t="n">
        <v>8</v>
      </c>
      <c r="U7" s="3" t="n">
        <v>3</v>
      </c>
      <c r="V7" s="3" t="n">
        <v>5</v>
      </c>
      <c r="W7" s="3" t="n">
        <v>1</v>
      </c>
      <c r="X7" s="3" t="n">
        <v>1</v>
      </c>
      <c r="Y7" s="3" t="n">
        <v>1</v>
      </c>
      <c r="Z7" s="3" t="n">
        <v>4</v>
      </c>
      <c r="AA7" s="3" t="n">
        <v>4</v>
      </c>
      <c r="AB7" s="3" t="n">
        <v>8</v>
      </c>
      <c r="AC7" s="3" t="n">
        <v>0</v>
      </c>
      <c r="AD7" s="3" t="n">
        <f aca="false">SUM(E7:AC7)</f>
        <v>109</v>
      </c>
    </row>
    <row r="8" customFormat="false" ht="21.75" hidden="false" customHeight="true" outlineLevel="0" collapsed="false">
      <c r="A8" s="3" t="n">
        <v>7</v>
      </c>
      <c r="B8" s="3" t="s">
        <v>146</v>
      </c>
      <c r="C8" s="4" t="s">
        <v>147</v>
      </c>
      <c r="D8" s="3" t="s">
        <v>148</v>
      </c>
      <c r="E8" s="3" t="n">
        <v>8</v>
      </c>
      <c r="F8" s="3" t="n">
        <v>5</v>
      </c>
      <c r="G8" s="3" t="n">
        <v>9</v>
      </c>
      <c r="H8" s="3" t="n">
        <v>1</v>
      </c>
      <c r="I8" s="3" t="n">
        <v>0</v>
      </c>
      <c r="J8" s="3" t="n">
        <v>2</v>
      </c>
      <c r="K8" s="3" t="n">
        <v>7</v>
      </c>
      <c r="L8" s="3" t="n">
        <v>7</v>
      </c>
      <c r="M8" s="3" t="n">
        <v>4</v>
      </c>
      <c r="N8" s="3" t="n">
        <v>8</v>
      </c>
      <c r="O8" s="3" t="n">
        <v>10</v>
      </c>
      <c r="P8" s="3" t="n">
        <v>2</v>
      </c>
      <c r="Q8" s="3" t="n">
        <v>8</v>
      </c>
      <c r="R8" s="3" t="n">
        <v>4</v>
      </c>
      <c r="S8" s="3" t="n">
        <v>5</v>
      </c>
      <c r="T8" s="3" t="n">
        <v>3</v>
      </c>
      <c r="U8" s="3" t="n">
        <v>4</v>
      </c>
      <c r="V8" s="3" t="n">
        <v>1</v>
      </c>
      <c r="W8" s="3" t="n">
        <v>9</v>
      </c>
      <c r="X8" s="3" t="n">
        <v>5</v>
      </c>
      <c r="Y8" s="3" t="n">
        <v>4</v>
      </c>
      <c r="Z8" s="3" t="n">
        <v>0</v>
      </c>
      <c r="AA8" s="3" t="n">
        <v>3</v>
      </c>
      <c r="AB8" s="3" t="n">
        <v>8</v>
      </c>
      <c r="AC8" s="3" t="n">
        <v>7</v>
      </c>
      <c r="AD8" s="3" t="n">
        <f aca="false">SUM(E8:AC8)</f>
        <v>124</v>
      </c>
    </row>
    <row r="9" customFormat="false" ht="21.75" hidden="false" customHeight="true" outlineLevel="0" collapsed="false">
      <c r="A9" s="3" t="n">
        <v>8</v>
      </c>
      <c r="B9" s="3" t="s">
        <v>149</v>
      </c>
      <c r="C9" s="4" t="s">
        <v>150</v>
      </c>
      <c r="D9" s="3" t="s">
        <v>151</v>
      </c>
      <c r="E9" s="3" t="n">
        <v>8</v>
      </c>
      <c r="F9" s="3" t="n">
        <v>9</v>
      </c>
      <c r="G9" s="3" t="n">
        <v>1</v>
      </c>
      <c r="H9" s="3" t="n">
        <v>5</v>
      </c>
      <c r="I9" s="3" t="n">
        <v>10</v>
      </c>
      <c r="J9" s="3" t="n">
        <v>7</v>
      </c>
      <c r="K9" s="3" t="n">
        <v>5</v>
      </c>
      <c r="L9" s="3" t="n">
        <v>7</v>
      </c>
      <c r="M9" s="3" t="n">
        <v>8</v>
      </c>
      <c r="N9" s="3" t="n">
        <v>7</v>
      </c>
      <c r="O9" s="3" t="n">
        <v>1</v>
      </c>
      <c r="P9" s="3" t="n">
        <v>3</v>
      </c>
      <c r="Q9" s="3" t="n">
        <v>7</v>
      </c>
      <c r="R9" s="3" t="n">
        <v>2</v>
      </c>
      <c r="S9" s="3" t="n">
        <v>5</v>
      </c>
      <c r="T9" s="3" t="n">
        <v>5</v>
      </c>
      <c r="U9" s="3" t="n">
        <v>8</v>
      </c>
      <c r="V9" s="3" t="n">
        <v>7</v>
      </c>
      <c r="W9" s="3" t="n">
        <v>7</v>
      </c>
      <c r="X9" s="3" t="n">
        <v>5</v>
      </c>
      <c r="Y9" s="3" t="n">
        <v>8</v>
      </c>
      <c r="Z9" s="3" t="n">
        <v>0</v>
      </c>
      <c r="AA9" s="3" t="n">
        <v>8</v>
      </c>
      <c r="AB9" s="3" t="n">
        <v>6</v>
      </c>
      <c r="AC9" s="3" t="n">
        <v>1</v>
      </c>
      <c r="AD9" s="3" t="n">
        <f aca="false">SUM(E9:AC9)</f>
        <v>140</v>
      </c>
    </row>
    <row r="10" customFormat="false" ht="21.75" hidden="false" customHeight="true" outlineLevel="0" collapsed="false">
      <c r="A10" s="3" t="n">
        <v>9</v>
      </c>
      <c r="B10" s="3" t="s">
        <v>152</v>
      </c>
      <c r="C10" s="4" t="s">
        <v>153</v>
      </c>
      <c r="D10" s="3" t="s">
        <v>154</v>
      </c>
      <c r="E10" s="3" t="n">
        <v>3</v>
      </c>
      <c r="F10" s="3" t="n">
        <v>7</v>
      </c>
      <c r="G10" s="3" t="n">
        <v>10</v>
      </c>
      <c r="H10" s="3" t="n">
        <v>1</v>
      </c>
      <c r="I10" s="3" t="n">
        <v>3</v>
      </c>
      <c r="J10" s="3" t="n">
        <v>7</v>
      </c>
      <c r="K10" s="3" t="n">
        <v>6</v>
      </c>
      <c r="L10" s="3" t="n">
        <v>9</v>
      </c>
      <c r="M10" s="3" t="n">
        <v>5</v>
      </c>
      <c r="N10" s="3" t="n">
        <v>3</v>
      </c>
      <c r="O10" s="3" t="n">
        <v>7</v>
      </c>
      <c r="P10" s="3" t="n">
        <v>6</v>
      </c>
      <c r="Q10" s="3" t="n">
        <v>4</v>
      </c>
      <c r="R10" s="3" t="n">
        <v>8</v>
      </c>
      <c r="S10" s="3" t="n">
        <v>4</v>
      </c>
      <c r="T10" s="3" t="n">
        <v>3</v>
      </c>
      <c r="U10" s="3" t="n">
        <v>4</v>
      </c>
      <c r="V10" s="3" t="n">
        <v>2</v>
      </c>
      <c r="W10" s="3" t="n">
        <v>10</v>
      </c>
      <c r="X10" s="3" t="n">
        <v>10</v>
      </c>
      <c r="Y10" s="3" t="n">
        <v>3</v>
      </c>
      <c r="Z10" s="3" t="n">
        <v>1</v>
      </c>
      <c r="AA10" s="3" t="n">
        <v>4</v>
      </c>
      <c r="AB10" s="3" t="n">
        <v>3</v>
      </c>
      <c r="AC10" s="3" t="n">
        <v>3</v>
      </c>
      <c r="AD10" s="3" t="n">
        <f aca="false">SUM(E10:AC10)</f>
        <v>126</v>
      </c>
    </row>
    <row r="11" customFormat="false" ht="21.75" hidden="false" customHeight="true" outlineLevel="0" collapsed="false">
      <c r="A11" s="3" t="n">
        <v>10</v>
      </c>
      <c r="B11" s="3" t="s">
        <v>155</v>
      </c>
      <c r="C11" s="4" t="s">
        <v>156</v>
      </c>
      <c r="D11" s="3" t="s">
        <v>157</v>
      </c>
      <c r="E11" s="3" t="n">
        <v>2</v>
      </c>
      <c r="F11" s="3" t="n">
        <v>3</v>
      </c>
      <c r="G11" s="3" t="n">
        <v>6</v>
      </c>
      <c r="H11" s="3" t="n">
        <v>2</v>
      </c>
      <c r="I11" s="3" t="n">
        <v>5</v>
      </c>
      <c r="J11" s="3" t="n">
        <v>3</v>
      </c>
      <c r="K11" s="3" t="n">
        <v>2</v>
      </c>
      <c r="L11" s="3" t="n">
        <v>10</v>
      </c>
      <c r="M11" s="3" t="n">
        <v>0</v>
      </c>
      <c r="N11" s="3" t="n">
        <v>6</v>
      </c>
      <c r="O11" s="3" t="n">
        <v>7</v>
      </c>
      <c r="P11" s="3" t="n">
        <v>2</v>
      </c>
      <c r="Q11" s="3" t="n">
        <v>7</v>
      </c>
      <c r="R11" s="3" t="n">
        <v>3</v>
      </c>
      <c r="S11" s="3" t="n">
        <v>10</v>
      </c>
      <c r="T11" s="3" t="n">
        <v>4</v>
      </c>
      <c r="U11" s="3" t="n">
        <v>4</v>
      </c>
      <c r="V11" s="3" t="n">
        <v>2</v>
      </c>
      <c r="W11" s="3" t="n">
        <v>2</v>
      </c>
      <c r="X11" s="3" t="n">
        <v>0</v>
      </c>
      <c r="Y11" s="3" t="n">
        <v>10</v>
      </c>
      <c r="Z11" s="3" t="n">
        <v>9</v>
      </c>
      <c r="AA11" s="3" t="n">
        <v>7</v>
      </c>
      <c r="AB11" s="3" t="n">
        <v>7</v>
      </c>
      <c r="AC11" s="3" t="n">
        <v>2</v>
      </c>
      <c r="AD11" s="3" t="n">
        <f aca="false">SUM(E11:AC11)</f>
        <v>115</v>
      </c>
    </row>
    <row r="12" customFormat="false" ht="21.75" hidden="false" customHeight="true" outlineLevel="0" collapsed="false">
      <c r="A12" s="3" t="n">
        <v>11</v>
      </c>
      <c r="B12" s="3" t="s">
        <v>158</v>
      </c>
      <c r="C12" s="4" t="s">
        <v>159</v>
      </c>
      <c r="D12" s="3" t="s">
        <v>160</v>
      </c>
      <c r="E12" s="3" t="n">
        <v>5</v>
      </c>
      <c r="F12" s="3" t="n">
        <v>5</v>
      </c>
      <c r="G12" s="3" t="n">
        <v>8</v>
      </c>
      <c r="H12" s="3" t="n">
        <v>9</v>
      </c>
      <c r="I12" s="3" t="n">
        <v>7</v>
      </c>
      <c r="J12" s="3" t="n">
        <v>1</v>
      </c>
      <c r="K12" s="3" t="n">
        <v>9</v>
      </c>
      <c r="L12" s="3" t="n">
        <v>10</v>
      </c>
      <c r="M12" s="3" t="n">
        <v>2</v>
      </c>
      <c r="N12" s="3" t="n">
        <v>3</v>
      </c>
      <c r="O12" s="3" t="n">
        <v>7</v>
      </c>
      <c r="P12" s="3" t="n">
        <v>4</v>
      </c>
      <c r="Q12" s="3" t="n">
        <v>1</v>
      </c>
      <c r="R12" s="3" t="n">
        <v>3</v>
      </c>
      <c r="S12" s="3" t="n">
        <v>7</v>
      </c>
      <c r="T12" s="3" t="n">
        <v>7</v>
      </c>
      <c r="U12" s="3" t="n">
        <v>2</v>
      </c>
      <c r="V12" s="3" t="n">
        <v>6</v>
      </c>
      <c r="W12" s="3" t="n">
        <v>2</v>
      </c>
      <c r="X12" s="3" t="n">
        <v>7</v>
      </c>
      <c r="Y12" s="3" t="n">
        <v>0</v>
      </c>
      <c r="Z12" s="3" t="n">
        <v>3</v>
      </c>
      <c r="AA12" s="3" t="n">
        <v>2</v>
      </c>
      <c r="AB12" s="3" t="n">
        <v>10</v>
      </c>
      <c r="AC12" s="3" t="n">
        <v>1</v>
      </c>
      <c r="AD12" s="3" t="n">
        <f aca="false">SUM(E12:AC12)</f>
        <v>121</v>
      </c>
    </row>
    <row r="13" customFormat="false" ht="21.75" hidden="false" customHeight="true" outlineLevel="0" collapsed="false">
      <c r="A13" s="3" t="n">
        <v>12</v>
      </c>
      <c r="B13" s="3" t="s">
        <v>161</v>
      </c>
      <c r="C13" s="4" t="s">
        <v>162</v>
      </c>
      <c r="D13" s="3" t="s">
        <v>163</v>
      </c>
      <c r="E13" s="3" t="n">
        <v>3</v>
      </c>
      <c r="F13" s="3" t="n">
        <v>7</v>
      </c>
      <c r="G13" s="3" t="n">
        <v>2</v>
      </c>
      <c r="H13" s="3" t="n">
        <v>7</v>
      </c>
      <c r="I13" s="3" t="n">
        <v>3</v>
      </c>
      <c r="J13" s="3" t="n">
        <v>4</v>
      </c>
      <c r="K13" s="3" t="n">
        <v>9</v>
      </c>
      <c r="L13" s="3" t="n">
        <v>10</v>
      </c>
      <c r="M13" s="3" t="n">
        <v>2</v>
      </c>
      <c r="N13" s="3" t="n">
        <v>4</v>
      </c>
      <c r="O13" s="3" t="n">
        <v>1</v>
      </c>
      <c r="P13" s="3" t="n">
        <v>2</v>
      </c>
      <c r="Q13" s="3" t="n">
        <v>9</v>
      </c>
      <c r="R13" s="3" t="n">
        <v>3</v>
      </c>
      <c r="S13" s="3" t="n">
        <v>6</v>
      </c>
      <c r="T13" s="3" t="n">
        <v>10</v>
      </c>
      <c r="U13" s="3" t="n">
        <v>10</v>
      </c>
      <c r="V13" s="3" t="n">
        <v>0</v>
      </c>
      <c r="W13" s="3" t="n">
        <v>0</v>
      </c>
      <c r="X13" s="3" t="n">
        <v>3</v>
      </c>
      <c r="Y13" s="3" t="n">
        <v>6</v>
      </c>
      <c r="Z13" s="3" t="n">
        <v>4</v>
      </c>
      <c r="AA13" s="3" t="n">
        <v>0</v>
      </c>
      <c r="AB13" s="3" t="n">
        <v>6</v>
      </c>
      <c r="AC13" s="3" t="n">
        <v>1</v>
      </c>
      <c r="AD13" s="3" t="n">
        <f aca="false">SUM(E13:AC13)</f>
        <v>112</v>
      </c>
    </row>
    <row r="14" customFormat="false" ht="21.75" hidden="false" customHeight="true" outlineLevel="0" collapsed="false">
      <c r="A14" s="3" t="n">
        <v>13</v>
      </c>
      <c r="B14" s="3" t="s">
        <v>164</v>
      </c>
      <c r="C14" s="4" t="s">
        <v>165</v>
      </c>
      <c r="D14" s="3" t="s">
        <v>166</v>
      </c>
      <c r="E14" s="3" t="n">
        <v>4</v>
      </c>
      <c r="F14" s="3" t="n">
        <v>7</v>
      </c>
      <c r="G14" s="3" t="n">
        <v>1</v>
      </c>
      <c r="H14" s="3" t="n">
        <v>10</v>
      </c>
      <c r="I14" s="3" t="n">
        <v>6</v>
      </c>
      <c r="J14" s="3" t="n">
        <v>5</v>
      </c>
      <c r="K14" s="3" t="n">
        <v>9</v>
      </c>
      <c r="L14" s="3" t="n">
        <v>2</v>
      </c>
      <c r="M14" s="3" t="n">
        <v>4</v>
      </c>
      <c r="N14" s="3" t="n">
        <v>7</v>
      </c>
      <c r="O14" s="3" t="n">
        <v>3</v>
      </c>
      <c r="P14" s="3" t="n">
        <v>7</v>
      </c>
      <c r="Q14" s="3" t="n">
        <v>5</v>
      </c>
      <c r="R14" s="3" t="n">
        <v>7</v>
      </c>
      <c r="S14" s="3" t="n">
        <v>9</v>
      </c>
      <c r="T14" s="3" t="n">
        <v>6</v>
      </c>
      <c r="U14" s="3" t="n">
        <v>8</v>
      </c>
      <c r="V14" s="3" t="n">
        <v>2</v>
      </c>
      <c r="W14" s="3" t="n">
        <v>2</v>
      </c>
      <c r="X14" s="3" t="n">
        <v>6</v>
      </c>
      <c r="Y14" s="3" t="n">
        <v>6</v>
      </c>
      <c r="Z14" s="3" t="n">
        <v>5</v>
      </c>
      <c r="AA14" s="3" t="n">
        <v>2</v>
      </c>
      <c r="AB14" s="3" t="n">
        <v>8</v>
      </c>
      <c r="AC14" s="3" t="n">
        <v>4</v>
      </c>
      <c r="AD14" s="3" t="n">
        <f aca="false">SUM(E14:AC14)</f>
        <v>135</v>
      </c>
    </row>
    <row r="15" customFormat="false" ht="21.75" hidden="false" customHeight="true" outlineLevel="0" collapsed="false">
      <c r="A15" s="3" t="n">
        <v>14</v>
      </c>
      <c r="B15" s="3" t="s">
        <v>167</v>
      </c>
      <c r="C15" s="4" t="s">
        <v>168</v>
      </c>
      <c r="D15" s="3" t="s">
        <v>169</v>
      </c>
      <c r="E15" s="3" t="n">
        <v>10</v>
      </c>
      <c r="F15" s="3" t="n">
        <v>6</v>
      </c>
      <c r="G15" s="3" t="n">
        <v>5</v>
      </c>
      <c r="H15" s="3" t="n">
        <v>4</v>
      </c>
      <c r="I15" s="3" t="n">
        <v>9</v>
      </c>
      <c r="J15" s="3" t="n">
        <v>10</v>
      </c>
      <c r="K15" s="3" t="n">
        <v>0</v>
      </c>
      <c r="L15" s="3" t="n">
        <v>4</v>
      </c>
      <c r="M15" s="3" t="n">
        <v>3</v>
      </c>
      <c r="N15" s="3" t="n">
        <v>0</v>
      </c>
      <c r="O15" s="3" t="n">
        <v>0</v>
      </c>
      <c r="P15" s="3" t="n">
        <v>2</v>
      </c>
      <c r="Q15" s="3" t="n">
        <v>9</v>
      </c>
      <c r="R15" s="3" t="n">
        <v>2</v>
      </c>
      <c r="S15" s="3" t="n">
        <v>6</v>
      </c>
      <c r="T15" s="3" t="n">
        <v>5</v>
      </c>
      <c r="U15" s="3" t="n">
        <v>7</v>
      </c>
      <c r="V15" s="3" t="n">
        <v>8</v>
      </c>
      <c r="W15" s="3" t="n">
        <v>7</v>
      </c>
      <c r="X15" s="3" t="n">
        <v>4</v>
      </c>
      <c r="Y15" s="3" t="n">
        <v>0</v>
      </c>
      <c r="Z15" s="3" t="n">
        <v>2</v>
      </c>
      <c r="AA15" s="3" t="n">
        <v>6</v>
      </c>
      <c r="AB15" s="3" t="n">
        <v>8</v>
      </c>
      <c r="AC15" s="3" t="n">
        <v>6</v>
      </c>
      <c r="AD15" s="3" t="n">
        <f aca="false">SUM(E15:AC15)</f>
        <v>123</v>
      </c>
    </row>
    <row r="16" customFormat="false" ht="21.75" hidden="false" customHeight="true" outlineLevel="0" collapsed="false">
      <c r="A16" s="3" t="n">
        <v>15</v>
      </c>
      <c r="B16" s="3" t="s">
        <v>170</v>
      </c>
      <c r="C16" s="4" t="s">
        <v>171</v>
      </c>
      <c r="D16" s="3" t="s">
        <v>172</v>
      </c>
      <c r="E16" s="3" t="n">
        <v>7</v>
      </c>
      <c r="F16" s="3" t="n">
        <v>7</v>
      </c>
      <c r="G16" s="3" t="n">
        <v>9</v>
      </c>
      <c r="H16" s="3" t="n">
        <v>10</v>
      </c>
      <c r="I16" s="3" t="n">
        <v>0</v>
      </c>
      <c r="J16" s="3" t="n">
        <v>2</v>
      </c>
      <c r="K16" s="3" t="n">
        <v>9</v>
      </c>
      <c r="L16" s="3" t="n">
        <v>2</v>
      </c>
      <c r="M16" s="3" t="n">
        <v>4</v>
      </c>
      <c r="N16" s="3" t="n">
        <v>5</v>
      </c>
      <c r="O16" s="3" t="n">
        <v>7</v>
      </c>
      <c r="P16" s="3" t="n">
        <v>2</v>
      </c>
      <c r="Q16" s="3" t="n">
        <v>3</v>
      </c>
      <c r="R16" s="3" t="n">
        <v>7</v>
      </c>
      <c r="S16" s="3" t="n">
        <v>6</v>
      </c>
      <c r="T16" s="3" t="n">
        <v>9</v>
      </c>
      <c r="U16" s="3" t="n">
        <v>4</v>
      </c>
      <c r="V16" s="3" t="n">
        <v>5</v>
      </c>
      <c r="W16" s="3" t="n">
        <v>6</v>
      </c>
      <c r="X16" s="3" t="n">
        <v>4</v>
      </c>
      <c r="Y16" s="3" t="n">
        <v>6</v>
      </c>
      <c r="Z16" s="3" t="n">
        <v>7</v>
      </c>
      <c r="AA16" s="3" t="n">
        <v>4</v>
      </c>
      <c r="AB16" s="3" t="n">
        <v>5</v>
      </c>
      <c r="AC16" s="3" t="n">
        <v>5</v>
      </c>
      <c r="AD16" s="3" t="n">
        <f aca="false">SUM(E16:AC16)</f>
        <v>135</v>
      </c>
    </row>
    <row r="17" customFormat="false" ht="21.75" hidden="false" customHeight="true" outlineLevel="0" collapsed="false">
      <c r="A17" s="3" t="n">
        <v>16</v>
      </c>
      <c r="B17" s="3" t="s">
        <v>173</v>
      </c>
      <c r="C17" s="4" t="s">
        <v>174</v>
      </c>
      <c r="D17" s="3" t="s">
        <v>175</v>
      </c>
      <c r="E17" s="3" t="n">
        <v>5</v>
      </c>
      <c r="F17" s="3" t="n">
        <v>2</v>
      </c>
      <c r="G17" s="3" t="n">
        <v>3</v>
      </c>
      <c r="H17" s="3" t="n">
        <v>3</v>
      </c>
      <c r="I17" s="3" t="n">
        <v>5</v>
      </c>
      <c r="J17" s="3" t="n">
        <v>5</v>
      </c>
      <c r="K17" s="3" t="n">
        <v>1</v>
      </c>
      <c r="L17" s="3" t="n">
        <v>8</v>
      </c>
      <c r="M17" s="3" t="n">
        <v>5</v>
      </c>
      <c r="N17" s="3" t="n">
        <v>4</v>
      </c>
      <c r="O17" s="3" t="n">
        <v>8</v>
      </c>
      <c r="P17" s="3" t="n">
        <v>6</v>
      </c>
      <c r="Q17" s="3" t="n">
        <v>9</v>
      </c>
      <c r="R17" s="3" t="n">
        <v>4</v>
      </c>
      <c r="S17" s="3" t="n">
        <v>7</v>
      </c>
      <c r="T17" s="3" t="n">
        <v>1</v>
      </c>
      <c r="U17" s="3" t="n">
        <v>6</v>
      </c>
      <c r="V17" s="3" t="n">
        <v>3</v>
      </c>
      <c r="W17" s="3" t="n">
        <v>3</v>
      </c>
      <c r="X17" s="3" t="n">
        <v>8</v>
      </c>
      <c r="Y17" s="3" t="n">
        <v>6</v>
      </c>
      <c r="Z17" s="3" t="n">
        <v>2</v>
      </c>
      <c r="AA17" s="3" t="n">
        <v>4</v>
      </c>
      <c r="AB17" s="3" t="n">
        <v>0</v>
      </c>
      <c r="AC17" s="3" t="n">
        <v>10</v>
      </c>
      <c r="AD17" s="3" t="n">
        <f aca="false">SUM(E17:AC17)</f>
        <v>118</v>
      </c>
    </row>
    <row r="18" customFormat="false" ht="21.75" hidden="false" customHeight="true" outlineLevel="0" collapsed="false">
      <c r="A18" s="3" t="n">
        <v>17</v>
      </c>
      <c r="B18" s="3" t="s">
        <v>176</v>
      </c>
      <c r="C18" s="4" t="s">
        <v>177</v>
      </c>
      <c r="D18" s="3" t="s">
        <v>178</v>
      </c>
      <c r="E18" s="3" t="n">
        <v>4</v>
      </c>
      <c r="F18" s="3" t="n">
        <v>7</v>
      </c>
      <c r="G18" s="3" t="n">
        <v>5</v>
      </c>
      <c r="H18" s="3" t="n">
        <v>7</v>
      </c>
      <c r="I18" s="3" t="n">
        <v>7</v>
      </c>
      <c r="J18" s="3" t="n">
        <v>4</v>
      </c>
      <c r="K18" s="3" t="n">
        <v>2</v>
      </c>
      <c r="L18" s="3" t="n">
        <v>6</v>
      </c>
      <c r="M18" s="3" t="n">
        <v>1</v>
      </c>
      <c r="N18" s="3" t="n">
        <v>1</v>
      </c>
      <c r="O18" s="3" t="n">
        <v>3</v>
      </c>
      <c r="P18" s="3" t="n">
        <v>2</v>
      </c>
      <c r="Q18" s="3" t="n">
        <v>9</v>
      </c>
      <c r="R18" s="3" t="n">
        <v>7</v>
      </c>
      <c r="S18" s="3" t="n">
        <v>5</v>
      </c>
      <c r="T18" s="3" t="n">
        <v>1</v>
      </c>
      <c r="U18" s="3" t="n">
        <v>10</v>
      </c>
      <c r="V18" s="3" t="n">
        <v>3</v>
      </c>
      <c r="W18" s="3" t="n">
        <v>8</v>
      </c>
      <c r="X18" s="3" t="n">
        <v>1</v>
      </c>
      <c r="Y18" s="3" t="n">
        <v>5</v>
      </c>
      <c r="Z18" s="3" t="n">
        <v>4</v>
      </c>
      <c r="AA18" s="3" t="n">
        <v>0</v>
      </c>
      <c r="AB18" s="3" t="n">
        <v>4</v>
      </c>
      <c r="AC18" s="3" t="n">
        <v>5</v>
      </c>
      <c r="AD18" s="3" t="n">
        <f aca="false">SUM(E18:AC18)</f>
        <v>111</v>
      </c>
    </row>
    <row r="19" customFormat="false" ht="21.75" hidden="false" customHeight="true" outlineLevel="0" collapsed="false">
      <c r="A19" s="3" t="n">
        <v>18</v>
      </c>
      <c r="B19" s="3" t="s">
        <v>179</v>
      </c>
      <c r="C19" s="4" t="s">
        <v>180</v>
      </c>
      <c r="D19" s="3" t="s">
        <v>181</v>
      </c>
      <c r="E19" s="3" t="n">
        <v>8</v>
      </c>
      <c r="F19" s="3" t="n">
        <v>0</v>
      </c>
      <c r="G19" s="3" t="n">
        <v>9</v>
      </c>
      <c r="H19" s="3" t="n">
        <v>6</v>
      </c>
      <c r="I19" s="3" t="n">
        <v>7</v>
      </c>
      <c r="J19" s="3" t="n">
        <v>4</v>
      </c>
      <c r="K19" s="3" t="n">
        <v>2</v>
      </c>
      <c r="L19" s="3" t="n">
        <v>3</v>
      </c>
      <c r="M19" s="3" t="n">
        <v>8</v>
      </c>
      <c r="N19" s="3" t="n">
        <v>7</v>
      </c>
      <c r="O19" s="3" t="n">
        <v>8</v>
      </c>
      <c r="P19" s="3" t="n">
        <v>1</v>
      </c>
      <c r="Q19" s="3" t="n">
        <v>7</v>
      </c>
      <c r="R19" s="3" t="n">
        <v>7</v>
      </c>
      <c r="S19" s="3" t="n">
        <v>3</v>
      </c>
      <c r="T19" s="3" t="n">
        <v>9</v>
      </c>
      <c r="U19" s="3" t="n">
        <v>4</v>
      </c>
      <c r="V19" s="3" t="n">
        <v>5</v>
      </c>
      <c r="W19" s="3" t="n">
        <v>10</v>
      </c>
      <c r="X19" s="3" t="n">
        <v>9</v>
      </c>
      <c r="Y19" s="3" t="n">
        <v>1</v>
      </c>
      <c r="Z19" s="3" t="n">
        <v>4</v>
      </c>
      <c r="AA19" s="3" t="n">
        <v>8</v>
      </c>
      <c r="AB19" s="3" t="n">
        <v>0</v>
      </c>
      <c r="AC19" s="3" t="n">
        <v>5</v>
      </c>
      <c r="AD19" s="3" t="n">
        <f aca="false">SUM(E19:AC19)</f>
        <v>135</v>
      </c>
    </row>
    <row r="20" customFormat="false" ht="21.75" hidden="false" customHeight="true" outlineLevel="0" collapsed="false">
      <c r="A20" s="3" t="n">
        <v>19</v>
      </c>
      <c r="B20" s="3" t="s">
        <v>182</v>
      </c>
      <c r="C20" s="4" t="s">
        <v>183</v>
      </c>
      <c r="D20" s="3" t="s">
        <v>184</v>
      </c>
      <c r="E20" s="3" t="n">
        <v>9</v>
      </c>
      <c r="F20" s="3" t="n">
        <v>7</v>
      </c>
      <c r="G20" s="3" t="n">
        <v>9</v>
      </c>
      <c r="H20" s="3" t="n">
        <v>0</v>
      </c>
      <c r="I20" s="3" t="n">
        <v>7</v>
      </c>
      <c r="J20" s="3" t="n">
        <v>8</v>
      </c>
      <c r="K20" s="3" t="n">
        <v>6</v>
      </c>
      <c r="L20" s="3" t="n">
        <v>5</v>
      </c>
      <c r="M20" s="3" t="n">
        <v>10</v>
      </c>
      <c r="N20" s="3" t="n">
        <v>4</v>
      </c>
      <c r="O20" s="3" t="n">
        <v>5</v>
      </c>
      <c r="P20" s="3" t="n">
        <v>2</v>
      </c>
      <c r="Q20" s="3" t="n">
        <v>0</v>
      </c>
      <c r="R20" s="3" t="n">
        <v>5</v>
      </c>
      <c r="S20" s="3" t="n">
        <v>4</v>
      </c>
      <c r="T20" s="3" t="n">
        <v>6</v>
      </c>
      <c r="U20" s="3" t="n">
        <v>0</v>
      </c>
      <c r="V20" s="3" t="n">
        <v>9</v>
      </c>
      <c r="W20" s="3" t="n">
        <v>6</v>
      </c>
      <c r="X20" s="3" t="n">
        <v>2</v>
      </c>
      <c r="Y20" s="3" t="n">
        <v>10</v>
      </c>
      <c r="Z20" s="3" t="n">
        <v>5</v>
      </c>
      <c r="AA20" s="3" t="n">
        <v>9</v>
      </c>
      <c r="AB20" s="3" t="n">
        <v>5</v>
      </c>
      <c r="AC20" s="3" t="n">
        <v>7</v>
      </c>
      <c r="AD20" s="3" t="n">
        <f aca="false">SUM(E20:AC20)</f>
        <v>140</v>
      </c>
    </row>
    <row r="21" customFormat="false" ht="21.75" hidden="false" customHeight="true" outlineLevel="0" collapsed="false">
      <c r="A21" s="3" t="n">
        <v>20</v>
      </c>
      <c r="B21" s="3" t="s">
        <v>185</v>
      </c>
      <c r="C21" s="4" t="s">
        <v>186</v>
      </c>
      <c r="D21" s="3" t="s">
        <v>187</v>
      </c>
      <c r="E21" s="3" t="n">
        <v>7</v>
      </c>
      <c r="F21" s="3" t="n">
        <v>6</v>
      </c>
      <c r="G21" s="3" t="n">
        <v>9</v>
      </c>
      <c r="H21" s="3" t="n">
        <v>8</v>
      </c>
      <c r="I21" s="3" t="n">
        <v>1</v>
      </c>
      <c r="J21" s="3" t="n">
        <v>7</v>
      </c>
      <c r="K21" s="3" t="n">
        <v>4</v>
      </c>
      <c r="L21" s="3" t="n">
        <v>9</v>
      </c>
      <c r="M21" s="3" t="n">
        <v>9</v>
      </c>
      <c r="N21" s="3" t="n">
        <v>0</v>
      </c>
      <c r="O21" s="3" t="n">
        <v>8</v>
      </c>
      <c r="P21" s="3" t="n">
        <v>2</v>
      </c>
      <c r="Q21" s="3" t="n">
        <v>7</v>
      </c>
      <c r="R21" s="3" t="n">
        <v>8</v>
      </c>
      <c r="S21" s="3" t="n">
        <v>7</v>
      </c>
      <c r="T21" s="3" t="n">
        <v>5</v>
      </c>
      <c r="U21" s="3" t="n">
        <v>5</v>
      </c>
      <c r="V21" s="3" t="n">
        <v>8</v>
      </c>
      <c r="W21" s="3" t="n">
        <v>10</v>
      </c>
      <c r="X21" s="3" t="n">
        <v>3</v>
      </c>
      <c r="Y21" s="3" t="n">
        <v>10</v>
      </c>
      <c r="Z21" s="3" t="n">
        <v>8</v>
      </c>
      <c r="AA21" s="3" t="n">
        <v>9</v>
      </c>
      <c r="AB21" s="3" t="n">
        <v>10</v>
      </c>
      <c r="AC21" s="3" t="n">
        <v>1</v>
      </c>
      <c r="AD21" s="3" t="n">
        <f aca="false">SUM(E21:AC21)</f>
        <v>161</v>
      </c>
    </row>
    <row r="22" customFormat="false" ht="21.75" hidden="false" customHeight="true" outlineLevel="0" collapsed="false">
      <c r="A22" s="3" t="n">
        <v>21</v>
      </c>
      <c r="B22" s="3" t="s">
        <v>188</v>
      </c>
      <c r="C22" s="4" t="s">
        <v>189</v>
      </c>
      <c r="D22" s="3" t="s">
        <v>190</v>
      </c>
      <c r="E22" s="3" t="n">
        <v>6</v>
      </c>
      <c r="F22" s="3" t="n">
        <v>7</v>
      </c>
      <c r="G22" s="3" t="n">
        <v>4</v>
      </c>
      <c r="H22" s="3" t="n">
        <v>6</v>
      </c>
      <c r="I22" s="3" t="n">
        <v>2</v>
      </c>
      <c r="J22" s="3" t="n">
        <v>1</v>
      </c>
      <c r="K22" s="3" t="n">
        <v>1</v>
      </c>
      <c r="L22" s="3" t="n">
        <v>3</v>
      </c>
      <c r="M22" s="3" t="n">
        <v>3</v>
      </c>
      <c r="N22" s="3" t="n">
        <v>3</v>
      </c>
      <c r="O22" s="3" t="n">
        <v>7</v>
      </c>
      <c r="P22" s="3" t="n">
        <v>9</v>
      </c>
      <c r="Q22" s="3" t="n">
        <v>9</v>
      </c>
      <c r="R22" s="3" t="n">
        <v>7</v>
      </c>
      <c r="S22" s="3" t="n">
        <v>0</v>
      </c>
      <c r="T22" s="3" t="n">
        <v>8</v>
      </c>
      <c r="U22" s="3" t="n">
        <v>9</v>
      </c>
      <c r="V22" s="3" t="n">
        <v>2</v>
      </c>
      <c r="W22" s="3" t="n">
        <v>7</v>
      </c>
      <c r="X22" s="3" t="n">
        <v>6</v>
      </c>
      <c r="Y22" s="3" t="n">
        <v>7</v>
      </c>
      <c r="Z22" s="3" t="n">
        <v>5</v>
      </c>
      <c r="AA22" s="3" t="n">
        <v>5</v>
      </c>
      <c r="AB22" s="3" t="n">
        <v>2</v>
      </c>
      <c r="AC22" s="3" t="n">
        <v>2</v>
      </c>
      <c r="AD22" s="3" t="n">
        <f aca="false">SUM(E22:AC22)</f>
        <v>121</v>
      </c>
    </row>
    <row r="23" customFormat="false" ht="21.75" hidden="false" customHeight="true" outlineLevel="0" collapsed="false">
      <c r="A23" s="3" t="n">
        <v>22</v>
      </c>
      <c r="B23" s="3" t="s">
        <v>191</v>
      </c>
      <c r="C23" s="4" t="s">
        <v>192</v>
      </c>
      <c r="D23" s="3" t="s">
        <v>193</v>
      </c>
      <c r="E23" s="3" t="n">
        <v>7</v>
      </c>
      <c r="F23" s="3" t="n">
        <v>7</v>
      </c>
      <c r="G23" s="3" t="n">
        <v>1</v>
      </c>
      <c r="H23" s="3" t="n">
        <v>6</v>
      </c>
      <c r="I23" s="3" t="n">
        <v>3</v>
      </c>
      <c r="J23" s="3" t="n">
        <v>7</v>
      </c>
      <c r="K23" s="3" t="n">
        <v>3</v>
      </c>
      <c r="L23" s="3" t="n">
        <v>4</v>
      </c>
      <c r="M23" s="3" t="n">
        <v>5</v>
      </c>
      <c r="N23" s="3" t="n">
        <v>10</v>
      </c>
      <c r="O23" s="3" t="n">
        <v>5</v>
      </c>
      <c r="P23" s="3" t="n">
        <v>3</v>
      </c>
      <c r="Q23" s="3" t="n">
        <v>3</v>
      </c>
      <c r="R23" s="3" t="n">
        <v>1</v>
      </c>
      <c r="S23" s="3" t="n">
        <v>5</v>
      </c>
      <c r="T23" s="3" t="n">
        <v>8</v>
      </c>
      <c r="U23" s="3" t="n">
        <v>7</v>
      </c>
      <c r="V23" s="3" t="n">
        <v>7</v>
      </c>
      <c r="W23" s="3" t="n">
        <v>8</v>
      </c>
      <c r="X23" s="3" t="n">
        <v>0</v>
      </c>
      <c r="Y23" s="3" t="n">
        <v>0</v>
      </c>
      <c r="Z23" s="3" t="n">
        <v>3</v>
      </c>
      <c r="AA23" s="3" t="n">
        <v>4</v>
      </c>
      <c r="AB23" s="3" t="n">
        <v>2</v>
      </c>
      <c r="AC23" s="3" t="n">
        <v>8</v>
      </c>
      <c r="AD23" s="3" t="n">
        <f aca="false">SUM(E23:AC23)</f>
        <v>117</v>
      </c>
    </row>
    <row r="24" customFormat="false" ht="21.75" hidden="false" customHeight="true" outlineLevel="0" collapsed="false">
      <c r="A24" s="3" t="n">
        <v>23</v>
      </c>
      <c r="B24" s="3" t="s">
        <v>194</v>
      </c>
      <c r="C24" s="4" t="s">
        <v>195</v>
      </c>
      <c r="D24" s="3" t="s">
        <v>196</v>
      </c>
      <c r="E24" s="3" t="n">
        <v>1</v>
      </c>
      <c r="F24" s="3" t="n">
        <v>5</v>
      </c>
      <c r="G24" s="3" t="n">
        <v>0</v>
      </c>
      <c r="H24" s="3" t="n">
        <v>5</v>
      </c>
      <c r="I24" s="3" t="n">
        <v>7</v>
      </c>
      <c r="J24" s="3" t="n">
        <v>1</v>
      </c>
      <c r="K24" s="3" t="n">
        <v>6</v>
      </c>
      <c r="L24" s="3" t="n">
        <v>10</v>
      </c>
      <c r="M24" s="3" t="n">
        <v>5</v>
      </c>
      <c r="N24" s="3" t="n">
        <v>2</v>
      </c>
      <c r="O24" s="3" t="n">
        <v>0</v>
      </c>
      <c r="P24" s="3" t="n">
        <v>2</v>
      </c>
      <c r="Q24" s="3" t="n">
        <v>10</v>
      </c>
      <c r="R24" s="3" t="n">
        <v>3</v>
      </c>
      <c r="S24" s="3" t="n">
        <v>6</v>
      </c>
      <c r="T24" s="3" t="n">
        <v>10</v>
      </c>
      <c r="U24" s="3" t="n">
        <v>2</v>
      </c>
      <c r="V24" s="3" t="n">
        <v>5</v>
      </c>
      <c r="W24" s="3" t="n">
        <v>5</v>
      </c>
      <c r="X24" s="3" t="n">
        <v>3</v>
      </c>
      <c r="Y24" s="3" t="n">
        <v>0</v>
      </c>
      <c r="Z24" s="3" t="n">
        <v>3</v>
      </c>
      <c r="AA24" s="3" t="n">
        <v>9</v>
      </c>
      <c r="AB24" s="3" t="n">
        <v>2</v>
      </c>
      <c r="AC24" s="3" t="n">
        <v>2</v>
      </c>
      <c r="AD24" s="3" t="n">
        <f aca="false">SUM(E24:AC24)</f>
        <v>104</v>
      </c>
    </row>
    <row r="25" customFormat="false" ht="21.75" hidden="false" customHeight="true" outlineLevel="0" collapsed="false">
      <c r="A25" s="3" t="n">
        <v>24</v>
      </c>
      <c r="B25" s="3" t="s">
        <v>197</v>
      </c>
      <c r="C25" s="4" t="s">
        <v>198</v>
      </c>
      <c r="D25" s="3" t="s">
        <v>199</v>
      </c>
      <c r="E25" s="3" t="n">
        <v>7</v>
      </c>
      <c r="F25" s="3" t="n">
        <v>7</v>
      </c>
      <c r="G25" s="3" t="n">
        <v>4</v>
      </c>
      <c r="H25" s="3" t="n">
        <v>2</v>
      </c>
      <c r="I25" s="3" t="n">
        <v>7</v>
      </c>
      <c r="J25" s="3" t="n">
        <v>10</v>
      </c>
      <c r="K25" s="3" t="n">
        <v>10</v>
      </c>
      <c r="L25" s="3" t="n">
        <v>1</v>
      </c>
      <c r="M25" s="3" t="n">
        <v>8</v>
      </c>
      <c r="N25" s="3" t="n">
        <v>0</v>
      </c>
      <c r="O25" s="3" t="n">
        <v>9</v>
      </c>
      <c r="P25" s="3" t="n">
        <v>3</v>
      </c>
      <c r="Q25" s="3" t="n">
        <v>1</v>
      </c>
      <c r="R25" s="3" t="n">
        <v>6</v>
      </c>
      <c r="S25" s="3" t="n">
        <v>5</v>
      </c>
      <c r="T25" s="3" t="n">
        <v>2</v>
      </c>
      <c r="U25" s="3" t="n">
        <v>1</v>
      </c>
      <c r="V25" s="3" t="n">
        <v>7</v>
      </c>
      <c r="W25" s="3" t="n">
        <v>9</v>
      </c>
      <c r="X25" s="3" t="n">
        <v>10</v>
      </c>
      <c r="Y25" s="3" t="n">
        <v>9</v>
      </c>
      <c r="Z25" s="3" t="n">
        <v>8</v>
      </c>
      <c r="AA25" s="3" t="n">
        <v>1</v>
      </c>
      <c r="AB25" s="3" t="n">
        <v>7</v>
      </c>
      <c r="AC25" s="3" t="n">
        <v>10</v>
      </c>
      <c r="AD25" s="3" t="n">
        <f aca="false">SUM(E25:AC25)</f>
        <v>144</v>
      </c>
    </row>
    <row r="26" customFormat="false" ht="21.75" hidden="false" customHeight="true" outlineLevel="0" collapsed="false">
      <c r="A26" s="3" t="n">
        <v>25</v>
      </c>
      <c r="B26" s="3" t="s">
        <v>200</v>
      </c>
      <c r="C26" s="4" t="s">
        <v>201</v>
      </c>
      <c r="D26" s="3" t="s">
        <v>202</v>
      </c>
      <c r="E26" s="3" t="n">
        <v>5</v>
      </c>
      <c r="F26" s="3" t="n">
        <v>7</v>
      </c>
      <c r="G26" s="3" t="n">
        <v>1</v>
      </c>
      <c r="H26" s="3" t="n">
        <v>7</v>
      </c>
      <c r="I26" s="3" t="n">
        <v>0</v>
      </c>
      <c r="J26" s="3" t="n">
        <v>8</v>
      </c>
      <c r="K26" s="3" t="n">
        <v>8</v>
      </c>
      <c r="L26" s="3" t="n">
        <v>0</v>
      </c>
      <c r="M26" s="3" t="n">
        <v>10</v>
      </c>
      <c r="N26" s="3" t="n">
        <v>8</v>
      </c>
      <c r="O26" s="3" t="n">
        <v>4</v>
      </c>
      <c r="P26" s="3" t="n">
        <v>10</v>
      </c>
      <c r="Q26" s="3" t="n">
        <v>4</v>
      </c>
      <c r="R26" s="3" t="n">
        <v>7</v>
      </c>
      <c r="S26" s="3" t="n">
        <v>7</v>
      </c>
      <c r="T26" s="3" t="n">
        <v>10</v>
      </c>
      <c r="U26" s="3" t="n">
        <v>1</v>
      </c>
      <c r="V26" s="3" t="n">
        <v>3</v>
      </c>
      <c r="W26" s="3" t="n">
        <v>4</v>
      </c>
      <c r="X26" s="3" t="n">
        <v>3</v>
      </c>
      <c r="Y26" s="3" t="n">
        <v>7</v>
      </c>
      <c r="Z26" s="3" t="n">
        <v>0</v>
      </c>
      <c r="AA26" s="3" t="n">
        <v>6</v>
      </c>
      <c r="AB26" s="3" t="n">
        <v>4</v>
      </c>
      <c r="AC26" s="3" t="n">
        <v>5</v>
      </c>
      <c r="AD26" s="3" t="n">
        <f aca="false">SUM(E26:AC26)</f>
        <v>129</v>
      </c>
    </row>
    <row r="27" customFormat="false" ht="21.75" hidden="false" customHeight="true" outlineLevel="0" collapsed="false">
      <c r="A27" s="3" t="n">
        <v>26</v>
      </c>
      <c r="B27" s="3" t="s">
        <v>203</v>
      </c>
      <c r="C27" s="4" t="s">
        <v>204</v>
      </c>
      <c r="D27" s="3" t="s">
        <v>205</v>
      </c>
      <c r="E27" s="3" t="n">
        <v>8</v>
      </c>
      <c r="F27" s="3" t="n">
        <v>5</v>
      </c>
      <c r="G27" s="3" t="n">
        <v>3</v>
      </c>
      <c r="H27" s="3" t="n">
        <v>9</v>
      </c>
      <c r="I27" s="3" t="n">
        <v>6</v>
      </c>
      <c r="J27" s="3" t="n">
        <v>7</v>
      </c>
      <c r="K27" s="3" t="n">
        <v>4</v>
      </c>
      <c r="L27" s="3" t="n">
        <v>10</v>
      </c>
      <c r="M27" s="3" t="n">
        <v>0</v>
      </c>
      <c r="N27" s="3" t="n">
        <v>2</v>
      </c>
      <c r="O27" s="3" t="n">
        <v>9</v>
      </c>
      <c r="P27" s="3" t="n">
        <v>7</v>
      </c>
      <c r="Q27" s="3" t="n">
        <v>10</v>
      </c>
      <c r="R27" s="3" t="n">
        <v>5</v>
      </c>
      <c r="S27" s="3" t="n">
        <v>10</v>
      </c>
      <c r="T27" s="3" t="n">
        <v>5</v>
      </c>
      <c r="U27" s="3" t="n">
        <v>3</v>
      </c>
      <c r="V27" s="3" t="n">
        <v>2</v>
      </c>
      <c r="W27" s="3" t="n">
        <v>5</v>
      </c>
      <c r="X27" s="3" t="n">
        <v>6</v>
      </c>
      <c r="Y27" s="3" t="n">
        <v>2</v>
      </c>
      <c r="Z27" s="3" t="n">
        <v>3</v>
      </c>
      <c r="AA27" s="3" t="n">
        <v>9</v>
      </c>
      <c r="AB27" s="3" t="n">
        <v>4</v>
      </c>
      <c r="AC27" s="3" t="n">
        <v>1</v>
      </c>
      <c r="AD27" s="3" t="n">
        <f aca="false">SUM(E27:AC27)</f>
        <v>135</v>
      </c>
    </row>
    <row r="28" customFormat="false" ht="21.75" hidden="false" customHeight="true" outlineLevel="0" collapsed="false">
      <c r="A28" s="3" t="n">
        <v>27</v>
      </c>
      <c r="B28" s="3" t="s">
        <v>206</v>
      </c>
      <c r="C28" s="4" t="s">
        <v>207</v>
      </c>
      <c r="D28" s="3" t="s">
        <v>208</v>
      </c>
      <c r="E28" s="3" t="n">
        <v>1</v>
      </c>
      <c r="F28" s="3" t="n">
        <v>7</v>
      </c>
      <c r="G28" s="3" t="n">
        <v>0</v>
      </c>
      <c r="H28" s="3" t="n">
        <v>7</v>
      </c>
      <c r="I28" s="3" t="n">
        <v>7</v>
      </c>
      <c r="J28" s="3" t="n">
        <v>3</v>
      </c>
      <c r="K28" s="3" t="n">
        <v>8</v>
      </c>
      <c r="L28" s="3" t="n">
        <v>8</v>
      </c>
      <c r="M28" s="3" t="n">
        <v>6</v>
      </c>
      <c r="N28" s="3" t="n">
        <v>9</v>
      </c>
      <c r="O28" s="3" t="n">
        <v>7</v>
      </c>
      <c r="P28" s="3" t="n">
        <v>1</v>
      </c>
      <c r="Q28" s="3" t="n">
        <v>4</v>
      </c>
      <c r="R28" s="3" t="n">
        <v>2</v>
      </c>
      <c r="S28" s="3" t="n">
        <v>6</v>
      </c>
      <c r="T28" s="3" t="n">
        <v>9</v>
      </c>
      <c r="U28" s="3" t="n">
        <v>9</v>
      </c>
      <c r="V28" s="3" t="n">
        <v>3</v>
      </c>
      <c r="W28" s="3" t="n">
        <v>10</v>
      </c>
      <c r="X28" s="3" t="n">
        <v>0</v>
      </c>
      <c r="Y28" s="3" t="n">
        <v>4</v>
      </c>
      <c r="Z28" s="3" t="n">
        <v>6</v>
      </c>
      <c r="AA28" s="3" t="n">
        <v>5</v>
      </c>
      <c r="AB28" s="3" t="n">
        <v>4</v>
      </c>
      <c r="AC28" s="3" t="n">
        <v>5</v>
      </c>
      <c r="AD28" s="3" t="n">
        <f aca="false">SUM(E28:AC28)</f>
        <v>131</v>
      </c>
    </row>
    <row r="29" customFormat="false" ht="21.75" hidden="false" customHeight="true" outlineLevel="0" collapsed="false">
      <c r="A29" s="3" t="n">
        <v>28</v>
      </c>
      <c r="B29" s="3" t="s">
        <v>209</v>
      </c>
      <c r="C29" s="4" t="s">
        <v>210</v>
      </c>
      <c r="D29" s="3" t="s">
        <v>211</v>
      </c>
      <c r="E29" s="3" t="n">
        <v>0</v>
      </c>
      <c r="F29" s="3" t="n">
        <v>7</v>
      </c>
      <c r="G29" s="3" t="n">
        <v>4</v>
      </c>
      <c r="H29" s="3" t="n">
        <v>6</v>
      </c>
      <c r="I29" s="3" t="n">
        <v>9</v>
      </c>
      <c r="J29" s="3" t="n">
        <v>9</v>
      </c>
      <c r="K29" s="3" t="n">
        <v>1</v>
      </c>
      <c r="L29" s="3" t="n">
        <v>6</v>
      </c>
      <c r="M29" s="3" t="n">
        <v>4</v>
      </c>
      <c r="N29" s="3" t="n">
        <v>4</v>
      </c>
      <c r="O29" s="3" t="n">
        <v>2</v>
      </c>
      <c r="P29" s="3" t="n">
        <v>4</v>
      </c>
      <c r="Q29" s="3" t="n">
        <v>5</v>
      </c>
      <c r="R29" s="3" t="n">
        <v>1</v>
      </c>
      <c r="S29" s="3" t="n">
        <v>0</v>
      </c>
      <c r="T29" s="3" t="n">
        <v>6</v>
      </c>
      <c r="U29" s="3" t="n">
        <v>3</v>
      </c>
      <c r="V29" s="3" t="n">
        <v>10</v>
      </c>
      <c r="W29" s="3" t="n">
        <v>8</v>
      </c>
      <c r="X29" s="3" t="n">
        <v>10</v>
      </c>
      <c r="Y29" s="3" t="n">
        <v>8</v>
      </c>
      <c r="Z29" s="3" t="n">
        <v>10</v>
      </c>
      <c r="AA29" s="3" t="n">
        <v>3</v>
      </c>
      <c r="AB29" s="3" t="n">
        <v>3</v>
      </c>
      <c r="AC29" s="3" t="n">
        <v>10</v>
      </c>
      <c r="AD29" s="3" t="n">
        <f aca="false">SUM(E29:AC29)</f>
        <v>133</v>
      </c>
    </row>
    <row r="30" customFormat="false" ht="21.75" hidden="false" customHeight="true" outlineLevel="0" collapsed="false">
      <c r="A30" s="3" t="n">
        <v>29</v>
      </c>
      <c r="B30" s="3" t="s">
        <v>212</v>
      </c>
      <c r="C30" s="4" t="s">
        <v>213</v>
      </c>
      <c r="D30" s="3" t="s">
        <v>214</v>
      </c>
      <c r="E30" s="3" t="n">
        <v>10</v>
      </c>
      <c r="F30" s="3" t="n">
        <v>6</v>
      </c>
      <c r="G30" s="3" t="n">
        <v>6</v>
      </c>
      <c r="H30" s="3" t="n">
        <v>6</v>
      </c>
      <c r="I30" s="3" t="n">
        <v>7</v>
      </c>
      <c r="J30" s="3" t="n">
        <v>10</v>
      </c>
      <c r="K30" s="3" t="n">
        <v>10</v>
      </c>
      <c r="L30" s="3" t="n">
        <v>5</v>
      </c>
      <c r="M30" s="3" t="n">
        <v>2</v>
      </c>
      <c r="N30" s="3" t="n">
        <v>4</v>
      </c>
      <c r="O30" s="3" t="n">
        <v>9</v>
      </c>
      <c r="P30" s="3" t="n">
        <v>10</v>
      </c>
      <c r="Q30" s="3" t="n">
        <v>4</v>
      </c>
      <c r="R30" s="3" t="n">
        <v>3</v>
      </c>
      <c r="S30" s="3" t="n">
        <v>9</v>
      </c>
      <c r="T30" s="3" t="n">
        <v>6</v>
      </c>
      <c r="U30" s="3" t="n">
        <v>4</v>
      </c>
      <c r="V30" s="3" t="n">
        <v>4</v>
      </c>
      <c r="W30" s="3" t="n">
        <v>4</v>
      </c>
      <c r="X30" s="3" t="n">
        <v>6</v>
      </c>
      <c r="Y30" s="3" t="n">
        <v>9</v>
      </c>
      <c r="Z30" s="3" t="n">
        <v>10</v>
      </c>
      <c r="AA30" s="3" t="n">
        <v>8</v>
      </c>
      <c r="AB30" s="3" t="n">
        <v>10</v>
      </c>
      <c r="AC30" s="3" t="n">
        <v>0</v>
      </c>
      <c r="AD30" s="3" t="n">
        <f aca="false">SUM(E30:AC30)</f>
        <v>162</v>
      </c>
    </row>
    <row r="31" customFormat="false" ht="21.75" hidden="false" customHeight="true" outlineLevel="0" collapsed="false">
      <c r="A31" s="3" t="n">
        <v>30</v>
      </c>
      <c r="B31" s="3" t="s">
        <v>215</v>
      </c>
      <c r="C31" s="4" t="s">
        <v>216</v>
      </c>
      <c r="D31" s="3" t="s">
        <v>217</v>
      </c>
      <c r="E31" s="3" t="n">
        <v>7</v>
      </c>
      <c r="F31" s="3" t="n">
        <v>7</v>
      </c>
      <c r="G31" s="3" t="n">
        <v>9</v>
      </c>
      <c r="H31" s="3" t="n">
        <v>7</v>
      </c>
      <c r="I31" s="3" t="n">
        <v>7</v>
      </c>
      <c r="J31" s="3" t="n">
        <v>6</v>
      </c>
      <c r="K31" s="3" t="n">
        <v>6</v>
      </c>
      <c r="L31" s="3" t="n">
        <v>6</v>
      </c>
      <c r="M31" s="3" t="n">
        <v>3</v>
      </c>
      <c r="N31" s="3" t="n">
        <v>2</v>
      </c>
      <c r="O31" s="3" t="n">
        <v>0</v>
      </c>
      <c r="P31" s="3" t="n">
        <v>5</v>
      </c>
      <c r="Q31" s="3" t="n">
        <v>2</v>
      </c>
      <c r="R31" s="3" t="n">
        <v>3</v>
      </c>
      <c r="S31" s="3" t="n">
        <v>8</v>
      </c>
      <c r="T31" s="3" t="n">
        <v>9</v>
      </c>
      <c r="U31" s="3" t="n">
        <v>3</v>
      </c>
      <c r="V31" s="3" t="n">
        <v>3</v>
      </c>
      <c r="W31" s="3" t="n">
        <v>1</v>
      </c>
      <c r="X31" s="3" t="n">
        <v>4</v>
      </c>
      <c r="Y31" s="3" t="n">
        <v>2</v>
      </c>
      <c r="Z31" s="3" t="n">
        <v>3</v>
      </c>
      <c r="AA31" s="3" t="n">
        <v>0</v>
      </c>
      <c r="AB31" s="3" t="n">
        <v>3</v>
      </c>
      <c r="AC31" s="3" t="n">
        <v>1</v>
      </c>
      <c r="AD31" s="3" t="n">
        <f aca="false">SUM(E31:AC31)</f>
        <v>107</v>
      </c>
    </row>
    <row r="32" customFormat="false" ht="21.75" hidden="false" customHeight="true" outlineLevel="0" collapsed="false">
      <c r="A32" s="3" t="n">
        <v>31</v>
      </c>
      <c r="B32" s="3" t="s">
        <v>218</v>
      </c>
      <c r="C32" s="4" t="s">
        <v>219</v>
      </c>
      <c r="D32" s="3" t="s">
        <v>220</v>
      </c>
      <c r="E32" s="3" t="n">
        <v>2</v>
      </c>
      <c r="F32" s="3" t="n">
        <v>3</v>
      </c>
      <c r="G32" s="3" t="n">
        <v>1</v>
      </c>
      <c r="H32" s="3" t="n">
        <v>4</v>
      </c>
      <c r="I32" s="3" t="n">
        <v>7</v>
      </c>
      <c r="J32" s="3" t="n">
        <v>2</v>
      </c>
      <c r="K32" s="3" t="n">
        <v>9</v>
      </c>
      <c r="L32" s="3" t="n">
        <v>4</v>
      </c>
      <c r="M32" s="3" t="n">
        <v>4</v>
      </c>
      <c r="N32" s="3" t="n">
        <v>6</v>
      </c>
      <c r="O32" s="3" t="n">
        <v>8</v>
      </c>
      <c r="P32" s="3" t="n">
        <v>2</v>
      </c>
      <c r="Q32" s="3" t="n">
        <v>2</v>
      </c>
      <c r="R32" s="3" t="n">
        <v>9</v>
      </c>
      <c r="S32" s="3" t="n">
        <v>4</v>
      </c>
      <c r="T32" s="3" t="n">
        <v>7</v>
      </c>
      <c r="U32" s="3" t="n">
        <v>5</v>
      </c>
      <c r="V32" s="3" t="n">
        <v>2</v>
      </c>
      <c r="W32" s="3" t="n">
        <v>5</v>
      </c>
      <c r="X32" s="3" t="n">
        <v>9</v>
      </c>
      <c r="Y32" s="3" t="n">
        <v>6</v>
      </c>
      <c r="Z32" s="3" t="n">
        <v>6</v>
      </c>
      <c r="AA32" s="3" t="n">
        <v>0</v>
      </c>
      <c r="AB32" s="3" t="n">
        <v>0</v>
      </c>
      <c r="AC32" s="3" t="n">
        <v>5</v>
      </c>
      <c r="AD32" s="3" t="n">
        <f aca="false">SUM(E32:AC32)</f>
        <v>112</v>
      </c>
    </row>
    <row r="33" customFormat="false" ht="21.75" hidden="false" customHeight="true" outlineLevel="0" collapsed="false">
      <c r="A33" s="3" t="n">
        <v>32</v>
      </c>
      <c r="B33" s="3" t="s">
        <v>221</v>
      </c>
      <c r="C33" s="4" t="s">
        <v>222</v>
      </c>
      <c r="D33" s="3" t="s">
        <v>223</v>
      </c>
      <c r="E33" s="3" t="n">
        <v>3</v>
      </c>
      <c r="F33" s="3" t="n">
        <v>7</v>
      </c>
      <c r="G33" s="3" t="n">
        <v>3</v>
      </c>
      <c r="H33" s="3" t="n">
        <v>6</v>
      </c>
      <c r="I33" s="3" t="n">
        <v>10</v>
      </c>
      <c r="J33" s="3" t="n">
        <v>5</v>
      </c>
      <c r="K33" s="3" t="n">
        <v>8</v>
      </c>
      <c r="L33" s="3" t="n">
        <v>3</v>
      </c>
      <c r="M33" s="3" t="n">
        <v>2</v>
      </c>
      <c r="N33" s="3" t="n">
        <v>8</v>
      </c>
      <c r="O33" s="3" t="n">
        <v>2</v>
      </c>
      <c r="P33" s="3" t="n">
        <v>2</v>
      </c>
      <c r="Q33" s="3" t="n">
        <v>9</v>
      </c>
      <c r="R33" s="3" t="n">
        <v>4</v>
      </c>
      <c r="S33" s="3" t="n">
        <v>9</v>
      </c>
      <c r="T33" s="3" t="n">
        <v>4</v>
      </c>
      <c r="U33" s="3" t="n">
        <v>4</v>
      </c>
      <c r="V33" s="3" t="n">
        <v>2</v>
      </c>
      <c r="W33" s="3" t="n">
        <v>10</v>
      </c>
      <c r="X33" s="3" t="n">
        <v>4</v>
      </c>
      <c r="Y33" s="3" t="n">
        <v>3</v>
      </c>
      <c r="Z33" s="3" t="n">
        <v>5</v>
      </c>
      <c r="AA33" s="3" t="n">
        <v>9</v>
      </c>
      <c r="AB33" s="3" t="n">
        <v>0</v>
      </c>
      <c r="AC33" s="3" t="n">
        <v>10</v>
      </c>
      <c r="AD33" s="3" t="n">
        <f aca="false">SUM(E33:AC33)</f>
        <v>132</v>
      </c>
    </row>
    <row r="34" customFormat="false" ht="21.75" hidden="false" customHeight="true" outlineLevel="0" collapsed="false">
      <c r="A34" s="3" t="n">
        <v>33</v>
      </c>
      <c r="B34" s="3" t="s">
        <v>224</v>
      </c>
      <c r="C34" s="4" t="s">
        <v>225</v>
      </c>
      <c r="D34" s="3" t="s">
        <v>226</v>
      </c>
      <c r="E34" s="3" t="n">
        <v>10</v>
      </c>
      <c r="F34" s="3" t="n">
        <v>7</v>
      </c>
      <c r="G34" s="3" t="n">
        <v>5</v>
      </c>
      <c r="H34" s="3" t="n">
        <v>0</v>
      </c>
      <c r="I34" s="3" t="n">
        <v>10</v>
      </c>
      <c r="J34" s="3" t="n">
        <v>1</v>
      </c>
      <c r="K34" s="3" t="n">
        <v>8</v>
      </c>
      <c r="L34" s="3" t="n">
        <v>9</v>
      </c>
      <c r="M34" s="3" t="n">
        <v>9</v>
      </c>
      <c r="N34" s="3" t="n">
        <v>5</v>
      </c>
      <c r="O34" s="3" t="n">
        <v>7</v>
      </c>
      <c r="P34" s="3" t="n">
        <v>2</v>
      </c>
      <c r="Q34" s="3" t="n">
        <v>7</v>
      </c>
      <c r="R34" s="3" t="n">
        <v>7</v>
      </c>
      <c r="S34" s="3" t="n">
        <v>10</v>
      </c>
      <c r="T34" s="3" t="n">
        <v>2</v>
      </c>
      <c r="U34" s="3" t="n">
        <v>8</v>
      </c>
      <c r="V34" s="3" t="n">
        <v>8</v>
      </c>
      <c r="W34" s="3" t="n">
        <v>10</v>
      </c>
      <c r="X34" s="3" t="n">
        <v>8</v>
      </c>
      <c r="Y34" s="3" t="n">
        <v>7</v>
      </c>
      <c r="Z34" s="3" t="n">
        <v>1</v>
      </c>
      <c r="AA34" s="3" t="n">
        <v>3</v>
      </c>
      <c r="AB34" s="3" t="n">
        <v>2</v>
      </c>
      <c r="AC34" s="3" t="n">
        <v>4</v>
      </c>
      <c r="AD34" s="3" t="n">
        <f aca="false">SUM(E34:AC34)</f>
        <v>150</v>
      </c>
    </row>
    <row r="35" customFormat="false" ht="21.75" hidden="false" customHeight="true" outlineLevel="0" collapsed="false">
      <c r="A35" s="3" t="n">
        <v>34</v>
      </c>
      <c r="B35" s="3" t="s">
        <v>227</v>
      </c>
      <c r="C35" s="4" t="s">
        <v>228</v>
      </c>
      <c r="D35" s="3" t="s">
        <v>229</v>
      </c>
      <c r="E35" s="3" t="n">
        <v>8</v>
      </c>
      <c r="F35" s="3" t="n">
        <v>7</v>
      </c>
      <c r="G35" s="3" t="n">
        <v>7</v>
      </c>
      <c r="H35" s="3" t="n">
        <v>8</v>
      </c>
      <c r="I35" s="3" t="n">
        <v>9</v>
      </c>
      <c r="J35" s="3" t="n">
        <v>7</v>
      </c>
      <c r="K35" s="3" t="n">
        <v>9</v>
      </c>
      <c r="L35" s="3" t="n">
        <v>6</v>
      </c>
      <c r="M35" s="3" t="n">
        <v>9</v>
      </c>
      <c r="N35" s="3" t="n">
        <v>1</v>
      </c>
      <c r="O35" s="3" t="n">
        <v>3</v>
      </c>
      <c r="P35" s="3" t="n">
        <v>6</v>
      </c>
      <c r="Q35" s="3" t="n">
        <v>0</v>
      </c>
      <c r="R35" s="3" t="n">
        <v>2</v>
      </c>
      <c r="S35" s="3" t="n">
        <v>8</v>
      </c>
      <c r="T35" s="3" t="n">
        <v>10</v>
      </c>
      <c r="U35" s="3" t="n">
        <v>7</v>
      </c>
      <c r="V35" s="3" t="n">
        <v>8</v>
      </c>
      <c r="W35" s="3" t="n">
        <v>6</v>
      </c>
      <c r="X35" s="3" t="n">
        <v>2</v>
      </c>
      <c r="Y35" s="3" t="n">
        <v>9</v>
      </c>
      <c r="Z35" s="3" t="n">
        <v>10</v>
      </c>
      <c r="AA35" s="3" t="n">
        <v>8</v>
      </c>
      <c r="AB35" s="3" t="n">
        <v>6</v>
      </c>
      <c r="AC35" s="3" t="n">
        <v>1</v>
      </c>
      <c r="AD35" s="3" t="n">
        <f aca="false">SUM(E35:AC35)</f>
        <v>157</v>
      </c>
    </row>
    <row r="36" customFormat="false" ht="21.75" hidden="false" customHeight="true" outlineLevel="0" collapsed="false">
      <c r="A36" s="3" t="n">
        <v>35</v>
      </c>
      <c r="B36" s="3" t="s">
        <v>230</v>
      </c>
      <c r="C36" s="4" t="s">
        <v>231</v>
      </c>
      <c r="D36" s="3" t="s">
        <v>232</v>
      </c>
      <c r="E36" s="3" t="n">
        <v>8</v>
      </c>
      <c r="F36" s="3" t="n">
        <v>3</v>
      </c>
      <c r="G36" s="3" t="n">
        <v>2</v>
      </c>
      <c r="H36" s="3" t="n">
        <v>3</v>
      </c>
      <c r="I36" s="3" t="n">
        <v>6</v>
      </c>
      <c r="J36" s="3" t="n">
        <v>5</v>
      </c>
      <c r="K36" s="3" t="n">
        <v>7</v>
      </c>
      <c r="L36" s="3" t="n">
        <v>4</v>
      </c>
      <c r="M36" s="3" t="n">
        <v>6</v>
      </c>
      <c r="N36" s="3" t="n">
        <v>1</v>
      </c>
      <c r="O36" s="3" t="n">
        <v>1</v>
      </c>
      <c r="P36" s="3" t="n">
        <v>0</v>
      </c>
      <c r="Q36" s="3" t="n">
        <v>3</v>
      </c>
      <c r="R36" s="3" t="n">
        <v>10</v>
      </c>
      <c r="S36" s="3" t="n">
        <v>1</v>
      </c>
      <c r="T36" s="3" t="n">
        <v>2</v>
      </c>
      <c r="U36" s="3" t="n">
        <v>2</v>
      </c>
      <c r="V36" s="3" t="n">
        <v>1</v>
      </c>
      <c r="W36" s="3" t="n">
        <v>2</v>
      </c>
      <c r="X36" s="3" t="n">
        <v>7</v>
      </c>
      <c r="Y36" s="3" t="n">
        <v>6</v>
      </c>
      <c r="Z36" s="3" t="n">
        <v>7</v>
      </c>
      <c r="AA36" s="3" t="n">
        <v>7</v>
      </c>
      <c r="AB36" s="3" t="n">
        <v>5</v>
      </c>
      <c r="AC36" s="3" t="n">
        <v>1</v>
      </c>
      <c r="AD36" s="3" t="n">
        <f aca="false">SUM(E36:AC36)</f>
        <v>100</v>
      </c>
    </row>
    <row r="37" customFormat="false" ht="21.75" hidden="false" customHeight="true" outlineLevel="0" collapsed="false">
      <c r="A37" s="3" t="n">
        <v>36</v>
      </c>
      <c r="B37" s="3" t="s">
        <v>233</v>
      </c>
      <c r="C37" s="4" t="s">
        <v>234</v>
      </c>
      <c r="D37" s="3" t="s">
        <v>235</v>
      </c>
      <c r="E37" s="3" t="n">
        <v>5</v>
      </c>
      <c r="F37" s="3" t="n">
        <v>5</v>
      </c>
      <c r="G37" s="3" t="n">
        <v>8</v>
      </c>
      <c r="H37" s="3" t="n">
        <v>5</v>
      </c>
      <c r="I37" s="3" t="n">
        <v>7</v>
      </c>
      <c r="J37" s="3" t="n">
        <v>3</v>
      </c>
      <c r="K37" s="3" t="n">
        <v>6</v>
      </c>
      <c r="L37" s="3" t="n">
        <v>1</v>
      </c>
      <c r="M37" s="3" t="n">
        <v>8</v>
      </c>
      <c r="N37" s="3" t="n">
        <v>2</v>
      </c>
      <c r="O37" s="3" t="n">
        <v>10</v>
      </c>
      <c r="P37" s="3" t="n">
        <v>2</v>
      </c>
      <c r="Q37" s="3" t="n">
        <v>5</v>
      </c>
      <c r="R37" s="3" t="n">
        <v>3</v>
      </c>
      <c r="S37" s="3" t="n">
        <v>7</v>
      </c>
      <c r="T37" s="3" t="n">
        <v>4</v>
      </c>
      <c r="U37" s="3" t="n">
        <v>9</v>
      </c>
      <c r="V37" s="3" t="n">
        <v>6</v>
      </c>
      <c r="W37" s="3" t="n">
        <v>4</v>
      </c>
      <c r="X37" s="3" t="n">
        <v>1</v>
      </c>
      <c r="Y37" s="3" t="n">
        <v>8</v>
      </c>
      <c r="Z37" s="3" t="n">
        <v>10</v>
      </c>
      <c r="AA37" s="3" t="n">
        <v>6</v>
      </c>
      <c r="AB37" s="3" t="n">
        <v>0</v>
      </c>
      <c r="AC37" s="3" t="n">
        <v>5</v>
      </c>
      <c r="AD37" s="3" t="n">
        <f aca="false">SUM(E37:AC37)</f>
        <v>130</v>
      </c>
    </row>
    <row r="38" customFormat="false" ht="21.75" hidden="false" customHeight="true" outlineLevel="0" collapsed="false">
      <c r="A38" s="3" t="n">
        <v>37</v>
      </c>
      <c r="B38" s="3" t="s">
        <v>236</v>
      </c>
      <c r="C38" s="4" t="s">
        <v>237</v>
      </c>
      <c r="D38" s="3" t="s">
        <v>238</v>
      </c>
      <c r="E38" s="3" t="n">
        <v>8</v>
      </c>
      <c r="F38" s="3" t="n">
        <v>7</v>
      </c>
      <c r="G38" s="3" t="n">
        <v>3</v>
      </c>
      <c r="H38" s="3" t="n">
        <v>0</v>
      </c>
      <c r="I38" s="3" t="n">
        <v>0</v>
      </c>
      <c r="J38" s="3" t="n">
        <v>6</v>
      </c>
      <c r="K38" s="3" t="n">
        <v>8</v>
      </c>
      <c r="L38" s="3" t="n">
        <v>6</v>
      </c>
      <c r="M38" s="3" t="n">
        <v>2</v>
      </c>
      <c r="N38" s="3" t="n">
        <v>9</v>
      </c>
      <c r="O38" s="3" t="n">
        <v>0</v>
      </c>
      <c r="P38" s="3" t="n">
        <v>10</v>
      </c>
      <c r="Q38" s="3" t="n">
        <v>8</v>
      </c>
      <c r="R38" s="3" t="n">
        <v>10</v>
      </c>
      <c r="S38" s="3" t="n">
        <v>9</v>
      </c>
      <c r="T38" s="3" t="n">
        <v>2</v>
      </c>
      <c r="U38" s="3" t="n">
        <v>0</v>
      </c>
      <c r="V38" s="3" t="n">
        <v>0</v>
      </c>
      <c r="W38" s="3" t="n">
        <v>8</v>
      </c>
      <c r="X38" s="3" t="n">
        <v>3</v>
      </c>
      <c r="Y38" s="3" t="n">
        <v>4</v>
      </c>
      <c r="Z38" s="3" t="n">
        <v>6</v>
      </c>
      <c r="AA38" s="3" t="n">
        <v>3</v>
      </c>
      <c r="AB38" s="3" t="n">
        <v>5</v>
      </c>
      <c r="AC38" s="3" t="n">
        <v>0</v>
      </c>
      <c r="AD38" s="3" t="n">
        <f aca="false">SUM(E38:AC38)</f>
        <v>117</v>
      </c>
    </row>
    <row r="39" customFormat="false" ht="21.75" hidden="false" customHeight="true" outlineLevel="0" collapsed="false">
      <c r="A39" s="3" t="n">
        <v>38</v>
      </c>
      <c r="B39" s="3" t="s">
        <v>239</v>
      </c>
      <c r="C39" s="4" t="s">
        <v>240</v>
      </c>
      <c r="D39" s="3" t="s">
        <v>241</v>
      </c>
      <c r="E39" s="3" t="n">
        <v>4</v>
      </c>
      <c r="F39" s="3" t="n">
        <v>2</v>
      </c>
      <c r="G39" s="3" t="n">
        <v>9</v>
      </c>
      <c r="H39" s="3" t="n">
        <v>2</v>
      </c>
      <c r="I39" s="3" t="n">
        <v>4</v>
      </c>
      <c r="J39" s="3" t="n">
        <v>0</v>
      </c>
      <c r="K39" s="3" t="n">
        <v>0</v>
      </c>
      <c r="L39" s="3" t="n">
        <v>10</v>
      </c>
      <c r="M39" s="3" t="n">
        <v>3</v>
      </c>
      <c r="N39" s="3" t="n">
        <v>10</v>
      </c>
      <c r="O39" s="3" t="n">
        <v>9</v>
      </c>
      <c r="P39" s="3" t="n">
        <v>0</v>
      </c>
      <c r="Q39" s="3" t="n">
        <v>10</v>
      </c>
      <c r="R39" s="3" t="n">
        <v>4</v>
      </c>
      <c r="S39" s="3" t="n">
        <v>9</v>
      </c>
      <c r="T39" s="3" t="n">
        <v>3</v>
      </c>
      <c r="U39" s="3" t="n">
        <v>6</v>
      </c>
      <c r="V39" s="3" t="n">
        <v>2</v>
      </c>
      <c r="W39" s="3" t="n">
        <v>3</v>
      </c>
      <c r="X39" s="3" t="n">
        <v>2</v>
      </c>
      <c r="Y39" s="3" t="n">
        <v>10</v>
      </c>
      <c r="Z39" s="3" t="n">
        <v>6</v>
      </c>
      <c r="AA39" s="3" t="n">
        <v>6</v>
      </c>
      <c r="AB39" s="3" t="n">
        <v>8</v>
      </c>
      <c r="AC39" s="3" t="n">
        <v>1</v>
      </c>
      <c r="AD39" s="3" t="n">
        <f aca="false">SUM(E39:AC39)</f>
        <v>123</v>
      </c>
    </row>
    <row r="40" customFormat="false" ht="21.75" hidden="false" customHeight="true" outlineLevel="0" collapsed="false">
      <c r="A40" s="3" t="n">
        <v>39</v>
      </c>
      <c r="B40" s="3" t="s">
        <v>242</v>
      </c>
      <c r="C40" s="4" t="s">
        <v>243</v>
      </c>
      <c r="D40" s="3" t="s">
        <v>244</v>
      </c>
      <c r="E40" s="3" t="n">
        <v>7</v>
      </c>
      <c r="F40" s="3" t="n">
        <v>2</v>
      </c>
      <c r="G40" s="3" t="n">
        <v>0</v>
      </c>
      <c r="H40" s="3" t="n">
        <v>6</v>
      </c>
      <c r="I40" s="3" t="n">
        <v>7</v>
      </c>
      <c r="J40" s="3" t="n">
        <v>0</v>
      </c>
      <c r="K40" s="3" t="n">
        <v>10</v>
      </c>
      <c r="L40" s="3" t="n">
        <v>3</v>
      </c>
      <c r="M40" s="3" t="n">
        <v>9</v>
      </c>
      <c r="N40" s="3" t="n">
        <v>10</v>
      </c>
      <c r="O40" s="3" t="n">
        <v>0</v>
      </c>
      <c r="P40" s="3" t="n">
        <v>10</v>
      </c>
      <c r="Q40" s="3" t="n">
        <v>4</v>
      </c>
      <c r="R40" s="3" t="n">
        <v>8</v>
      </c>
      <c r="S40" s="3" t="n">
        <v>0</v>
      </c>
      <c r="T40" s="3" t="n">
        <v>10</v>
      </c>
      <c r="U40" s="3" t="n">
        <v>4</v>
      </c>
      <c r="V40" s="3" t="n">
        <v>8</v>
      </c>
      <c r="W40" s="3" t="n">
        <v>7</v>
      </c>
      <c r="X40" s="3" t="n">
        <v>5</v>
      </c>
      <c r="Y40" s="3" t="n">
        <v>8</v>
      </c>
      <c r="Z40" s="3" t="n">
        <v>8</v>
      </c>
      <c r="AA40" s="3" t="n">
        <v>10</v>
      </c>
      <c r="AB40" s="3" t="n">
        <v>6</v>
      </c>
      <c r="AC40" s="3" t="n">
        <v>3</v>
      </c>
      <c r="AD40" s="3" t="n">
        <f aca="false">SUM(E40:AC40)</f>
        <v>145</v>
      </c>
    </row>
    <row r="41" customFormat="false" ht="21.75" hidden="false" customHeight="true" outlineLevel="0" collapsed="false">
      <c r="A41" s="3"/>
      <c r="B41" s="3"/>
      <c r="C41" s="3"/>
      <c r="D41" s="3"/>
      <c r="E41" s="3" t="n">
        <v>7</v>
      </c>
      <c r="F41" s="3" t="n">
        <v>5</v>
      </c>
      <c r="G41" s="3" t="n">
        <v>4</v>
      </c>
      <c r="H41" s="3" t="n">
        <v>8</v>
      </c>
      <c r="I41" s="3" t="n">
        <v>10</v>
      </c>
      <c r="J41" s="3" t="n">
        <v>10</v>
      </c>
      <c r="K41" s="3" t="n">
        <v>8</v>
      </c>
      <c r="L41" s="3" t="n">
        <v>6</v>
      </c>
      <c r="M41" s="3" t="n">
        <v>9</v>
      </c>
      <c r="N41" s="3" t="n">
        <v>5</v>
      </c>
      <c r="O41" s="3" t="n">
        <v>10</v>
      </c>
      <c r="P41" s="3" t="n">
        <v>2</v>
      </c>
      <c r="Q41" s="3" t="n">
        <v>10</v>
      </c>
      <c r="R41" s="3" t="n">
        <v>9</v>
      </c>
      <c r="S41" s="3" t="n">
        <v>8</v>
      </c>
      <c r="T41" s="3" t="n">
        <v>0</v>
      </c>
      <c r="U41" s="3" t="n">
        <v>10</v>
      </c>
      <c r="V41" s="3" t="n">
        <v>10</v>
      </c>
      <c r="W41" s="3" t="n">
        <v>1</v>
      </c>
      <c r="X41" s="3" t="n">
        <v>5</v>
      </c>
      <c r="Y41" s="3" t="n">
        <v>7</v>
      </c>
      <c r="Z41" s="3" t="n">
        <v>3</v>
      </c>
      <c r="AA41" s="3" t="n">
        <v>7</v>
      </c>
      <c r="AB41" s="3" t="n">
        <v>6</v>
      </c>
      <c r="AC41" s="3" t="n">
        <v>9</v>
      </c>
      <c r="AD41" s="3" t="n">
        <v>10</v>
      </c>
    </row>
    <row r="42" customFormat="false" ht="21.75" hidden="false" customHeight="true" outlineLevel="0" collapsed="false">
      <c r="A42" s="3"/>
      <c r="B42" s="3"/>
      <c r="C42" s="3"/>
      <c r="D42" s="3"/>
      <c r="E42" s="3" t="n">
        <v>10</v>
      </c>
      <c r="F42" s="3" t="n">
        <v>2</v>
      </c>
      <c r="G42" s="3" t="n">
        <v>8</v>
      </c>
      <c r="H42" s="3" t="n">
        <v>10</v>
      </c>
      <c r="I42" s="3" t="n">
        <v>0</v>
      </c>
      <c r="J42" s="3" t="n">
        <v>4</v>
      </c>
      <c r="K42" s="3" t="n">
        <v>0</v>
      </c>
      <c r="L42" s="3" t="n">
        <v>3</v>
      </c>
      <c r="M42" s="3" t="n">
        <v>2</v>
      </c>
      <c r="N42" s="3" t="n">
        <v>6</v>
      </c>
      <c r="O42" s="3" t="n">
        <v>3</v>
      </c>
      <c r="P42" s="3" t="n">
        <v>7</v>
      </c>
      <c r="Q42" s="3" t="n">
        <v>6</v>
      </c>
      <c r="R42" s="3" t="n">
        <v>6</v>
      </c>
      <c r="S42" s="3" t="n">
        <v>1</v>
      </c>
      <c r="T42" s="3" t="n">
        <v>8</v>
      </c>
      <c r="U42" s="3" t="n">
        <v>2</v>
      </c>
      <c r="V42" s="3" t="n">
        <v>6</v>
      </c>
      <c r="W42" s="3" t="n">
        <v>4</v>
      </c>
      <c r="X42" s="3" t="n">
        <v>2</v>
      </c>
      <c r="Y42" s="3" t="n">
        <v>0</v>
      </c>
      <c r="Z42" s="3" t="n">
        <v>8</v>
      </c>
      <c r="AA42" s="3" t="n">
        <v>10</v>
      </c>
      <c r="AB42" s="3" t="n">
        <v>2</v>
      </c>
      <c r="AC42" s="3" t="n">
        <v>7</v>
      </c>
      <c r="AD42" s="3" t="n">
        <v>8</v>
      </c>
    </row>
  </sheetData>
  <autoFilter ref="A1:AD42"/>
  <conditionalFormatting sqref="B1:D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38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P18" activeCellId="0" sqref="P1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30" min="5" style="0" width="11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683</v>
      </c>
      <c r="F1" s="1" t="s">
        <v>684</v>
      </c>
      <c r="G1" s="1" t="s">
        <v>685</v>
      </c>
      <c r="H1" s="1" t="s">
        <v>686</v>
      </c>
      <c r="I1" s="1" t="s">
        <v>687</v>
      </c>
      <c r="J1" s="1" t="s">
        <v>688</v>
      </c>
      <c r="K1" s="1" t="s">
        <v>689</v>
      </c>
      <c r="L1" s="1" t="s">
        <v>690</v>
      </c>
      <c r="M1" s="1" t="s">
        <v>691</v>
      </c>
      <c r="N1" s="1" t="s">
        <v>692</v>
      </c>
      <c r="O1" s="1" t="s">
        <v>693</v>
      </c>
      <c r="P1" s="1" t="s">
        <v>694</v>
      </c>
      <c r="Q1" s="1" t="s">
        <v>695</v>
      </c>
      <c r="R1" s="1" t="s">
        <v>696</v>
      </c>
      <c r="S1" s="1" t="s">
        <v>697</v>
      </c>
      <c r="T1" s="1" t="s">
        <v>698</v>
      </c>
      <c r="U1" s="1" t="s">
        <v>699</v>
      </c>
      <c r="V1" s="1" t="s">
        <v>700</v>
      </c>
      <c r="W1" s="1" t="s">
        <v>701</v>
      </c>
      <c r="X1" s="1" t="s">
        <v>702</v>
      </c>
      <c r="Y1" s="1" t="s">
        <v>703</v>
      </c>
      <c r="Z1" s="1" t="s">
        <v>704</v>
      </c>
      <c r="AA1" s="1" t="s">
        <v>705</v>
      </c>
      <c r="AB1" s="1" t="s">
        <v>706</v>
      </c>
      <c r="AC1" s="1" t="s">
        <v>707</v>
      </c>
      <c r="AD1" s="1" t="s">
        <v>708</v>
      </c>
    </row>
    <row r="2" customFormat="false" ht="21.75" hidden="false" customHeight="true" outlineLevel="0" collapsed="false">
      <c r="A2" s="3" t="n">
        <v>1</v>
      </c>
      <c r="B2" s="3" t="s">
        <v>249</v>
      </c>
      <c r="C2" s="4" t="s">
        <v>250</v>
      </c>
      <c r="D2" s="3" t="s">
        <v>251</v>
      </c>
      <c r="E2" s="3" t="n">
        <v>7</v>
      </c>
      <c r="F2" s="3" t="n">
        <v>7</v>
      </c>
      <c r="G2" s="3" t="n">
        <v>10</v>
      </c>
      <c r="H2" s="3" t="n">
        <v>7</v>
      </c>
      <c r="I2" s="3" t="n">
        <v>1</v>
      </c>
      <c r="J2" s="3" t="n">
        <v>9</v>
      </c>
      <c r="K2" s="3" t="n">
        <v>2</v>
      </c>
      <c r="L2" s="3" t="n">
        <v>1</v>
      </c>
      <c r="M2" s="3" t="n">
        <v>3</v>
      </c>
      <c r="N2" s="3" t="n">
        <v>10</v>
      </c>
      <c r="O2" s="3" t="n">
        <v>2</v>
      </c>
      <c r="P2" s="3" t="n">
        <v>8</v>
      </c>
      <c r="Q2" s="3" t="n">
        <v>10</v>
      </c>
      <c r="R2" s="3" t="n">
        <v>6</v>
      </c>
      <c r="S2" s="3" t="n">
        <v>3</v>
      </c>
      <c r="T2" s="3" t="n">
        <v>0</v>
      </c>
      <c r="U2" s="3" t="n">
        <v>7</v>
      </c>
      <c r="V2" s="3" t="n">
        <v>10</v>
      </c>
      <c r="W2" s="3" t="n">
        <v>3</v>
      </c>
      <c r="X2" s="3" t="n">
        <v>0</v>
      </c>
      <c r="Y2" s="3" t="n">
        <v>4</v>
      </c>
      <c r="Z2" s="3" t="n">
        <v>2</v>
      </c>
      <c r="AA2" s="3" t="n">
        <v>4</v>
      </c>
      <c r="AB2" s="3" t="n">
        <v>0</v>
      </c>
      <c r="AC2" s="3" t="n">
        <v>6</v>
      </c>
      <c r="AD2" s="3" t="n">
        <f aca="false">SUM(E2:AC2)</f>
        <v>122</v>
      </c>
    </row>
    <row r="3" customFormat="false" ht="21.75" hidden="false" customHeight="true" outlineLevel="0" collapsed="false">
      <c r="A3" s="3" t="n">
        <v>2</v>
      </c>
      <c r="B3" s="3" t="s">
        <v>252</v>
      </c>
      <c r="C3" s="4" t="s">
        <v>253</v>
      </c>
      <c r="D3" s="3" t="s">
        <v>254</v>
      </c>
      <c r="E3" s="3" t="n">
        <v>7</v>
      </c>
      <c r="F3" s="3" t="n">
        <v>10</v>
      </c>
      <c r="G3" s="3" t="n">
        <v>10</v>
      </c>
      <c r="H3" s="3" t="n">
        <v>1</v>
      </c>
      <c r="I3" s="3" t="n">
        <v>6</v>
      </c>
      <c r="J3" s="3" t="n">
        <v>2</v>
      </c>
      <c r="K3" s="3" t="n">
        <v>0</v>
      </c>
      <c r="L3" s="3" t="n">
        <v>3</v>
      </c>
      <c r="M3" s="3" t="n">
        <v>4</v>
      </c>
      <c r="N3" s="3" t="n">
        <v>5</v>
      </c>
      <c r="O3" s="3" t="n">
        <v>5</v>
      </c>
      <c r="P3" s="3" t="n">
        <v>3</v>
      </c>
      <c r="Q3" s="3" t="n">
        <v>5</v>
      </c>
      <c r="R3" s="3" t="n">
        <v>0</v>
      </c>
      <c r="S3" s="3" t="n">
        <v>6</v>
      </c>
      <c r="T3" s="3" t="n">
        <v>8</v>
      </c>
      <c r="U3" s="3" t="n">
        <v>1</v>
      </c>
      <c r="V3" s="3" t="n">
        <v>10</v>
      </c>
      <c r="W3" s="3" t="n">
        <v>7</v>
      </c>
      <c r="X3" s="3" t="n">
        <v>7</v>
      </c>
      <c r="Y3" s="3" t="n">
        <v>10</v>
      </c>
      <c r="Z3" s="3" t="n">
        <v>1</v>
      </c>
      <c r="AA3" s="3" t="n">
        <v>8</v>
      </c>
      <c r="AB3" s="3" t="n">
        <v>0</v>
      </c>
      <c r="AC3" s="3" t="n">
        <v>7</v>
      </c>
      <c r="AD3" s="3" t="n">
        <f aca="false">SUM(E3:AC3)</f>
        <v>126</v>
      </c>
    </row>
    <row r="4" customFormat="false" ht="21.75" hidden="false" customHeight="true" outlineLevel="0" collapsed="false">
      <c r="A4" s="3" t="n">
        <v>3</v>
      </c>
      <c r="B4" s="3" t="s">
        <v>255</v>
      </c>
      <c r="C4" s="4" t="s">
        <v>256</v>
      </c>
      <c r="D4" s="3" t="s">
        <v>257</v>
      </c>
      <c r="E4" s="3" t="n">
        <v>7</v>
      </c>
      <c r="F4" s="3" t="n">
        <v>1</v>
      </c>
      <c r="G4" s="3" t="n">
        <v>1</v>
      </c>
      <c r="H4" s="3" t="n">
        <v>2</v>
      </c>
      <c r="I4" s="3" t="n">
        <v>8</v>
      </c>
      <c r="J4" s="3" t="n">
        <v>8</v>
      </c>
      <c r="K4" s="3" t="n">
        <v>3</v>
      </c>
      <c r="L4" s="3" t="n">
        <v>3</v>
      </c>
      <c r="M4" s="3" t="n">
        <v>7</v>
      </c>
      <c r="N4" s="3" t="n">
        <v>8</v>
      </c>
      <c r="O4" s="3" t="n">
        <v>2</v>
      </c>
      <c r="P4" s="3" t="n">
        <v>10</v>
      </c>
      <c r="Q4" s="3" t="n">
        <v>10</v>
      </c>
      <c r="R4" s="3" t="n">
        <v>7</v>
      </c>
      <c r="S4" s="3" t="n">
        <v>3</v>
      </c>
      <c r="T4" s="3" t="n">
        <v>9</v>
      </c>
      <c r="U4" s="3" t="n">
        <v>4</v>
      </c>
      <c r="V4" s="3" t="n">
        <v>10</v>
      </c>
      <c r="W4" s="3" t="n">
        <v>2</v>
      </c>
      <c r="X4" s="3" t="n">
        <v>10</v>
      </c>
      <c r="Y4" s="3" t="n">
        <v>1</v>
      </c>
      <c r="Z4" s="3" t="n">
        <v>2</v>
      </c>
      <c r="AA4" s="3" t="n">
        <v>1</v>
      </c>
      <c r="AB4" s="3" t="n">
        <v>6</v>
      </c>
      <c r="AC4" s="3" t="n">
        <v>8</v>
      </c>
      <c r="AD4" s="3" t="n">
        <f aca="false">SUM(E4:AC4)</f>
        <v>133</v>
      </c>
    </row>
    <row r="5" customFormat="false" ht="21.75" hidden="false" customHeight="true" outlineLevel="0" collapsed="false">
      <c r="A5" s="3" t="n">
        <v>4</v>
      </c>
      <c r="B5" s="3" t="s">
        <v>258</v>
      </c>
      <c r="C5" s="4" t="s">
        <v>259</v>
      </c>
      <c r="D5" s="3" t="s">
        <v>260</v>
      </c>
      <c r="E5" s="3" t="n">
        <v>7</v>
      </c>
      <c r="F5" s="3" t="n">
        <v>9</v>
      </c>
      <c r="G5" s="3" t="n">
        <v>9</v>
      </c>
      <c r="H5" s="3" t="n">
        <v>10</v>
      </c>
      <c r="I5" s="3" t="n">
        <v>1</v>
      </c>
      <c r="J5" s="3" t="n">
        <v>7</v>
      </c>
      <c r="K5" s="3" t="n">
        <v>8</v>
      </c>
      <c r="L5" s="3" t="n">
        <v>8</v>
      </c>
      <c r="M5" s="3" t="n">
        <v>7</v>
      </c>
      <c r="N5" s="3" t="n">
        <v>0</v>
      </c>
      <c r="O5" s="3" t="n">
        <v>2</v>
      </c>
      <c r="P5" s="3" t="n">
        <v>3</v>
      </c>
      <c r="Q5" s="3" t="n">
        <v>6</v>
      </c>
      <c r="R5" s="3" t="n">
        <v>8</v>
      </c>
      <c r="S5" s="3" t="n">
        <v>4</v>
      </c>
      <c r="T5" s="3" t="n">
        <v>4</v>
      </c>
      <c r="U5" s="3" t="n">
        <v>3</v>
      </c>
      <c r="V5" s="3" t="n">
        <v>10</v>
      </c>
      <c r="W5" s="3" t="n">
        <v>5</v>
      </c>
      <c r="X5" s="3" t="n">
        <v>0</v>
      </c>
      <c r="Y5" s="3" t="n">
        <v>8</v>
      </c>
      <c r="Z5" s="3" t="n">
        <v>7</v>
      </c>
      <c r="AA5" s="3" t="n">
        <v>0</v>
      </c>
      <c r="AB5" s="3" t="n">
        <v>9</v>
      </c>
      <c r="AC5" s="3" t="n">
        <v>7</v>
      </c>
      <c r="AD5" s="3" t="n">
        <f aca="false">SUM(E5:AC5)</f>
        <v>142</v>
      </c>
    </row>
    <row r="6" customFormat="false" ht="21.75" hidden="false" customHeight="true" outlineLevel="0" collapsed="false">
      <c r="A6" s="3" t="n">
        <v>5</v>
      </c>
      <c r="B6" s="3" t="s">
        <v>261</v>
      </c>
      <c r="C6" s="4" t="s">
        <v>262</v>
      </c>
      <c r="D6" s="3" t="s">
        <v>263</v>
      </c>
      <c r="E6" s="3" t="n">
        <v>7</v>
      </c>
      <c r="F6" s="3" t="n">
        <v>7</v>
      </c>
      <c r="G6" s="3" t="n">
        <v>0</v>
      </c>
      <c r="H6" s="3" t="n">
        <v>5</v>
      </c>
      <c r="I6" s="3" t="n">
        <v>3</v>
      </c>
      <c r="J6" s="3" t="n">
        <v>7</v>
      </c>
      <c r="K6" s="3" t="n">
        <v>5</v>
      </c>
      <c r="L6" s="3" t="n">
        <v>4</v>
      </c>
      <c r="M6" s="3" t="n">
        <v>1</v>
      </c>
      <c r="N6" s="3" t="n">
        <v>5</v>
      </c>
      <c r="O6" s="3" t="n">
        <v>2</v>
      </c>
      <c r="P6" s="3" t="n">
        <v>4</v>
      </c>
      <c r="Q6" s="3" t="n">
        <v>5</v>
      </c>
      <c r="R6" s="3" t="n">
        <v>1</v>
      </c>
      <c r="S6" s="3" t="n">
        <v>0</v>
      </c>
      <c r="T6" s="3" t="n">
        <v>2</v>
      </c>
      <c r="U6" s="3" t="n">
        <v>2</v>
      </c>
      <c r="V6" s="3" t="n">
        <v>4</v>
      </c>
      <c r="W6" s="3" t="n">
        <v>2</v>
      </c>
      <c r="X6" s="3" t="n">
        <v>3</v>
      </c>
      <c r="Y6" s="3" t="n">
        <v>5</v>
      </c>
      <c r="Z6" s="3" t="n">
        <v>8</v>
      </c>
      <c r="AA6" s="3" t="n">
        <v>7</v>
      </c>
      <c r="AB6" s="3" t="n">
        <v>1</v>
      </c>
      <c r="AC6" s="3" t="n">
        <v>1</v>
      </c>
      <c r="AD6" s="3" t="n">
        <f aca="false">SUM(E6:AC6)</f>
        <v>91</v>
      </c>
    </row>
    <row r="7" customFormat="false" ht="21.75" hidden="false" customHeight="true" outlineLevel="0" collapsed="false">
      <c r="A7" s="3" t="n">
        <v>6</v>
      </c>
      <c r="B7" s="3" t="s">
        <v>264</v>
      </c>
      <c r="C7" s="4" t="s">
        <v>265</v>
      </c>
      <c r="D7" s="3" t="s">
        <v>266</v>
      </c>
      <c r="E7" s="3" t="n">
        <v>8</v>
      </c>
      <c r="F7" s="3" t="n">
        <v>4</v>
      </c>
      <c r="G7" s="3" t="n">
        <v>10</v>
      </c>
      <c r="H7" s="3" t="n">
        <v>2</v>
      </c>
      <c r="I7" s="3" t="n">
        <v>2</v>
      </c>
      <c r="J7" s="3" t="n">
        <v>5</v>
      </c>
      <c r="K7" s="3" t="n">
        <v>2</v>
      </c>
      <c r="L7" s="3" t="n">
        <v>0</v>
      </c>
      <c r="M7" s="3" t="n">
        <v>1</v>
      </c>
      <c r="N7" s="3" t="n">
        <v>8</v>
      </c>
      <c r="O7" s="3" t="n">
        <v>3</v>
      </c>
      <c r="P7" s="3" t="n">
        <v>1</v>
      </c>
      <c r="Q7" s="3" t="n">
        <v>0</v>
      </c>
      <c r="R7" s="3" t="n">
        <v>8</v>
      </c>
      <c r="S7" s="3" t="n">
        <v>2</v>
      </c>
      <c r="T7" s="3" t="n">
        <v>0</v>
      </c>
      <c r="U7" s="3" t="n">
        <v>8</v>
      </c>
      <c r="V7" s="3" t="n">
        <v>3</v>
      </c>
      <c r="W7" s="3" t="n">
        <v>8</v>
      </c>
      <c r="X7" s="3" t="n">
        <v>3</v>
      </c>
      <c r="Y7" s="3" t="n">
        <v>7</v>
      </c>
      <c r="Z7" s="3" t="n">
        <v>7</v>
      </c>
      <c r="AA7" s="3" t="n">
        <v>0</v>
      </c>
      <c r="AB7" s="3" t="n">
        <v>3</v>
      </c>
      <c r="AC7" s="3" t="n">
        <v>10</v>
      </c>
      <c r="AD7" s="3" t="n">
        <f aca="false">SUM(E7:AC7)</f>
        <v>105</v>
      </c>
    </row>
    <row r="8" customFormat="false" ht="21.75" hidden="false" customHeight="true" outlineLevel="0" collapsed="false">
      <c r="A8" s="3" t="n">
        <v>7</v>
      </c>
      <c r="B8" s="3" t="s">
        <v>267</v>
      </c>
      <c r="C8" s="4" t="s">
        <v>268</v>
      </c>
      <c r="D8" s="3" t="s">
        <v>269</v>
      </c>
      <c r="E8" s="3" t="n">
        <v>7</v>
      </c>
      <c r="F8" s="3" t="n">
        <v>8</v>
      </c>
      <c r="G8" s="3" t="n">
        <v>8</v>
      </c>
      <c r="H8" s="3" t="n">
        <v>1</v>
      </c>
      <c r="I8" s="3" t="n">
        <v>10</v>
      </c>
      <c r="J8" s="3" t="n">
        <v>3</v>
      </c>
      <c r="K8" s="3" t="n">
        <v>1</v>
      </c>
      <c r="L8" s="3" t="n">
        <v>2</v>
      </c>
      <c r="M8" s="3" t="n">
        <v>6</v>
      </c>
      <c r="N8" s="3" t="n">
        <v>10</v>
      </c>
      <c r="O8" s="3" t="n">
        <v>2</v>
      </c>
      <c r="P8" s="3" t="n">
        <v>7</v>
      </c>
      <c r="Q8" s="3" t="n">
        <v>2</v>
      </c>
      <c r="R8" s="3" t="n">
        <v>0</v>
      </c>
      <c r="S8" s="3" t="n">
        <v>4</v>
      </c>
      <c r="T8" s="3" t="n">
        <v>2</v>
      </c>
      <c r="U8" s="3" t="n">
        <v>5</v>
      </c>
      <c r="V8" s="3" t="n">
        <v>0</v>
      </c>
      <c r="W8" s="3" t="n">
        <v>7</v>
      </c>
      <c r="X8" s="3" t="n">
        <v>6</v>
      </c>
      <c r="Y8" s="3" t="n">
        <v>1</v>
      </c>
      <c r="Z8" s="3" t="n">
        <v>0</v>
      </c>
      <c r="AA8" s="3" t="n">
        <v>6</v>
      </c>
      <c r="AB8" s="3" t="n">
        <v>5</v>
      </c>
      <c r="AC8" s="3" t="n">
        <v>0</v>
      </c>
      <c r="AD8" s="3" t="n">
        <f aca="false">SUM(E8:AC8)</f>
        <v>103</v>
      </c>
    </row>
    <row r="9" customFormat="false" ht="21.75" hidden="false" customHeight="true" outlineLevel="0" collapsed="false">
      <c r="A9" s="3" t="n">
        <v>8</v>
      </c>
      <c r="B9" s="3" t="s">
        <v>270</v>
      </c>
      <c r="C9" s="4" t="s">
        <v>271</v>
      </c>
      <c r="D9" s="3" t="s">
        <v>272</v>
      </c>
      <c r="E9" s="3" t="n">
        <v>7</v>
      </c>
      <c r="F9" s="3" t="n">
        <v>1</v>
      </c>
      <c r="G9" s="3" t="n">
        <v>5</v>
      </c>
      <c r="H9" s="3" t="n">
        <v>10</v>
      </c>
      <c r="I9" s="3" t="n">
        <v>0</v>
      </c>
      <c r="J9" s="3" t="n">
        <v>9</v>
      </c>
      <c r="K9" s="3" t="n">
        <v>5</v>
      </c>
      <c r="L9" s="3" t="n">
        <v>4</v>
      </c>
      <c r="M9" s="3" t="n">
        <v>8</v>
      </c>
      <c r="N9" s="3" t="n">
        <v>2</v>
      </c>
      <c r="O9" s="3" t="n">
        <v>10</v>
      </c>
      <c r="P9" s="3" t="n">
        <v>2</v>
      </c>
      <c r="Q9" s="3" t="n">
        <v>8</v>
      </c>
      <c r="R9" s="3" t="n">
        <v>5</v>
      </c>
      <c r="S9" s="3" t="n">
        <v>6</v>
      </c>
      <c r="T9" s="3" t="n">
        <v>2</v>
      </c>
      <c r="U9" s="3" t="n">
        <v>7</v>
      </c>
      <c r="V9" s="3" t="n">
        <v>10</v>
      </c>
      <c r="W9" s="3" t="n">
        <v>9</v>
      </c>
      <c r="X9" s="3" t="n">
        <v>0</v>
      </c>
      <c r="Y9" s="3" t="n">
        <v>9</v>
      </c>
      <c r="Z9" s="3" t="n">
        <v>8</v>
      </c>
      <c r="AA9" s="3" t="n">
        <v>7</v>
      </c>
      <c r="AB9" s="3" t="n">
        <v>4</v>
      </c>
      <c r="AC9" s="3" t="n">
        <v>9</v>
      </c>
      <c r="AD9" s="3" t="n">
        <f aca="false">SUM(E9:AC9)</f>
        <v>147</v>
      </c>
    </row>
    <row r="10" customFormat="false" ht="21.75" hidden="false" customHeight="true" outlineLevel="0" collapsed="false">
      <c r="A10" s="3" t="n">
        <v>9</v>
      </c>
      <c r="B10" s="3" t="s">
        <v>273</v>
      </c>
      <c r="C10" s="4" t="s">
        <v>274</v>
      </c>
      <c r="D10" s="3" t="s">
        <v>275</v>
      </c>
      <c r="E10" s="3" t="n">
        <v>7</v>
      </c>
      <c r="F10" s="3" t="n">
        <v>4</v>
      </c>
      <c r="G10" s="3" t="n">
        <v>8</v>
      </c>
      <c r="H10" s="3" t="n">
        <v>6</v>
      </c>
      <c r="I10" s="3" t="n">
        <v>4</v>
      </c>
      <c r="J10" s="3" t="n">
        <v>1</v>
      </c>
      <c r="K10" s="3" t="n">
        <v>3</v>
      </c>
      <c r="L10" s="3" t="n">
        <v>7</v>
      </c>
      <c r="M10" s="3" t="n">
        <v>2</v>
      </c>
      <c r="N10" s="3" t="n">
        <v>5</v>
      </c>
      <c r="O10" s="3" t="n">
        <v>6</v>
      </c>
      <c r="P10" s="3" t="n">
        <v>1</v>
      </c>
      <c r="Q10" s="3" t="n">
        <v>2</v>
      </c>
      <c r="R10" s="3" t="n">
        <v>2</v>
      </c>
      <c r="S10" s="3" t="n">
        <v>3</v>
      </c>
      <c r="T10" s="3" t="n">
        <v>2</v>
      </c>
      <c r="U10" s="3" t="n">
        <v>1</v>
      </c>
      <c r="V10" s="3" t="n">
        <v>8</v>
      </c>
      <c r="W10" s="3" t="n">
        <v>7</v>
      </c>
      <c r="X10" s="3" t="n">
        <v>8</v>
      </c>
      <c r="Y10" s="3" t="n">
        <v>0</v>
      </c>
      <c r="Z10" s="3" t="n">
        <v>3</v>
      </c>
      <c r="AA10" s="3" t="n">
        <v>0</v>
      </c>
      <c r="AB10" s="3" t="n">
        <v>2</v>
      </c>
      <c r="AC10" s="3" t="n">
        <v>3</v>
      </c>
      <c r="AD10" s="3" t="n">
        <f aca="false">SUM(E10:AC10)</f>
        <v>95</v>
      </c>
    </row>
    <row r="11" customFormat="false" ht="21.75" hidden="false" customHeight="true" outlineLevel="0" collapsed="false">
      <c r="A11" s="3" t="n">
        <v>10</v>
      </c>
      <c r="B11" s="3" t="s">
        <v>276</v>
      </c>
      <c r="C11" s="4" t="s">
        <v>277</v>
      </c>
      <c r="D11" s="3" t="s">
        <v>278</v>
      </c>
      <c r="E11" s="3" t="n">
        <v>6</v>
      </c>
      <c r="F11" s="3" t="n">
        <v>1</v>
      </c>
      <c r="G11" s="3" t="n">
        <v>4</v>
      </c>
      <c r="H11" s="3" t="n">
        <v>5</v>
      </c>
      <c r="I11" s="3" t="n">
        <v>2</v>
      </c>
      <c r="J11" s="3" t="n">
        <v>0</v>
      </c>
      <c r="K11" s="3" t="n">
        <v>6</v>
      </c>
      <c r="L11" s="3" t="n">
        <v>8</v>
      </c>
      <c r="M11" s="3" t="n">
        <v>9</v>
      </c>
      <c r="N11" s="3" t="n">
        <v>6</v>
      </c>
      <c r="O11" s="3" t="n">
        <v>3</v>
      </c>
      <c r="P11" s="3" t="n">
        <v>5</v>
      </c>
      <c r="Q11" s="3" t="n">
        <v>1</v>
      </c>
      <c r="R11" s="3" t="n">
        <v>9</v>
      </c>
      <c r="S11" s="3" t="n">
        <v>3</v>
      </c>
      <c r="T11" s="3" t="n">
        <v>2</v>
      </c>
      <c r="U11" s="3" t="n">
        <v>8</v>
      </c>
      <c r="V11" s="3" t="n">
        <v>10</v>
      </c>
      <c r="W11" s="3" t="n">
        <v>2</v>
      </c>
      <c r="X11" s="3" t="n">
        <v>5</v>
      </c>
      <c r="Y11" s="3" t="n">
        <v>2</v>
      </c>
      <c r="Z11" s="3" t="n">
        <v>1</v>
      </c>
      <c r="AA11" s="3" t="n">
        <v>3</v>
      </c>
      <c r="AB11" s="3" t="n">
        <v>6</v>
      </c>
      <c r="AC11" s="3" t="n">
        <v>7</v>
      </c>
      <c r="AD11" s="3" t="n">
        <f aca="false">SUM(E11:AC11)</f>
        <v>114</v>
      </c>
    </row>
    <row r="12" customFormat="false" ht="21.75" hidden="false" customHeight="true" outlineLevel="0" collapsed="false">
      <c r="A12" s="3" t="n">
        <v>11</v>
      </c>
      <c r="B12" s="3" t="s">
        <v>279</v>
      </c>
      <c r="C12" s="4" t="s">
        <v>280</v>
      </c>
      <c r="D12" s="3" t="s">
        <v>281</v>
      </c>
      <c r="E12" s="3" t="n">
        <v>3</v>
      </c>
      <c r="F12" s="3" t="n">
        <v>3</v>
      </c>
      <c r="G12" s="3" t="n">
        <v>5</v>
      </c>
      <c r="H12" s="3" t="n">
        <v>5</v>
      </c>
      <c r="I12" s="3" t="n">
        <v>9</v>
      </c>
      <c r="J12" s="3" t="n">
        <v>6</v>
      </c>
      <c r="K12" s="3" t="n">
        <v>8</v>
      </c>
      <c r="L12" s="3" t="n">
        <v>1</v>
      </c>
      <c r="M12" s="3" t="n">
        <v>9</v>
      </c>
      <c r="N12" s="3" t="n">
        <v>8</v>
      </c>
      <c r="O12" s="3" t="n">
        <v>0</v>
      </c>
      <c r="P12" s="3" t="n">
        <v>3</v>
      </c>
      <c r="Q12" s="3" t="n">
        <v>2</v>
      </c>
      <c r="R12" s="3" t="n">
        <v>7</v>
      </c>
      <c r="S12" s="3" t="n">
        <v>9</v>
      </c>
      <c r="T12" s="3" t="n">
        <v>2</v>
      </c>
      <c r="U12" s="3" t="n">
        <v>10</v>
      </c>
      <c r="V12" s="3" t="n">
        <v>5</v>
      </c>
      <c r="W12" s="3" t="n">
        <v>10</v>
      </c>
      <c r="X12" s="3" t="n">
        <v>9</v>
      </c>
      <c r="Y12" s="3" t="n">
        <v>3</v>
      </c>
      <c r="Z12" s="3" t="n">
        <v>9</v>
      </c>
      <c r="AA12" s="3" t="n">
        <v>10</v>
      </c>
      <c r="AB12" s="3" t="n">
        <v>10</v>
      </c>
      <c r="AC12" s="3" t="n">
        <v>6</v>
      </c>
      <c r="AD12" s="3" t="n">
        <f aca="false">SUM(E12:AC12)</f>
        <v>152</v>
      </c>
    </row>
    <row r="13" customFormat="false" ht="21.75" hidden="false" customHeight="true" outlineLevel="0" collapsed="false">
      <c r="A13" s="3" t="n">
        <v>12</v>
      </c>
      <c r="B13" s="3" t="s">
        <v>282</v>
      </c>
      <c r="C13" s="4" t="s">
        <v>283</v>
      </c>
      <c r="D13" s="3" t="s">
        <v>284</v>
      </c>
      <c r="E13" s="3" t="n">
        <v>7</v>
      </c>
      <c r="F13" s="3" t="n">
        <v>4</v>
      </c>
      <c r="G13" s="3" t="n">
        <v>2</v>
      </c>
      <c r="H13" s="3" t="n">
        <v>0</v>
      </c>
      <c r="I13" s="3" t="n">
        <v>6</v>
      </c>
      <c r="J13" s="3" t="n">
        <v>4</v>
      </c>
      <c r="K13" s="3" t="n">
        <v>4</v>
      </c>
      <c r="L13" s="3" t="n">
        <v>8</v>
      </c>
      <c r="M13" s="3" t="n">
        <v>0</v>
      </c>
      <c r="N13" s="3" t="n">
        <v>3</v>
      </c>
      <c r="O13" s="3" t="n">
        <v>9</v>
      </c>
      <c r="P13" s="3" t="n">
        <v>10</v>
      </c>
      <c r="Q13" s="3" t="n">
        <v>3</v>
      </c>
      <c r="R13" s="3" t="n">
        <v>8</v>
      </c>
      <c r="S13" s="3" t="n">
        <v>0</v>
      </c>
      <c r="T13" s="3" t="n">
        <v>2</v>
      </c>
      <c r="U13" s="3" t="n">
        <v>10</v>
      </c>
      <c r="V13" s="3" t="n">
        <v>10</v>
      </c>
      <c r="W13" s="3" t="n">
        <v>4</v>
      </c>
      <c r="X13" s="3" t="n">
        <v>3</v>
      </c>
      <c r="Y13" s="3" t="n">
        <v>5</v>
      </c>
      <c r="Z13" s="3" t="n">
        <v>2</v>
      </c>
      <c r="AA13" s="3" t="n">
        <v>1</v>
      </c>
      <c r="AB13" s="3" t="n">
        <v>4</v>
      </c>
      <c r="AC13" s="3" t="n">
        <v>5</v>
      </c>
      <c r="AD13" s="3" t="n">
        <f aca="false">SUM(E13:AC13)</f>
        <v>114</v>
      </c>
    </row>
    <row r="14" customFormat="false" ht="21.75" hidden="false" customHeight="true" outlineLevel="0" collapsed="false">
      <c r="A14" s="3" t="n">
        <v>13</v>
      </c>
      <c r="B14" s="3" t="s">
        <v>285</v>
      </c>
      <c r="C14" s="4" t="s">
        <v>286</v>
      </c>
      <c r="D14" s="3" t="s">
        <v>287</v>
      </c>
      <c r="E14" s="3" t="n">
        <v>7</v>
      </c>
      <c r="F14" s="3" t="n">
        <v>0</v>
      </c>
      <c r="G14" s="3" t="n">
        <v>9</v>
      </c>
      <c r="H14" s="3" t="n">
        <v>7</v>
      </c>
      <c r="I14" s="3" t="n">
        <v>9</v>
      </c>
      <c r="J14" s="3" t="n">
        <v>0</v>
      </c>
      <c r="K14" s="3" t="n">
        <v>8</v>
      </c>
      <c r="L14" s="3" t="n">
        <v>6</v>
      </c>
      <c r="M14" s="3" t="n">
        <v>7</v>
      </c>
      <c r="N14" s="3" t="n">
        <v>5</v>
      </c>
      <c r="O14" s="3" t="n">
        <v>3</v>
      </c>
      <c r="P14" s="3" t="n">
        <v>6</v>
      </c>
      <c r="Q14" s="3" t="n">
        <v>1</v>
      </c>
      <c r="R14" s="3" t="n">
        <v>5</v>
      </c>
      <c r="S14" s="3" t="n">
        <v>1</v>
      </c>
      <c r="T14" s="3" t="n">
        <v>2</v>
      </c>
      <c r="U14" s="3" t="n">
        <v>10</v>
      </c>
      <c r="V14" s="3" t="n">
        <v>6</v>
      </c>
      <c r="W14" s="3" t="n">
        <v>2</v>
      </c>
      <c r="X14" s="3" t="n">
        <v>8</v>
      </c>
      <c r="Y14" s="3" t="n">
        <v>0</v>
      </c>
      <c r="Z14" s="3" t="n">
        <v>6</v>
      </c>
      <c r="AA14" s="3" t="n">
        <v>4</v>
      </c>
      <c r="AB14" s="3" t="n">
        <v>5</v>
      </c>
      <c r="AC14" s="3" t="n">
        <v>7</v>
      </c>
      <c r="AD14" s="3" t="n">
        <f aca="false">SUM(E14:AC14)</f>
        <v>124</v>
      </c>
    </row>
    <row r="15" customFormat="false" ht="21.75" hidden="false" customHeight="true" outlineLevel="0" collapsed="false">
      <c r="A15" s="3" t="n">
        <v>14</v>
      </c>
      <c r="B15" s="3" t="s">
        <v>288</v>
      </c>
      <c r="C15" s="4" t="s">
        <v>289</v>
      </c>
      <c r="D15" s="3" t="s">
        <v>290</v>
      </c>
      <c r="E15" s="3" t="n">
        <v>7</v>
      </c>
      <c r="F15" s="3" t="n">
        <v>1</v>
      </c>
      <c r="G15" s="3" t="n">
        <v>5</v>
      </c>
      <c r="H15" s="3" t="n">
        <v>5</v>
      </c>
      <c r="I15" s="3" t="n">
        <v>8</v>
      </c>
      <c r="J15" s="3" t="n">
        <v>10</v>
      </c>
      <c r="K15" s="3" t="n">
        <v>3</v>
      </c>
      <c r="L15" s="3" t="n">
        <v>10</v>
      </c>
      <c r="M15" s="3" t="n">
        <v>9</v>
      </c>
      <c r="N15" s="3" t="n">
        <v>8</v>
      </c>
      <c r="O15" s="3" t="n">
        <v>2</v>
      </c>
      <c r="P15" s="3" t="n">
        <v>8</v>
      </c>
      <c r="Q15" s="3" t="n">
        <v>5</v>
      </c>
      <c r="R15" s="3" t="n">
        <v>6</v>
      </c>
      <c r="S15" s="3" t="n">
        <v>9</v>
      </c>
      <c r="T15" s="3" t="n">
        <v>7</v>
      </c>
      <c r="U15" s="3" t="n">
        <v>4</v>
      </c>
      <c r="V15" s="3" t="n">
        <v>9</v>
      </c>
      <c r="W15" s="3" t="n">
        <v>2</v>
      </c>
      <c r="X15" s="3" t="n">
        <v>10</v>
      </c>
      <c r="Y15" s="3" t="n">
        <v>3</v>
      </c>
      <c r="Z15" s="3" t="n">
        <v>8</v>
      </c>
      <c r="AA15" s="3" t="n">
        <v>0</v>
      </c>
      <c r="AB15" s="3" t="n">
        <v>6</v>
      </c>
      <c r="AC15" s="3" t="n">
        <v>8</v>
      </c>
      <c r="AD15" s="3" t="n">
        <f aca="false">SUM(E15:AC15)</f>
        <v>153</v>
      </c>
    </row>
    <row r="16" customFormat="false" ht="21.75" hidden="false" customHeight="true" outlineLevel="0" collapsed="false">
      <c r="A16" s="3" t="n">
        <v>15</v>
      </c>
      <c r="B16" s="3" t="s">
        <v>291</v>
      </c>
      <c r="C16" s="4" t="s">
        <v>292</v>
      </c>
      <c r="D16" s="3" t="s">
        <v>293</v>
      </c>
      <c r="E16" s="3" t="n">
        <v>4</v>
      </c>
      <c r="F16" s="3" t="n">
        <v>7</v>
      </c>
      <c r="G16" s="3" t="n">
        <v>9</v>
      </c>
      <c r="H16" s="3" t="n">
        <v>8</v>
      </c>
      <c r="I16" s="3" t="n">
        <v>1</v>
      </c>
      <c r="J16" s="3" t="n">
        <v>0</v>
      </c>
      <c r="K16" s="3" t="n">
        <v>1</v>
      </c>
      <c r="L16" s="3" t="n">
        <v>8</v>
      </c>
      <c r="M16" s="3" t="n">
        <v>7</v>
      </c>
      <c r="N16" s="3" t="n">
        <v>8</v>
      </c>
      <c r="O16" s="3" t="n">
        <v>9</v>
      </c>
      <c r="P16" s="3" t="n">
        <v>3</v>
      </c>
      <c r="Q16" s="3" t="n">
        <v>5</v>
      </c>
      <c r="R16" s="3" t="n">
        <v>0</v>
      </c>
      <c r="S16" s="3" t="n">
        <v>6</v>
      </c>
      <c r="T16" s="3" t="n">
        <v>5</v>
      </c>
      <c r="U16" s="3" t="n">
        <v>6</v>
      </c>
      <c r="V16" s="3" t="n">
        <v>10</v>
      </c>
      <c r="W16" s="3" t="n">
        <v>2</v>
      </c>
      <c r="X16" s="3" t="n">
        <v>4</v>
      </c>
      <c r="Y16" s="3" t="n">
        <v>8</v>
      </c>
      <c r="Z16" s="3" t="n">
        <v>2</v>
      </c>
      <c r="AA16" s="3" t="n">
        <v>3</v>
      </c>
      <c r="AB16" s="3" t="n">
        <v>3</v>
      </c>
      <c r="AC16" s="3" t="n">
        <v>3</v>
      </c>
      <c r="AD16" s="3" t="n">
        <f aca="false">SUM(E16:AC16)</f>
        <v>122</v>
      </c>
    </row>
    <row r="17" customFormat="false" ht="21.75" hidden="false" customHeight="true" outlineLevel="0" collapsed="false">
      <c r="A17" s="3" t="n">
        <v>16</v>
      </c>
      <c r="B17" s="3" t="s">
        <v>294</v>
      </c>
      <c r="C17" s="4" t="s">
        <v>295</v>
      </c>
      <c r="D17" s="3" t="s">
        <v>296</v>
      </c>
      <c r="E17" s="3" t="n">
        <v>7</v>
      </c>
      <c r="F17" s="3" t="n">
        <v>4</v>
      </c>
      <c r="G17" s="3" t="n">
        <v>4</v>
      </c>
      <c r="H17" s="3" t="n">
        <v>8</v>
      </c>
      <c r="I17" s="3" t="n">
        <v>5</v>
      </c>
      <c r="J17" s="3" t="n">
        <v>8</v>
      </c>
      <c r="K17" s="3" t="n">
        <v>3</v>
      </c>
      <c r="L17" s="3" t="n">
        <v>3</v>
      </c>
      <c r="M17" s="3" t="n">
        <v>9</v>
      </c>
      <c r="N17" s="3" t="n">
        <v>9</v>
      </c>
      <c r="O17" s="3" t="n">
        <v>7</v>
      </c>
      <c r="P17" s="3" t="n">
        <v>10</v>
      </c>
      <c r="Q17" s="3" t="n">
        <v>15</v>
      </c>
      <c r="R17" s="3" t="n">
        <v>3</v>
      </c>
      <c r="S17" s="3" t="n">
        <v>8</v>
      </c>
      <c r="T17" s="3" t="n">
        <v>7</v>
      </c>
      <c r="U17" s="3" t="n">
        <v>0</v>
      </c>
      <c r="V17" s="3" t="n">
        <v>10</v>
      </c>
      <c r="W17" s="3" t="n">
        <v>2</v>
      </c>
      <c r="X17" s="3" t="n">
        <v>0</v>
      </c>
      <c r="Y17" s="3" t="n">
        <v>9</v>
      </c>
      <c r="Z17" s="3" t="n">
        <v>9</v>
      </c>
      <c r="AA17" s="3" t="n">
        <v>3</v>
      </c>
      <c r="AB17" s="3" t="n">
        <v>10</v>
      </c>
      <c r="AC17" s="3" t="n">
        <v>2</v>
      </c>
      <c r="AD17" s="3" t="n">
        <f aca="false">SUM(E17:AC17)</f>
        <v>155</v>
      </c>
    </row>
    <row r="18" customFormat="false" ht="21.75" hidden="false" customHeight="true" outlineLevel="0" collapsed="false">
      <c r="A18" s="3" t="n">
        <v>17</v>
      </c>
      <c r="B18" s="3" t="s">
        <v>297</v>
      </c>
      <c r="C18" s="4" t="s">
        <v>298</v>
      </c>
      <c r="D18" s="3" t="s">
        <v>299</v>
      </c>
      <c r="E18" s="3" t="n">
        <v>7</v>
      </c>
      <c r="F18" s="3" t="n">
        <v>9</v>
      </c>
      <c r="G18" s="3" t="n">
        <v>8</v>
      </c>
      <c r="H18" s="3" t="n">
        <v>4</v>
      </c>
      <c r="I18" s="3" t="n">
        <v>6</v>
      </c>
      <c r="J18" s="3" t="n">
        <v>1</v>
      </c>
      <c r="K18" s="3" t="n">
        <v>3</v>
      </c>
      <c r="L18" s="3" t="n">
        <v>2</v>
      </c>
      <c r="M18" s="3" t="n">
        <v>8</v>
      </c>
      <c r="N18" s="3" t="n">
        <v>1</v>
      </c>
      <c r="O18" s="3" t="n">
        <v>2</v>
      </c>
      <c r="P18" s="3" t="n">
        <v>15</v>
      </c>
      <c r="Q18" s="3" t="n">
        <v>0</v>
      </c>
      <c r="R18" s="3" t="n">
        <v>10</v>
      </c>
      <c r="S18" s="3" t="n">
        <v>3</v>
      </c>
      <c r="T18" s="3" t="n">
        <v>6</v>
      </c>
      <c r="U18" s="3" t="n">
        <v>2</v>
      </c>
      <c r="V18" s="3" t="n">
        <v>8</v>
      </c>
      <c r="W18" s="3" t="n">
        <v>9</v>
      </c>
      <c r="X18" s="3" t="n">
        <v>4</v>
      </c>
      <c r="Y18" s="3" t="n">
        <v>7</v>
      </c>
      <c r="Z18" s="3" t="n">
        <v>1</v>
      </c>
      <c r="AA18" s="3" t="n">
        <v>4</v>
      </c>
      <c r="AB18" s="3" t="n">
        <v>10</v>
      </c>
      <c r="AC18" s="3" t="n">
        <v>10</v>
      </c>
      <c r="AD18" s="3" t="n">
        <f aca="false">SUM(E18:AC18)</f>
        <v>140</v>
      </c>
    </row>
    <row r="19" customFormat="false" ht="21.75" hidden="false" customHeight="true" outlineLevel="0" collapsed="false">
      <c r="A19" s="3" t="n">
        <v>18</v>
      </c>
      <c r="B19" s="3" t="s">
        <v>300</v>
      </c>
      <c r="C19" s="4" t="s">
        <v>301</v>
      </c>
      <c r="D19" s="3" t="s">
        <v>302</v>
      </c>
      <c r="E19" s="3" t="n">
        <v>4</v>
      </c>
      <c r="F19" s="3" t="n">
        <v>2</v>
      </c>
      <c r="G19" s="3" t="n">
        <v>9</v>
      </c>
      <c r="H19" s="3" t="n">
        <v>1</v>
      </c>
      <c r="I19" s="3" t="n">
        <v>10</v>
      </c>
      <c r="J19" s="3" t="n">
        <v>7</v>
      </c>
      <c r="K19" s="3" t="n">
        <v>9</v>
      </c>
      <c r="L19" s="3" t="n">
        <v>1</v>
      </c>
      <c r="M19" s="3" t="n">
        <v>7</v>
      </c>
      <c r="N19" s="3" t="n">
        <v>0</v>
      </c>
      <c r="O19" s="3" t="n">
        <v>8</v>
      </c>
      <c r="P19" s="3" t="n">
        <v>0</v>
      </c>
      <c r="Q19" s="3" t="n">
        <v>4</v>
      </c>
      <c r="R19" s="3" t="n">
        <v>4</v>
      </c>
      <c r="S19" s="3" t="n">
        <v>2</v>
      </c>
      <c r="T19" s="3" t="n">
        <v>0</v>
      </c>
      <c r="U19" s="3" t="n">
        <v>2</v>
      </c>
      <c r="V19" s="3" t="n">
        <v>5</v>
      </c>
      <c r="W19" s="3" t="n">
        <v>1</v>
      </c>
      <c r="X19" s="3" t="n">
        <v>1</v>
      </c>
      <c r="Y19" s="3" t="n">
        <v>5</v>
      </c>
      <c r="Z19" s="3" t="n">
        <v>1</v>
      </c>
      <c r="AA19" s="3" t="n">
        <v>1</v>
      </c>
      <c r="AB19" s="3" t="n">
        <v>3</v>
      </c>
      <c r="AC19" s="3" t="n">
        <v>0</v>
      </c>
      <c r="AD19" s="3" t="n">
        <f aca="false">SUM(E19:AC19)</f>
        <v>87</v>
      </c>
    </row>
    <row r="20" customFormat="false" ht="21.75" hidden="false" customHeight="true" outlineLevel="0" collapsed="false">
      <c r="A20" s="3" t="n">
        <v>19</v>
      </c>
      <c r="B20" s="3" t="s">
        <v>303</v>
      </c>
      <c r="C20" s="4" t="s">
        <v>304</v>
      </c>
      <c r="D20" s="3" t="s">
        <v>305</v>
      </c>
      <c r="E20" s="3" t="n">
        <v>7</v>
      </c>
      <c r="F20" s="3" t="n">
        <v>2</v>
      </c>
      <c r="G20" s="3" t="n">
        <v>6</v>
      </c>
      <c r="H20" s="3" t="n">
        <v>9</v>
      </c>
      <c r="I20" s="3" t="n">
        <v>0</v>
      </c>
      <c r="J20" s="3" t="n">
        <v>7</v>
      </c>
      <c r="K20" s="3" t="n">
        <v>4</v>
      </c>
      <c r="L20" s="3" t="n">
        <v>8</v>
      </c>
      <c r="M20" s="3" t="n">
        <v>0</v>
      </c>
      <c r="N20" s="3" t="n">
        <v>4</v>
      </c>
      <c r="O20" s="3" t="n">
        <v>3</v>
      </c>
      <c r="P20" s="3" t="n">
        <v>3</v>
      </c>
      <c r="Q20" s="3" t="n">
        <v>10</v>
      </c>
      <c r="R20" s="3" t="n">
        <v>7</v>
      </c>
      <c r="S20" s="3" t="n">
        <v>3</v>
      </c>
      <c r="T20" s="3" t="n">
        <v>2</v>
      </c>
      <c r="U20" s="3" t="n">
        <v>10</v>
      </c>
      <c r="V20" s="3" t="n">
        <v>5</v>
      </c>
      <c r="W20" s="3" t="n">
        <v>4</v>
      </c>
      <c r="X20" s="3" t="n">
        <v>8</v>
      </c>
      <c r="Y20" s="3" t="n">
        <v>5</v>
      </c>
      <c r="Z20" s="3" t="n">
        <v>0</v>
      </c>
      <c r="AA20" s="3" t="n">
        <v>1</v>
      </c>
      <c r="AB20" s="3" t="n">
        <v>4</v>
      </c>
      <c r="AC20" s="3" t="n">
        <v>8</v>
      </c>
      <c r="AD20" s="3" t="n">
        <f aca="false">SUM(E20:AC20)</f>
        <v>120</v>
      </c>
    </row>
    <row r="21" customFormat="false" ht="21.75" hidden="false" customHeight="true" outlineLevel="0" collapsed="false">
      <c r="A21" s="3" t="n">
        <v>20</v>
      </c>
      <c r="B21" s="3" t="s">
        <v>306</v>
      </c>
      <c r="C21" s="4" t="s">
        <v>307</v>
      </c>
      <c r="D21" s="3" t="s">
        <v>308</v>
      </c>
      <c r="E21" s="3" t="n">
        <v>6</v>
      </c>
      <c r="F21" s="3" t="n">
        <v>5</v>
      </c>
      <c r="G21" s="3" t="n">
        <v>6</v>
      </c>
      <c r="H21" s="3" t="n">
        <v>7</v>
      </c>
      <c r="I21" s="3" t="n">
        <v>5</v>
      </c>
      <c r="J21" s="3" t="n">
        <v>8</v>
      </c>
      <c r="K21" s="3" t="n">
        <v>8</v>
      </c>
      <c r="L21" s="3" t="n">
        <v>9</v>
      </c>
      <c r="M21" s="3" t="n">
        <v>0</v>
      </c>
      <c r="N21" s="3" t="n">
        <v>6</v>
      </c>
      <c r="O21" s="3" t="n">
        <v>9</v>
      </c>
      <c r="P21" s="3" t="n">
        <v>10</v>
      </c>
      <c r="Q21" s="3" t="n">
        <v>6</v>
      </c>
      <c r="R21" s="3" t="n">
        <v>1</v>
      </c>
      <c r="S21" s="3" t="n">
        <v>4</v>
      </c>
      <c r="T21" s="3" t="n">
        <v>5</v>
      </c>
      <c r="U21" s="3" t="n">
        <v>7</v>
      </c>
      <c r="V21" s="3" t="n">
        <v>6</v>
      </c>
      <c r="W21" s="3" t="n">
        <v>2</v>
      </c>
      <c r="X21" s="3" t="n">
        <v>0</v>
      </c>
      <c r="Y21" s="3" t="n">
        <v>5</v>
      </c>
      <c r="Z21" s="3" t="n">
        <v>6</v>
      </c>
      <c r="AA21" s="3" t="n">
        <v>0</v>
      </c>
      <c r="AB21" s="3" t="n">
        <v>9</v>
      </c>
      <c r="AC21" s="3" t="n">
        <v>2</v>
      </c>
      <c r="AD21" s="3" t="n">
        <f aca="false">SUM(E21:AC21)</f>
        <v>132</v>
      </c>
    </row>
    <row r="22" customFormat="false" ht="21.75" hidden="false" customHeight="true" outlineLevel="0" collapsed="false">
      <c r="A22" s="3" t="n">
        <v>21</v>
      </c>
      <c r="B22" s="3" t="s">
        <v>309</v>
      </c>
      <c r="C22" s="4" t="s">
        <v>310</v>
      </c>
      <c r="D22" s="3" t="s">
        <v>311</v>
      </c>
      <c r="E22" s="3" t="n">
        <v>7</v>
      </c>
      <c r="F22" s="3" t="n">
        <v>6</v>
      </c>
      <c r="G22" s="3" t="n">
        <v>6</v>
      </c>
      <c r="H22" s="3" t="n">
        <v>2</v>
      </c>
      <c r="I22" s="3" t="n">
        <v>0</v>
      </c>
      <c r="J22" s="3" t="n">
        <v>8</v>
      </c>
      <c r="K22" s="3" t="n">
        <v>0</v>
      </c>
      <c r="L22" s="3" t="n">
        <v>9</v>
      </c>
      <c r="M22" s="3" t="n">
        <v>4</v>
      </c>
      <c r="N22" s="3" t="n">
        <v>10</v>
      </c>
      <c r="O22" s="3" t="n">
        <v>7</v>
      </c>
      <c r="P22" s="3" t="n">
        <v>0</v>
      </c>
      <c r="Q22" s="3" t="n">
        <v>7</v>
      </c>
      <c r="R22" s="3" t="n">
        <v>3</v>
      </c>
      <c r="S22" s="3" t="n">
        <v>8</v>
      </c>
      <c r="T22" s="3" t="n">
        <v>6</v>
      </c>
      <c r="U22" s="3" t="n">
        <v>0</v>
      </c>
      <c r="V22" s="3" t="n">
        <v>9</v>
      </c>
      <c r="W22" s="3" t="n">
        <v>1</v>
      </c>
      <c r="X22" s="3" t="n">
        <v>8</v>
      </c>
      <c r="Y22" s="3" t="n">
        <v>7</v>
      </c>
      <c r="Z22" s="3" t="n">
        <v>7</v>
      </c>
      <c r="AA22" s="3" t="n">
        <v>4</v>
      </c>
      <c r="AB22" s="3" t="n">
        <v>10</v>
      </c>
      <c r="AC22" s="3" t="n">
        <v>7</v>
      </c>
      <c r="AD22" s="3" t="n">
        <f aca="false">SUM(E22:AC22)</f>
        <v>136</v>
      </c>
    </row>
    <row r="23" customFormat="false" ht="21.75" hidden="false" customHeight="true" outlineLevel="0" collapsed="false">
      <c r="A23" s="3" t="n">
        <v>22</v>
      </c>
      <c r="B23" s="3" t="s">
        <v>312</v>
      </c>
      <c r="C23" s="4" t="s">
        <v>313</v>
      </c>
      <c r="D23" s="3" t="s">
        <v>314</v>
      </c>
      <c r="E23" s="3" t="n">
        <v>10</v>
      </c>
      <c r="F23" s="3" t="n">
        <v>5</v>
      </c>
      <c r="G23" s="3" t="n">
        <v>3</v>
      </c>
      <c r="H23" s="3" t="n">
        <v>9</v>
      </c>
      <c r="I23" s="3" t="n">
        <v>5</v>
      </c>
      <c r="J23" s="3" t="n">
        <v>0</v>
      </c>
      <c r="K23" s="3" t="n">
        <v>7</v>
      </c>
      <c r="L23" s="3" t="n">
        <v>8</v>
      </c>
      <c r="M23" s="3" t="n">
        <v>1</v>
      </c>
      <c r="N23" s="3" t="n">
        <v>2</v>
      </c>
      <c r="O23" s="3" t="n">
        <v>2</v>
      </c>
      <c r="P23" s="3" t="n">
        <v>7</v>
      </c>
      <c r="Q23" s="3" t="n">
        <v>8</v>
      </c>
      <c r="R23" s="3" t="n">
        <v>10</v>
      </c>
      <c r="S23" s="3" t="n">
        <v>4</v>
      </c>
      <c r="T23" s="3" t="n">
        <v>10</v>
      </c>
      <c r="U23" s="3" t="n">
        <v>9</v>
      </c>
      <c r="V23" s="3" t="n">
        <v>10</v>
      </c>
      <c r="W23" s="3" t="n">
        <v>2</v>
      </c>
      <c r="X23" s="3" t="n">
        <v>8</v>
      </c>
      <c r="Y23" s="3" t="n">
        <v>10</v>
      </c>
      <c r="Z23" s="3" t="n">
        <v>3</v>
      </c>
      <c r="AA23" s="3" t="n">
        <v>2</v>
      </c>
      <c r="AB23" s="3" t="n">
        <v>9</v>
      </c>
      <c r="AC23" s="3" t="n">
        <v>7</v>
      </c>
      <c r="AD23" s="3" t="n">
        <f aca="false">SUM(E23:AC23)</f>
        <v>151</v>
      </c>
    </row>
    <row r="24" customFormat="false" ht="21.75" hidden="false" customHeight="true" outlineLevel="0" collapsed="false">
      <c r="A24" s="3" t="n">
        <v>23</v>
      </c>
      <c r="B24" s="3" t="s">
        <v>315</v>
      </c>
      <c r="C24" s="4" t="s">
        <v>316</v>
      </c>
      <c r="D24" s="3" t="s">
        <v>317</v>
      </c>
      <c r="E24" s="3" t="n">
        <v>5</v>
      </c>
      <c r="F24" s="3" t="n">
        <v>3</v>
      </c>
      <c r="G24" s="3" t="n">
        <v>2</v>
      </c>
      <c r="H24" s="3" t="n">
        <v>6</v>
      </c>
      <c r="I24" s="3" t="n">
        <v>6</v>
      </c>
      <c r="J24" s="3" t="n">
        <v>9</v>
      </c>
      <c r="K24" s="3" t="n">
        <v>3</v>
      </c>
      <c r="L24" s="3" t="n">
        <v>10</v>
      </c>
      <c r="M24" s="3" t="n">
        <v>2</v>
      </c>
      <c r="N24" s="3" t="n">
        <v>8</v>
      </c>
      <c r="O24" s="3" t="n">
        <v>10</v>
      </c>
      <c r="P24" s="3" t="n">
        <v>4</v>
      </c>
      <c r="Q24" s="3" t="n">
        <v>15</v>
      </c>
      <c r="R24" s="3" t="n">
        <v>3</v>
      </c>
      <c r="S24" s="3" t="n">
        <v>7</v>
      </c>
      <c r="T24" s="3" t="n">
        <v>2</v>
      </c>
      <c r="U24" s="3" t="n">
        <v>5</v>
      </c>
      <c r="V24" s="3" t="n">
        <v>4</v>
      </c>
      <c r="W24" s="3" t="n">
        <v>2</v>
      </c>
      <c r="X24" s="3" t="n">
        <v>0</v>
      </c>
      <c r="Y24" s="3" t="n">
        <v>5</v>
      </c>
      <c r="Z24" s="3" t="n">
        <v>6</v>
      </c>
      <c r="AA24" s="3" t="n">
        <v>9</v>
      </c>
      <c r="AB24" s="3" t="n">
        <v>6</v>
      </c>
      <c r="AC24" s="3" t="n">
        <v>9</v>
      </c>
      <c r="AD24" s="3" t="n">
        <f aca="false">SUM(E24:AC24)</f>
        <v>141</v>
      </c>
    </row>
    <row r="25" customFormat="false" ht="21.75" hidden="false" customHeight="true" outlineLevel="0" collapsed="false">
      <c r="A25" s="3" t="n">
        <v>24</v>
      </c>
      <c r="B25" s="3" t="s">
        <v>318</v>
      </c>
      <c r="C25" s="4" t="s">
        <v>319</v>
      </c>
      <c r="D25" s="3" t="s">
        <v>320</v>
      </c>
      <c r="E25" s="3" t="n">
        <v>7</v>
      </c>
      <c r="F25" s="3" t="n">
        <v>2</v>
      </c>
      <c r="G25" s="3" t="n">
        <v>4</v>
      </c>
      <c r="H25" s="3" t="n">
        <v>4</v>
      </c>
      <c r="I25" s="3" t="n">
        <v>4</v>
      </c>
      <c r="J25" s="3" t="n">
        <v>6</v>
      </c>
      <c r="K25" s="3" t="n">
        <v>2</v>
      </c>
      <c r="L25" s="3" t="n">
        <v>7</v>
      </c>
      <c r="M25" s="3" t="n">
        <v>0</v>
      </c>
      <c r="N25" s="3" t="n">
        <v>3</v>
      </c>
      <c r="O25" s="3" t="n">
        <v>2</v>
      </c>
      <c r="P25" s="3" t="n">
        <v>7</v>
      </c>
      <c r="Q25" s="3" t="n">
        <v>0</v>
      </c>
      <c r="R25" s="3" t="n">
        <v>3</v>
      </c>
      <c r="S25" s="3" t="n">
        <v>7</v>
      </c>
      <c r="T25" s="3" t="n">
        <v>2</v>
      </c>
      <c r="U25" s="3" t="n">
        <v>0</v>
      </c>
      <c r="V25" s="3" t="n">
        <v>4</v>
      </c>
      <c r="W25" s="3" t="n">
        <v>7</v>
      </c>
      <c r="X25" s="3" t="n">
        <v>4</v>
      </c>
      <c r="Y25" s="3" t="n">
        <v>6</v>
      </c>
      <c r="Z25" s="3" t="n">
        <v>7</v>
      </c>
      <c r="AA25" s="3" t="n">
        <v>3</v>
      </c>
      <c r="AB25" s="3" t="n">
        <v>2</v>
      </c>
      <c r="AC25" s="3" t="n">
        <v>1</v>
      </c>
      <c r="AD25" s="3" t="n">
        <f aca="false">SUM(E25:AC25)</f>
        <v>94</v>
      </c>
    </row>
    <row r="26" customFormat="false" ht="21.75" hidden="false" customHeight="true" outlineLevel="0" collapsed="false">
      <c r="A26" s="3" t="n">
        <v>25</v>
      </c>
      <c r="B26" s="3" t="s">
        <v>321</v>
      </c>
      <c r="C26" s="4" t="s">
        <v>322</v>
      </c>
      <c r="D26" s="3" t="s">
        <v>323</v>
      </c>
      <c r="E26" s="3" t="n">
        <v>1</v>
      </c>
      <c r="F26" s="3" t="n">
        <v>6</v>
      </c>
      <c r="G26" s="3" t="n">
        <v>5</v>
      </c>
      <c r="H26" s="3" t="n">
        <v>2</v>
      </c>
      <c r="I26" s="3" t="n">
        <v>9</v>
      </c>
      <c r="J26" s="3" t="n">
        <v>6</v>
      </c>
      <c r="K26" s="3" t="n">
        <v>0</v>
      </c>
      <c r="L26" s="3" t="n">
        <v>8</v>
      </c>
      <c r="M26" s="3" t="n">
        <v>5</v>
      </c>
      <c r="N26" s="3" t="n">
        <v>1</v>
      </c>
      <c r="O26" s="3" t="n">
        <v>7</v>
      </c>
      <c r="P26" s="3" t="n">
        <v>1</v>
      </c>
      <c r="Q26" s="3" t="n">
        <v>4</v>
      </c>
      <c r="R26" s="3" t="n">
        <v>1</v>
      </c>
      <c r="S26" s="3" t="n">
        <v>10</v>
      </c>
      <c r="T26" s="3" t="n">
        <v>0</v>
      </c>
      <c r="U26" s="3" t="n">
        <v>8</v>
      </c>
      <c r="V26" s="3" t="n">
        <v>1</v>
      </c>
      <c r="W26" s="3" t="n">
        <v>0</v>
      </c>
      <c r="X26" s="3" t="n">
        <v>0</v>
      </c>
      <c r="Y26" s="3" t="n">
        <v>9</v>
      </c>
      <c r="Z26" s="3" t="n">
        <v>6</v>
      </c>
      <c r="AA26" s="3" t="n">
        <v>4</v>
      </c>
      <c r="AB26" s="3" t="n">
        <v>5</v>
      </c>
      <c r="AC26" s="3" t="n">
        <v>10</v>
      </c>
      <c r="AD26" s="3" t="n">
        <f aca="false">SUM(E26:AC26)</f>
        <v>109</v>
      </c>
    </row>
    <row r="27" customFormat="false" ht="21.75" hidden="false" customHeight="true" outlineLevel="0" collapsed="false">
      <c r="A27" s="3" t="n">
        <v>26</v>
      </c>
      <c r="B27" s="3" t="s">
        <v>324</v>
      </c>
      <c r="C27" s="4" t="s">
        <v>325</v>
      </c>
      <c r="D27" s="3" t="s">
        <v>326</v>
      </c>
      <c r="E27" s="3" t="n">
        <v>9</v>
      </c>
      <c r="F27" s="3" t="n">
        <v>3</v>
      </c>
      <c r="G27" s="3" t="n">
        <v>4</v>
      </c>
      <c r="H27" s="3" t="n">
        <v>0</v>
      </c>
      <c r="I27" s="3" t="n">
        <v>3</v>
      </c>
      <c r="J27" s="3" t="n">
        <v>8</v>
      </c>
      <c r="K27" s="3" t="n">
        <v>10</v>
      </c>
      <c r="L27" s="3" t="n">
        <v>6</v>
      </c>
      <c r="M27" s="3" t="n">
        <v>6</v>
      </c>
      <c r="N27" s="3" t="n">
        <v>8</v>
      </c>
      <c r="O27" s="3" t="n">
        <v>1</v>
      </c>
      <c r="P27" s="3" t="n">
        <v>8</v>
      </c>
      <c r="Q27" s="3" t="n">
        <v>9</v>
      </c>
      <c r="R27" s="3" t="n">
        <v>5</v>
      </c>
      <c r="S27" s="3" t="n">
        <v>9</v>
      </c>
      <c r="T27" s="3" t="n">
        <v>2</v>
      </c>
      <c r="U27" s="3" t="n">
        <v>10</v>
      </c>
      <c r="V27" s="3" t="n">
        <v>0</v>
      </c>
      <c r="W27" s="3" t="n">
        <v>0</v>
      </c>
      <c r="X27" s="3" t="n">
        <v>4</v>
      </c>
      <c r="Y27" s="3" t="n">
        <v>2</v>
      </c>
      <c r="Z27" s="3" t="n">
        <v>8</v>
      </c>
      <c r="AA27" s="3" t="n">
        <v>5</v>
      </c>
      <c r="AB27" s="3" t="n">
        <v>10</v>
      </c>
      <c r="AC27" s="3" t="n">
        <v>8</v>
      </c>
      <c r="AD27" s="3" t="n">
        <f aca="false">SUM(E27:AC27)</f>
        <v>138</v>
      </c>
    </row>
    <row r="28" customFormat="false" ht="21.75" hidden="false" customHeight="true" outlineLevel="0" collapsed="false">
      <c r="A28" s="3" t="n">
        <v>27</v>
      </c>
      <c r="B28" s="3" t="s">
        <v>327</v>
      </c>
      <c r="C28" s="4" t="s">
        <v>328</v>
      </c>
      <c r="D28" s="3" t="s">
        <v>329</v>
      </c>
      <c r="E28" s="3" t="n">
        <v>7</v>
      </c>
      <c r="F28" s="3" t="n">
        <v>4</v>
      </c>
      <c r="G28" s="3" t="n">
        <v>2</v>
      </c>
      <c r="H28" s="3" t="n">
        <v>10</v>
      </c>
      <c r="I28" s="3" t="n">
        <v>7</v>
      </c>
      <c r="J28" s="3" t="n">
        <v>4</v>
      </c>
      <c r="K28" s="3" t="n">
        <v>7</v>
      </c>
      <c r="L28" s="3" t="n">
        <v>7</v>
      </c>
      <c r="M28" s="3" t="n">
        <v>2</v>
      </c>
      <c r="N28" s="3" t="n">
        <v>9</v>
      </c>
      <c r="O28" s="3" t="n">
        <v>3</v>
      </c>
      <c r="P28" s="3" t="n">
        <v>7</v>
      </c>
      <c r="Q28" s="3" t="n">
        <v>2</v>
      </c>
      <c r="R28" s="3" t="n">
        <v>7</v>
      </c>
      <c r="S28" s="3" t="n">
        <v>1</v>
      </c>
      <c r="T28" s="3" t="n">
        <v>9</v>
      </c>
      <c r="U28" s="3" t="n">
        <v>7</v>
      </c>
      <c r="V28" s="3" t="n">
        <v>7</v>
      </c>
      <c r="W28" s="3" t="n">
        <v>8</v>
      </c>
      <c r="X28" s="3" t="n">
        <v>4</v>
      </c>
      <c r="Y28" s="3" t="n">
        <v>4</v>
      </c>
      <c r="Z28" s="3" t="n">
        <v>2</v>
      </c>
      <c r="AA28" s="3" t="n">
        <v>4</v>
      </c>
      <c r="AB28" s="3" t="n">
        <v>5</v>
      </c>
      <c r="AC28" s="3" t="n">
        <v>7</v>
      </c>
      <c r="AD28" s="3" t="n">
        <f aca="false">SUM(E28:AC28)</f>
        <v>136</v>
      </c>
    </row>
    <row r="29" customFormat="false" ht="21.75" hidden="false" customHeight="true" outlineLevel="0" collapsed="false">
      <c r="A29" s="3" t="n">
        <v>28</v>
      </c>
      <c r="B29" s="3" t="s">
        <v>330</v>
      </c>
      <c r="C29" s="4" t="s">
        <v>331</v>
      </c>
      <c r="D29" s="3" t="s">
        <v>332</v>
      </c>
      <c r="E29" s="3" t="n">
        <v>7</v>
      </c>
      <c r="F29" s="3" t="n">
        <v>0</v>
      </c>
      <c r="G29" s="3" t="n">
        <v>7</v>
      </c>
      <c r="H29" s="3" t="n">
        <v>9</v>
      </c>
      <c r="I29" s="3" t="n">
        <v>1</v>
      </c>
      <c r="J29" s="3" t="n">
        <v>4</v>
      </c>
      <c r="K29" s="3" t="n">
        <v>10</v>
      </c>
      <c r="L29" s="3" t="n">
        <v>5</v>
      </c>
      <c r="M29" s="3" t="n">
        <v>0</v>
      </c>
      <c r="N29" s="3" t="n">
        <v>7</v>
      </c>
      <c r="O29" s="3" t="n">
        <v>0</v>
      </c>
      <c r="P29" s="3" t="n">
        <v>7</v>
      </c>
      <c r="Q29" s="3" t="n">
        <v>7</v>
      </c>
      <c r="R29" s="3" t="n">
        <v>2</v>
      </c>
      <c r="S29" s="3" t="n">
        <v>0</v>
      </c>
      <c r="T29" s="3" t="n">
        <v>8</v>
      </c>
      <c r="U29" s="3" t="n">
        <v>0</v>
      </c>
      <c r="V29" s="3" t="n">
        <v>2</v>
      </c>
      <c r="W29" s="3" t="n">
        <v>6</v>
      </c>
      <c r="X29" s="3" t="n">
        <v>9</v>
      </c>
      <c r="Y29" s="3" t="n">
        <v>1</v>
      </c>
      <c r="Z29" s="3" t="n">
        <v>10</v>
      </c>
      <c r="AA29" s="3" t="n">
        <v>3</v>
      </c>
      <c r="AB29" s="3" t="n">
        <v>0</v>
      </c>
      <c r="AC29" s="3" t="n">
        <v>5</v>
      </c>
      <c r="AD29" s="3" t="n">
        <f aca="false">SUM(E29:AC29)</f>
        <v>110</v>
      </c>
    </row>
    <row r="30" customFormat="false" ht="21.75" hidden="false" customHeight="true" outlineLevel="0" collapsed="false">
      <c r="A30" s="3" t="n">
        <v>29</v>
      </c>
      <c r="B30" s="3" t="s">
        <v>333</v>
      </c>
      <c r="C30" s="4" t="s">
        <v>334</v>
      </c>
      <c r="D30" s="3" t="s">
        <v>335</v>
      </c>
      <c r="E30" s="3" t="n">
        <v>7</v>
      </c>
      <c r="F30" s="3" t="n">
        <v>3</v>
      </c>
      <c r="G30" s="3" t="n">
        <v>7</v>
      </c>
      <c r="H30" s="3" t="n">
        <v>2</v>
      </c>
      <c r="I30" s="3" t="n">
        <v>1</v>
      </c>
      <c r="J30" s="3" t="n">
        <v>6</v>
      </c>
      <c r="K30" s="3" t="n">
        <v>2</v>
      </c>
      <c r="L30" s="3" t="n">
        <v>0</v>
      </c>
      <c r="M30" s="3" t="n">
        <v>10</v>
      </c>
      <c r="N30" s="3" t="n">
        <v>9</v>
      </c>
      <c r="O30" s="3" t="n">
        <v>10</v>
      </c>
      <c r="P30" s="3" t="n">
        <v>1</v>
      </c>
      <c r="Q30" s="3" t="n">
        <v>2</v>
      </c>
      <c r="R30" s="3" t="n">
        <v>10</v>
      </c>
      <c r="S30" s="3" t="n">
        <v>3</v>
      </c>
      <c r="T30" s="3" t="n">
        <v>4</v>
      </c>
      <c r="U30" s="3" t="n">
        <v>2</v>
      </c>
      <c r="V30" s="3" t="n">
        <v>1</v>
      </c>
      <c r="W30" s="3" t="n">
        <v>4</v>
      </c>
      <c r="X30" s="3" t="n">
        <v>1</v>
      </c>
      <c r="Y30" s="3" t="n">
        <v>8</v>
      </c>
      <c r="Z30" s="3" t="n">
        <v>8</v>
      </c>
      <c r="AA30" s="3" t="n">
        <v>0</v>
      </c>
      <c r="AB30" s="3" t="n">
        <v>8</v>
      </c>
      <c r="AC30" s="3" t="n">
        <v>10</v>
      </c>
      <c r="AD30" s="3" t="n">
        <f aca="false">SUM(E30:AC30)</f>
        <v>119</v>
      </c>
    </row>
    <row r="31" customFormat="false" ht="21.75" hidden="false" customHeight="true" outlineLevel="0" collapsed="false">
      <c r="A31" s="3" t="n">
        <v>30</v>
      </c>
      <c r="B31" s="3" t="s">
        <v>336</v>
      </c>
      <c r="C31" s="4" t="s">
        <v>337</v>
      </c>
      <c r="D31" s="3" t="s">
        <v>338</v>
      </c>
      <c r="E31" s="3" t="n">
        <v>7</v>
      </c>
      <c r="F31" s="3" t="n">
        <v>4</v>
      </c>
      <c r="G31" s="3" t="n">
        <v>4</v>
      </c>
      <c r="H31" s="3" t="n">
        <v>1</v>
      </c>
      <c r="I31" s="3" t="n">
        <v>2</v>
      </c>
      <c r="J31" s="3" t="n">
        <v>6</v>
      </c>
      <c r="K31" s="3" t="n">
        <v>3</v>
      </c>
      <c r="L31" s="3" t="n">
        <v>5</v>
      </c>
      <c r="M31" s="3" t="n">
        <v>0</v>
      </c>
      <c r="N31" s="3" t="n">
        <v>10</v>
      </c>
      <c r="O31" s="3" t="n">
        <v>2</v>
      </c>
      <c r="P31" s="3" t="n">
        <v>2</v>
      </c>
      <c r="Q31" s="3" t="n">
        <v>6</v>
      </c>
      <c r="R31" s="3" t="n">
        <v>10</v>
      </c>
      <c r="S31" s="3" t="n">
        <v>8</v>
      </c>
      <c r="T31" s="3" t="n">
        <v>2</v>
      </c>
      <c r="U31" s="3" t="n">
        <v>4</v>
      </c>
      <c r="V31" s="3" t="n">
        <v>10</v>
      </c>
      <c r="W31" s="3" t="n">
        <v>2</v>
      </c>
      <c r="X31" s="3" t="n">
        <v>3</v>
      </c>
      <c r="Y31" s="3" t="n">
        <v>5</v>
      </c>
      <c r="Z31" s="3" t="n">
        <v>7</v>
      </c>
      <c r="AA31" s="3" t="n">
        <v>2</v>
      </c>
      <c r="AB31" s="3" t="n">
        <v>7</v>
      </c>
      <c r="AC31" s="3" t="n">
        <v>3</v>
      </c>
      <c r="AD31" s="3" t="n">
        <f aca="false">SUM(E31:AC31)</f>
        <v>115</v>
      </c>
    </row>
    <row r="32" customFormat="false" ht="21.75" hidden="false" customHeight="true" outlineLevel="0" collapsed="false">
      <c r="A32" s="3" t="n">
        <v>31</v>
      </c>
      <c r="B32" s="3" t="s">
        <v>339</v>
      </c>
      <c r="C32" s="4" t="s">
        <v>340</v>
      </c>
      <c r="D32" s="3" t="s">
        <v>341</v>
      </c>
      <c r="E32" s="3" t="n">
        <v>7</v>
      </c>
      <c r="F32" s="3" t="n">
        <v>10</v>
      </c>
      <c r="G32" s="3" t="n">
        <v>5</v>
      </c>
      <c r="H32" s="3" t="n">
        <v>2</v>
      </c>
      <c r="I32" s="3" t="n">
        <v>4</v>
      </c>
      <c r="J32" s="3" t="n">
        <v>8</v>
      </c>
      <c r="K32" s="3" t="n">
        <v>10</v>
      </c>
      <c r="L32" s="3" t="n">
        <v>8</v>
      </c>
      <c r="M32" s="3" t="n">
        <v>8</v>
      </c>
      <c r="N32" s="3" t="n">
        <v>1</v>
      </c>
      <c r="O32" s="3" t="n">
        <v>8</v>
      </c>
      <c r="P32" s="3" t="n">
        <v>10</v>
      </c>
      <c r="Q32" s="3" t="n">
        <v>10</v>
      </c>
      <c r="R32" s="3" t="n">
        <v>9</v>
      </c>
      <c r="S32" s="3" t="n">
        <v>1</v>
      </c>
      <c r="T32" s="3" t="n">
        <v>0</v>
      </c>
      <c r="U32" s="3" t="n">
        <v>1</v>
      </c>
      <c r="V32" s="3" t="n">
        <v>9</v>
      </c>
      <c r="W32" s="3" t="n">
        <v>9</v>
      </c>
      <c r="X32" s="3" t="n">
        <v>8</v>
      </c>
      <c r="Y32" s="3" t="n">
        <v>1</v>
      </c>
      <c r="Z32" s="3" t="n">
        <v>10</v>
      </c>
      <c r="AA32" s="3" t="n">
        <v>3</v>
      </c>
      <c r="AB32" s="3" t="n">
        <v>9</v>
      </c>
      <c r="AC32" s="3" t="n">
        <v>9</v>
      </c>
      <c r="AD32" s="3" t="n">
        <f aca="false">SUM(E32:AC32)</f>
        <v>160</v>
      </c>
    </row>
    <row r="33" customFormat="false" ht="21.75" hidden="false" customHeight="true" outlineLevel="0" collapsed="false">
      <c r="A33" s="3" t="n">
        <v>32</v>
      </c>
      <c r="B33" s="3" t="s">
        <v>342</v>
      </c>
      <c r="C33" s="4" t="s">
        <v>343</v>
      </c>
      <c r="D33" s="3" t="s">
        <v>344</v>
      </c>
      <c r="E33" s="3" t="n">
        <v>5</v>
      </c>
      <c r="F33" s="3" t="n">
        <v>6</v>
      </c>
      <c r="G33" s="3" t="n">
        <v>5</v>
      </c>
      <c r="H33" s="3" t="n">
        <v>7</v>
      </c>
      <c r="I33" s="3" t="n">
        <v>7</v>
      </c>
      <c r="J33" s="3" t="n">
        <v>6</v>
      </c>
      <c r="K33" s="3" t="n">
        <v>4</v>
      </c>
      <c r="L33" s="3" t="n">
        <v>9</v>
      </c>
      <c r="M33" s="3" t="n">
        <v>3</v>
      </c>
      <c r="N33" s="3" t="n">
        <v>2</v>
      </c>
      <c r="O33" s="3" t="n">
        <v>9</v>
      </c>
      <c r="P33" s="3" t="n">
        <v>6</v>
      </c>
      <c r="Q33" s="3" t="n">
        <v>3</v>
      </c>
      <c r="R33" s="3" t="n">
        <v>8</v>
      </c>
      <c r="S33" s="3" t="n">
        <v>7</v>
      </c>
      <c r="T33" s="3" t="n">
        <v>0</v>
      </c>
      <c r="U33" s="3" t="n">
        <v>4</v>
      </c>
      <c r="V33" s="3" t="n">
        <v>10</v>
      </c>
      <c r="W33" s="3" t="n">
        <v>3</v>
      </c>
      <c r="X33" s="3" t="n">
        <v>0</v>
      </c>
      <c r="Y33" s="3" t="n">
        <v>0</v>
      </c>
      <c r="Z33" s="3" t="n">
        <v>6</v>
      </c>
      <c r="AA33" s="3" t="n">
        <v>0</v>
      </c>
      <c r="AB33" s="3" t="n">
        <v>3</v>
      </c>
      <c r="AC33" s="3" t="n">
        <v>9</v>
      </c>
      <c r="AD33" s="3" t="n">
        <f aca="false">SUM(E33:AC33)</f>
        <v>122</v>
      </c>
    </row>
    <row r="34" customFormat="false" ht="21.75" hidden="false" customHeight="true" outlineLevel="0" collapsed="false">
      <c r="A34" s="3" t="n">
        <v>33</v>
      </c>
      <c r="B34" s="3" t="s">
        <v>345</v>
      </c>
      <c r="C34" s="4" t="s">
        <v>346</v>
      </c>
      <c r="D34" s="3" t="s">
        <v>347</v>
      </c>
      <c r="E34" s="3" t="n">
        <v>1</v>
      </c>
      <c r="F34" s="3" t="n">
        <v>7</v>
      </c>
      <c r="G34" s="3" t="n">
        <v>5</v>
      </c>
      <c r="H34" s="3" t="n">
        <v>9</v>
      </c>
      <c r="I34" s="3" t="n">
        <v>1</v>
      </c>
      <c r="J34" s="3" t="n">
        <v>6</v>
      </c>
      <c r="K34" s="3" t="n">
        <v>9</v>
      </c>
      <c r="L34" s="3" t="n">
        <v>10</v>
      </c>
      <c r="M34" s="3" t="n">
        <v>2</v>
      </c>
      <c r="N34" s="3" t="n">
        <v>8</v>
      </c>
      <c r="O34" s="3" t="n">
        <v>3</v>
      </c>
      <c r="P34" s="3" t="n">
        <v>7</v>
      </c>
      <c r="Q34" s="3" t="n">
        <v>2</v>
      </c>
      <c r="R34" s="3" t="n">
        <v>6</v>
      </c>
      <c r="S34" s="3" t="n">
        <v>4</v>
      </c>
      <c r="T34" s="3" t="n">
        <v>9</v>
      </c>
      <c r="U34" s="3" t="n">
        <v>10</v>
      </c>
      <c r="V34" s="3" t="n">
        <v>10</v>
      </c>
      <c r="W34" s="3" t="n">
        <v>3</v>
      </c>
      <c r="X34" s="3" t="n">
        <v>0</v>
      </c>
      <c r="Y34" s="3" t="n">
        <v>6</v>
      </c>
      <c r="Z34" s="3" t="n">
        <v>7</v>
      </c>
      <c r="AA34" s="3" t="n">
        <v>10</v>
      </c>
      <c r="AB34" s="3" t="n">
        <v>0</v>
      </c>
      <c r="AC34" s="3" t="n">
        <v>2</v>
      </c>
      <c r="AD34" s="3" t="n">
        <f aca="false">SUM(E34:AC34)</f>
        <v>137</v>
      </c>
    </row>
    <row r="35" customFormat="false" ht="21.75" hidden="false" customHeight="true" outlineLevel="0" collapsed="false">
      <c r="A35" s="3" t="n">
        <v>34</v>
      </c>
      <c r="B35" s="3" t="s">
        <v>709</v>
      </c>
      <c r="C35" s="4" t="s">
        <v>710</v>
      </c>
      <c r="D35" s="3" t="s">
        <v>711</v>
      </c>
      <c r="E35" s="3" t="n">
        <v>7</v>
      </c>
      <c r="F35" s="3" t="n">
        <v>6</v>
      </c>
      <c r="G35" s="3" t="n">
        <v>8</v>
      </c>
      <c r="H35" s="3" t="n">
        <v>2</v>
      </c>
      <c r="I35" s="3" t="n">
        <v>0</v>
      </c>
      <c r="J35" s="3" t="n">
        <v>1</v>
      </c>
      <c r="K35" s="3" t="n">
        <v>6</v>
      </c>
      <c r="L35" s="3" t="n">
        <v>2</v>
      </c>
      <c r="M35" s="3" t="n">
        <v>6</v>
      </c>
      <c r="N35" s="3" t="n">
        <v>6</v>
      </c>
      <c r="O35" s="3" t="n">
        <v>5</v>
      </c>
      <c r="P35" s="3" t="n">
        <v>1</v>
      </c>
      <c r="Q35" s="3" t="n">
        <v>5</v>
      </c>
      <c r="R35" s="3" t="n">
        <v>2</v>
      </c>
      <c r="S35" s="3" t="n">
        <v>9</v>
      </c>
      <c r="T35" s="3" t="n">
        <v>3</v>
      </c>
      <c r="U35" s="3" t="n">
        <v>3</v>
      </c>
      <c r="V35" s="3" t="n">
        <v>7</v>
      </c>
      <c r="W35" s="3" t="n">
        <v>3</v>
      </c>
      <c r="X35" s="3" t="n">
        <v>0</v>
      </c>
      <c r="Y35" s="3" t="n">
        <v>4</v>
      </c>
      <c r="Z35" s="3" t="n">
        <v>10</v>
      </c>
      <c r="AA35" s="3" t="n">
        <v>1</v>
      </c>
      <c r="AB35" s="3" t="n">
        <v>1</v>
      </c>
      <c r="AC35" s="3" t="n">
        <v>3</v>
      </c>
      <c r="AD35" s="3" t="n">
        <f aca="false">SUM(E35:AC35)</f>
        <v>101</v>
      </c>
    </row>
    <row r="36" customFormat="false" ht="21.75" hidden="false" customHeight="true" outlineLevel="0" collapsed="false">
      <c r="A36" s="3" t="n">
        <v>35</v>
      </c>
      <c r="B36" s="3" t="s">
        <v>712</v>
      </c>
      <c r="C36" s="4" t="s">
        <v>713</v>
      </c>
      <c r="D36" s="3" t="s">
        <v>714</v>
      </c>
      <c r="E36" s="3" t="n">
        <v>10</v>
      </c>
      <c r="F36" s="3" t="n">
        <v>0</v>
      </c>
      <c r="G36" s="3" t="n">
        <v>5</v>
      </c>
      <c r="H36" s="3" t="n">
        <v>9</v>
      </c>
      <c r="I36" s="3" t="n">
        <v>3</v>
      </c>
      <c r="J36" s="3" t="n">
        <v>7</v>
      </c>
      <c r="K36" s="3" t="n">
        <v>3</v>
      </c>
      <c r="L36" s="3" t="n">
        <v>3</v>
      </c>
      <c r="M36" s="3" t="n">
        <v>3</v>
      </c>
      <c r="N36" s="3" t="n">
        <v>1</v>
      </c>
      <c r="O36" s="3" t="n">
        <v>4</v>
      </c>
      <c r="P36" s="3" t="n">
        <v>7</v>
      </c>
      <c r="Q36" s="3" t="n">
        <v>2</v>
      </c>
      <c r="R36" s="3" t="n">
        <v>4</v>
      </c>
      <c r="S36" s="3" t="n">
        <v>10</v>
      </c>
      <c r="T36" s="3" t="n">
        <v>4</v>
      </c>
      <c r="U36" s="3" t="n">
        <v>10</v>
      </c>
      <c r="V36" s="3" t="n">
        <v>2</v>
      </c>
      <c r="W36" s="3" t="n">
        <v>6</v>
      </c>
      <c r="X36" s="3" t="n">
        <v>7</v>
      </c>
      <c r="Y36" s="3" t="n">
        <v>6</v>
      </c>
      <c r="Z36" s="3" t="n">
        <v>3</v>
      </c>
      <c r="AA36" s="3" t="n">
        <v>5</v>
      </c>
      <c r="AB36" s="3" t="n">
        <v>3</v>
      </c>
      <c r="AC36" s="3" t="n">
        <v>9</v>
      </c>
      <c r="AD36" s="3" t="n">
        <f aca="false">SUM(E36:AC36)</f>
        <v>126</v>
      </c>
    </row>
    <row r="37" customFormat="false" ht="21.75" hidden="false" customHeight="true" outlineLevel="0" collapsed="false">
      <c r="A37" s="3"/>
      <c r="B37" s="3" t="s">
        <v>715</v>
      </c>
      <c r="C37" s="4" t="s">
        <v>716</v>
      </c>
      <c r="D37" s="3" t="s">
        <v>717</v>
      </c>
      <c r="E37" s="3" t="n">
        <v>4</v>
      </c>
      <c r="F37" s="3" t="n">
        <v>7</v>
      </c>
      <c r="G37" s="3" t="n">
        <v>3</v>
      </c>
      <c r="H37" s="3" t="n">
        <v>1</v>
      </c>
      <c r="I37" s="3" t="n">
        <v>7</v>
      </c>
      <c r="J37" s="3" t="n">
        <v>4</v>
      </c>
      <c r="K37" s="3" t="n">
        <v>2</v>
      </c>
      <c r="L37" s="3" t="n">
        <v>2</v>
      </c>
      <c r="M37" s="3" t="n">
        <v>5</v>
      </c>
      <c r="N37" s="3" t="n">
        <v>9</v>
      </c>
      <c r="O37" s="3" t="n">
        <v>7</v>
      </c>
      <c r="P37" s="3" t="n">
        <v>0</v>
      </c>
      <c r="Q37" s="3" t="n">
        <v>6</v>
      </c>
      <c r="R37" s="3" t="n">
        <v>4</v>
      </c>
      <c r="S37" s="3" t="n">
        <v>2</v>
      </c>
      <c r="T37" s="3" t="n">
        <v>2</v>
      </c>
      <c r="U37" s="3" t="n">
        <v>10</v>
      </c>
      <c r="V37" s="3" t="n">
        <v>4</v>
      </c>
      <c r="W37" s="3" t="n">
        <v>2</v>
      </c>
      <c r="X37" s="3" t="n">
        <v>7</v>
      </c>
      <c r="Y37" s="3" t="n">
        <v>5</v>
      </c>
      <c r="Z37" s="3" t="n">
        <v>6</v>
      </c>
      <c r="AA37" s="3" t="n">
        <v>3</v>
      </c>
      <c r="AB37" s="3" t="n">
        <v>10</v>
      </c>
      <c r="AC37" s="3" t="n">
        <v>10</v>
      </c>
      <c r="AD37" s="3" t="n">
        <f aca="false">SUM(E37:AC37)</f>
        <v>122</v>
      </c>
    </row>
    <row r="38" customFormat="false" ht="21.75" hidden="false" customHeight="true" outlineLevel="0" collapsed="false">
      <c r="A38" s="3"/>
      <c r="B38" s="3"/>
      <c r="C38" s="3"/>
      <c r="D38" s="3"/>
      <c r="E38" s="3" t="n">
        <v>6</v>
      </c>
      <c r="F38" s="3" t="n">
        <v>1</v>
      </c>
      <c r="G38" s="3" t="n">
        <v>7</v>
      </c>
      <c r="H38" s="3" t="n">
        <v>7</v>
      </c>
      <c r="I38" s="3" t="n">
        <v>5</v>
      </c>
      <c r="J38" s="3" t="n">
        <v>4</v>
      </c>
      <c r="K38" s="3" t="n">
        <v>2</v>
      </c>
      <c r="L38" s="3" t="n">
        <v>4</v>
      </c>
      <c r="M38" s="3" t="n">
        <v>8</v>
      </c>
      <c r="N38" s="3" t="n">
        <v>3</v>
      </c>
      <c r="O38" s="3" t="n">
        <v>7</v>
      </c>
      <c r="P38" s="3" t="n">
        <v>7</v>
      </c>
      <c r="Q38" s="3" t="n">
        <v>8</v>
      </c>
      <c r="R38" s="3" t="n">
        <v>2</v>
      </c>
      <c r="S38" s="3" t="n">
        <v>3</v>
      </c>
      <c r="T38" s="3" t="n">
        <v>4</v>
      </c>
      <c r="U38" s="3" t="n">
        <v>1</v>
      </c>
      <c r="V38" s="3" t="n">
        <v>7</v>
      </c>
      <c r="W38" s="3" t="n">
        <v>6</v>
      </c>
      <c r="X38" s="3" t="n">
        <v>9</v>
      </c>
      <c r="Y38" s="3" t="n">
        <v>6</v>
      </c>
      <c r="Z38" s="3" t="n">
        <v>9</v>
      </c>
      <c r="AA38" s="3" t="n">
        <v>5</v>
      </c>
      <c r="AB38" s="3" t="n">
        <v>5</v>
      </c>
      <c r="AC38" s="3" t="n">
        <v>5</v>
      </c>
      <c r="AD38" s="3" t="n">
        <v>6</v>
      </c>
    </row>
  </sheetData>
  <autoFilter ref="A1:AD38"/>
  <conditionalFormatting sqref="B1:D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39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30" min="5" style="0" width="11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683</v>
      </c>
      <c r="F1" s="1" t="s">
        <v>684</v>
      </c>
      <c r="G1" s="1" t="s">
        <v>685</v>
      </c>
      <c r="H1" s="1" t="s">
        <v>686</v>
      </c>
      <c r="I1" s="1" t="s">
        <v>687</v>
      </c>
      <c r="J1" s="1" t="s">
        <v>688</v>
      </c>
      <c r="K1" s="1" t="s">
        <v>689</v>
      </c>
      <c r="L1" s="1" t="s">
        <v>690</v>
      </c>
      <c r="M1" s="1" t="s">
        <v>691</v>
      </c>
      <c r="N1" s="1" t="s">
        <v>692</v>
      </c>
      <c r="O1" s="1" t="s">
        <v>693</v>
      </c>
      <c r="P1" s="1" t="s">
        <v>694</v>
      </c>
      <c r="Q1" s="1" t="s">
        <v>695</v>
      </c>
      <c r="R1" s="1" t="s">
        <v>696</v>
      </c>
      <c r="S1" s="1" t="s">
        <v>697</v>
      </c>
      <c r="T1" s="1" t="s">
        <v>698</v>
      </c>
      <c r="U1" s="1" t="s">
        <v>699</v>
      </c>
      <c r="V1" s="1" t="s">
        <v>700</v>
      </c>
      <c r="W1" s="1" t="s">
        <v>701</v>
      </c>
      <c r="X1" s="1" t="s">
        <v>702</v>
      </c>
      <c r="Y1" s="1" t="s">
        <v>703</v>
      </c>
      <c r="Z1" s="1" t="s">
        <v>704</v>
      </c>
      <c r="AA1" s="1" t="s">
        <v>705</v>
      </c>
      <c r="AB1" s="1" t="s">
        <v>706</v>
      </c>
      <c r="AC1" s="1" t="s">
        <v>707</v>
      </c>
      <c r="AD1" s="1" t="s">
        <v>708</v>
      </c>
    </row>
    <row r="2" customFormat="false" ht="21.75" hidden="false" customHeight="true" outlineLevel="0" collapsed="false">
      <c r="A2" s="3" t="n">
        <v>1</v>
      </c>
      <c r="B2" s="3" t="s">
        <v>355</v>
      </c>
      <c r="C2" s="4" t="s">
        <v>356</v>
      </c>
      <c r="D2" s="3" t="s">
        <v>357</v>
      </c>
      <c r="E2" s="3" t="n">
        <v>3</v>
      </c>
      <c r="F2" s="3" t="n">
        <v>7</v>
      </c>
      <c r="G2" s="3" t="n">
        <v>0</v>
      </c>
      <c r="H2" s="3" t="n">
        <v>6</v>
      </c>
      <c r="I2" s="3" t="n">
        <v>3</v>
      </c>
      <c r="J2" s="3" t="n">
        <v>3</v>
      </c>
      <c r="K2" s="3" t="n">
        <v>9</v>
      </c>
      <c r="L2" s="3" t="n">
        <v>8</v>
      </c>
      <c r="M2" s="3" t="n">
        <v>7</v>
      </c>
      <c r="N2" s="3" t="n">
        <v>3</v>
      </c>
      <c r="O2" s="3" t="n">
        <v>2</v>
      </c>
      <c r="P2" s="3" t="n">
        <v>6</v>
      </c>
      <c r="Q2" s="3" t="n">
        <v>10</v>
      </c>
      <c r="R2" s="3" t="n">
        <v>0</v>
      </c>
      <c r="S2" s="3" t="n">
        <v>2</v>
      </c>
      <c r="T2" s="3" t="n">
        <v>2</v>
      </c>
      <c r="U2" s="3" t="n">
        <v>10</v>
      </c>
      <c r="V2" s="3" t="n">
        <v>7</v>
      </c>
      <c r="W2" s="3" t="n">
        <v>7</v>
      </c>
      <c r="X2" s="3" t="n">
        <v>7</v>
      </c>
      <c r="Y2" s="3" t="n">
        <v>3</v>
      </c>
      <c r="Z2" s="3" t="n">
        <v>5</v>
      </c>
      <c r="AA2" s="3" t="n">
        <v>5</v>
      </c>
      <c r="AB2" s="3" t="n">
        <v>8</v>
      </c>
      <c r="AC2" s="3" t="n">
        <v>9</v>
      </c>
      <c r="AD2" s="3" t="n">
        <f aca="false">SUM(E2:AC2)</f>
        <v>132</v>
      </c>
    </row>
    <row r="3" customFormat="false" ht="21.75" hidden="false" customHeight="true" outlineLevel="0" collapsed="false">
      <c r="A3" s="3" t="n">
        <v>2</v>
      </c>
      <c r="B3" s="3" t="s">
        <v>358</v>
      </c>
      <c r="C3" s="4" t="s">
        <v>359</v>
      </c>
      <c r="D3" s="3" t="s">
        <v>360</v>
      </c>
      <c r="E3" s="3" t="n">
        <v>5</v>
      </c>
      <c r="F3" s="3" t="n">
        <v>10</v>
      </c>
      <c r="G3" s="3" t="n">
        <v>9</v>
      </c>
      <c r="H3" s="3" t="n">
        <v>4</v>
      </c>
      <c r="I3" s="3" t="n">
        <v>6</v>
      </c>
      <c r="J3" s="3" t="n">
        <v>9</v>
      </c>
      <c r="K3" s="3" t="n">
        <v>1</v>
      </c>
      <c r="L3" s="3" t="n">
        <v>6</v>
      </c>
      <c r="M3" s="3" t="n">
        <v>7</v>
      </c>
      <c r="N3" s="3" t="n">
        <v>8</v>
      </c>
      <c r="O3" s="3" t="n">
        <v>2</v>
      </c>
      <c r="P3" s="3" t="n">
        <v>5</v>
      </c>
      <c r="Q3" s="3" t="n">
        <v>3</v>
      </c>
      <c r="R3" s="3" t="n">
        <v>10</v>
      </c>
      <c r="S3" s="3" t="n">
        <v>2</v>
      </c>
      <c r="T3" s="3" t="n">
        <v>2</v>
      </c>
      <c r="U3" s="3" t="n">
        <v>10</v>
      </c>
      <c r="V3" s="3" t="n">
        <v>8</v>
      </c>
      <c r="W3" s="3" t="n">
        <v>2</v>
      </c>
      <c r="X3" s="3" t="n">
        <v>3</v>
      </c>
      <c r="Y3" s="3" t="n">
        <v>2</v>
      </c>
      <c r="Z3" s="3" t="n">
        <v>2</v>
      </c>
      <c r="AA3" s="3" t="n">
        <v>4</v>
      </c>
      <c r="AB3" s="3" t="n">
        <v>4</v>
      </c>
      <c r="AC3" s="3" t="n">
        <v>9</v>
      </c>
      <c r="AD3" s="3" t="n">
        <f aca="false">SUM(E3:AC3)</f>
        <v>133</v>
      </c>
    </row>
    <row r="4" customFormat="false" ht="21.75" hidden="false" customHeight="true" outlineLevel="0" collapsed="false">
      <c r="A4" s="3" t="n">
        <v>3</v>
      </c>
      <c r="B4" s="3" t="s">
        <v>361</v>
      </c>
      <c r="C4" s="4" t="s">
        <v>362</v>
      </c>
      <c r="D4" s="3" t="s">
        <v>363</v>
      </c>
      <c r="E4" s="3" t="n">
        <v>10</v>
      </c>
      <c r="F4" s="3" t="n">
        <v>7</v>
      </c>
      <c r="G4" s="3" t="n">
        <v>1</v>
      </c>
      <c r="H4" s="3" t="n">
        <v>6</v>
      </c>
      <c r="I4" s="3" t="n">
        <v>6</v>
      </c>
      <c r="J4" s="3" t="n">
        <v>5</v>
      </c>
      <c r="K4" s="3" t="n">
        <v>5</v>
      </c>
      <c r="L4" s="3" t="n">
        <v>5</v>
      </c>
      <c r="M4" s="3" t="n">
        <v>7</v>
      </c>
      <c r="N4" s="3" t="n">
        <v>8</v>
      </c>
      <c r="O4" s="3" t="n">
        <v>3</v>
      </c>
      <c r="P4" s="3" t="n">
        <v>8</v>
      </c>
      <c r="Q4" s="3" t="n">
        <v>5</v>
      </c>
      <c r="R4" s="3" t="n">
        <v>5</v>
      </c>
      <c r="S4" s="3" t="n">
        <v>6</v>
      </c>
      <c r="T4" s="3" t="n">
        <v>3</v>
      </c>
      <c r="U4" s="3" t="n">
        <v>5</v>
      </c>
      <c r="V4" s="3" t="n">
        <v>7</v>
      </c>
      <c r="W4" s="3" t="n">
        <v>7</v>
      </c>
      <c r="X4" s="3" t="n">
        <v>10</v>
      </c>
      <c r="Y4" s="3" t="n">
        <v>8</v>
      </c>
      <c r="Z4" s="3" t="n">
        <v>9</v>
      </c>
      <c r="AA4" s="3" t="n">
        <v>2</v>
      </c>
      <c r="AB4" s="3" t="n">
        <v>7</v>
      </c>
      <c r="AC4" s="3" t="n">
        <v>2</v>
      </c>
      <c r="AD4" s="3" t="n">
        <f aca="false">SUM(E4:AC4)</f>
        <v>147</v>
      </c>
    </row>
    <row r="5" customFormat="false" ht="21.75" hidden="false" customHeight="true" outlineLevel="0" collapsed="false">
      <c r="A5" s="3" t="n">
        <v>4</v>
      </c>
      <c r="B5" s="3" t="s">
        <v>364</v>
      </c>
      <c r="C5" s="4" t="s">
        <v>365</v>
      </c>
      <c r="D5" s="3" t="s">
        <v>366</v>
      </c>
      <c r="E5" s="3" t="n">
        <v>8</v>
      </c>
      <c r="F5" s="3" t="n">
        <v>7</v>
      </c>
      <c r="G5" s="3" t="n">
        <v>4</v>
      </c>
      <c r="H5" s="3" t="n">
        <v>4</v>
      </c>
      <c r="I5" s="3" t="n">
        <v>7</v>
      </c>
      <c r="J5" s="3" t="n">
        <v>0</v>
      </c>
      <c r="K5" s="3" t="n">
        <v>4</v>
      </c>
      <c r="L5" s="3" t="n">
        <v>3</v>
      </c>
      <c r="M5" s="3" t="n">
        <v>10</v>
      </c>
      <c r="N5" s="3" t="n">
        <v>7</v>
      </c>
      <c r="O5" s="3" t="n">
        <v>5</v>
      </c>
      <c r="P5" s="3" t="n">
        <v>3</v>
      </c>
      <c r="Q5" s="3" t="n">
        <v>7</v>
      </c>
      <c r="R5" s="3" t="n">
        <v>6</v>
      </c>
      <c r="S5" s="3" t="n">
        <v>2</v>
      </c>
      <c r="T5" s="3" t="n">
        <v>2</v>
      </c>
      <c r="U5" s="3" t="n">
        <v>3</v>
      </c>
      <c r="V5" s="3" t="n">
        <v>5</v>
      </c>
      <c r="W5" s="3" t="n">
        <v>7</v>
      </c>
      <c r="X5" s="3" t="n">
        <v>8</v>
      </c>
      <c r="Y5" s="3" t="n">
        <v>2</v>
      </c>
      <c r="Z5" s="3" t="n">
        <v>9</v>
      </c>
      <c r="AA5" s="3" t="n">
        <v>5</v>
      </c>
      <c r="AB5" s="3" t="n">
        <v>6</v>
      </c>
      <c r="AC5" s="3" t="n">
        <v>2</v>
      </c>
      <c r="AD5" s="3" t="n">
        <f aca="false">SUM(E5:AC5)</f>
        <v>126</v>
      </c>
    </row>
    <row r="6" customFormat="false" ht="21.75" hidden="false" customHeight="true" outlineLevel="0" collapsed="false">
      <c r="A6" s="3" t="n">
        <v>5</v>
      </c>
      <c r="B6" s="3" t="s">
        <v>367</v>
      </c>
      <c r="C6" s="4" t="s">
        <v>368</v>
      </c>
      <c r="D6" s="3" t="s">
        <v>369</v>
      </c>
      <c r="E6" s="3" t="n">
        <v>1</v>
      </c>
      <c r="F6" s="3" t="n">
        <v>4</v>
      </c>
      <c r="G6" s="3" t="n">
        <v>8</v>
      </c>
      <c r="H6" s="3" t="n">
        <v>10</v>
      </c>
      <c r="I6" s="3" t="n">
        <v>7</v>
      </c>
      <c r="J6" s="3" t="n">
        <v>3</v>
      </c>
      <c r="K6" s="3" t="n">
        <v>10</v>
      </c>
      <c r="L6" s="3" t="n">
        <v>1</v>
      </c>
      <c r="M6" s="3" t="n">
        <v>7</v>
      </c>
      <c r="N6" s="3" t="n">
        <v>6</v>
      </c>
      <c r="O6" s="3" t="n">
        <v>0</v>
      </c>
      <c r="P6" s="3" t="n">
        <v>4</v>
      </c>
      <c r="Q6" s="3" t="n">
        <v>7</v>
      </c>
      <c r="R6" s="3" t="n">
        <v>0</v>
      </c>
      <c r="S6" s="3" t="n">
        <v>3</v>
      </c>
      <c r="T6" s="3" t="n">
        <v>2</v>
      </c>
      <c r="U6" s="3" t="n">
        <v>3</v>
      </c>
      <c r="V6" s="3" t="n">
        <v>9</v>
      </c>
      <c r="W6" s="3" t="n">
        <v>1</v>
      </c>
      <c r="X6" s="3" t="n">
        <v>0</v>
      </c>
      <c r="Y6" s="3" t="n">
        <v>4</v>
      </c>
      <c r="Z6" s="3" t="n">
        <v>4</v>
      </c>
      <c r="AA6" s="3" t="n">
        <v>9</v>
      </c>
      <c r="AB6" s="3" t="n">
        <v>3</v>
      </c>
      <c r="AC6" s="3" t="n">
        <v>8</v>
      </c>
      <c r="AD6" s="3" t="n">
        <f aca="false">SUM(E6:AC6)</f>
        <v>114</v>
      </c>
    </row>
    <row r="7" customFormat="false" ht="21.75" hidden="false" customHeight="true" outlineLevel="0" collapsed="false">
      <c r="A7" s="3" t="n">
        <v>6</v>
      </c>
      <c r="B7" s="3" t="s">
        <v>370</v>
      </c>
      <c r="C7" s="4" t="s">
        <v>371</v>
      </c>
      <c r="D7" s="3" t="s">
        <v>372</v>
      </c>
      <c r="E7" s="3" t="n">
        <v>7</v>
      </c>
      <c r="F7" s="3" t="n">
        <v>7</v>
      </c>
      <c r="G7" s="3" t="n">
        <v>4</v>
      </c>
      <c r="H7" s="3" t="n">
        <v>8</v>
      </c>
      <c r="I7" s="3" t="n">
        <v>9</v>
      </c>
      <c r="J7" s="3" t="n">
        <v>6</v>
      </c>
      <c r="K7" s="3" t="n">
        <v>4</v>
      </c>
      <c r="L7" s="3" t="n">
        <v>6</v>
      </c>
      <c r="M7" s="3" t="n">
        <v>7</v>
      </c>
      <c r="N7" s="3" t="n">
        <v>6</v>
      </c>
      <c r="O7" s="3" t="n">
        <v>10</v>
      </c>
      <c r="P7" s="3" t="n">
        <v>7</v>
      </c>
      <c r="Q7" s="3" t="n">
        <v>7</v>
      </c>
      <c r="R7" s="3" t="n">
        <v>9</v>
      </c>
      <c r="S7" s="3" t="n">
        <v>8</v>
      </c>
      <c r="T7" s="3" t="n">
        <v>2</v>
      </c>
      <c r="U7" s="3" t="n">
        <v>4</v>
      </c>
      <c r="V7" s="3" t="n">
        <v>2</v>
      </c>
      <c r="W7" s="3" t="n">
        <v>7</v>
      </c>
      <c r="X7" s="3" t="n">
        <v>7</v>
      </c>
      <c r="Y7" s="3" t="n">
        <v>7</v>
      </c>
      <c r="Z7" s="3" t="n">
        <v>5</v>
      </c>
      <c r="AA7" s="3" t="n">
        <v>10</v>
      </c>
      <c r="AB7" s="3" t="n">
        <v>6</v>
      </c>
      <c r="AC7" s="3" t="n">
        <v>9</v>
      </c>
      <c r="AD7" s="3" t="n">
        <f aca="false">SUM(E7:AC7)</f>
        <v>164</v>
      </c>
    </row>
    <row r="8" customFormat="false" ht="21.75" hidden="false" customHeight="true" outlineLevel="0" collapsed="false">
      <c r="A8" s="3" t="n">
        <v>7</v>
      </c>
      <c r="B8" s="3" t="s">
        <v>373</v>
      </c>
      <c r="C8" s="4" t="s">
        <v>374</v>
      </c>
      <c r="D8" s="3" t="s">
        <v>375</v>
      </c>
      <c r="E8" s="3" t="n">
        <v>3</v>
      </c>
      <c r="F8" s="3" t="n">
        <v>1</v>
      </c>
      <c r="G8" s="3" t="n">
        <v>4</v>
      </c>
      <c r="H8" s="3" t="n">
        <v>6</v>
      </c>
      <c r="I8" s="3" t="n">
        <v>9</v>
      </c>
      <c r="J8" s="3" t="n">
        <v>8</v>
      </c>
      <c r="K8" s="3" t="n">
        <v>10</v>
      </c>
      <c r="L8" s="3" t="n">
        <v>3</v>
      </c>
      <c r="M8" s="3" t="n">
        <v>2</v>
      </c>
      <c r="N8" s="3" t="n">
        <v>9</v>
      </c>
      <c r="O8" s="3" t="n">
        <v>8</v>
      </c>
      <c r="P8" s="3" t="n">
        <v>0</v>
      </c>
      <c r="Q8" s="3" t="n">
        <v>7</v>
      </c>
      <c r="R8" s="3" t="n">
        <v>6</v>
      </c>
      <c r="S8" s="3" t="n">
        <v>10</v>
      </c>
      <c r="T8" s="3" t="n">
        <v>1</v>
      </c>
      <c r="U8" s="3" t="n">
        <v>5</v>
      </c>
      <c r="V8" s="3" t="n">
        <v>7</v>
      </c>
      <c r="W8" s="3" t="n">
        <v>0</v>
      </c>
      <c r="X8" s="3" t="n">
        <v>3</v>
      </c>
      <c r="Y8" s="3" t="n">
        <v>8</v>
      </c>
      <c r="Z8" s="3" t="n">
        <v>1</v>
      </c>
      <c r="AA8" s="3" t="n">
        <v>0</v>
      </c>
      <c r="AB8" s="3" t="n">
        <v>5</v>
      </c>
      <c r="AC8" s="3" t="n">
        <v>0</v>
      </c>
      <c r="AD8" s="3" t="n">
        <f aca="false">SUM(E8:AC8)</f>
        <v>116</v>
      </c>
    </row>
    <row r="9" customFormat="false" ht="21.75" hidden="false" customHeight="true" outlineLevel="0" collapsed="false">
      <c r="A9" s="3" t="n">
        <v>8</v>
      </c>
      <c r="B9" s="3" t="s">
        <v>376</v>
      </c>
      <c r="C9" s="4" t="s">
        <v>377</v>
      </c>
      <c r="D9" s="3" t="s">
        <v>378</v>
      </c>
      <c r="E9" s="3" t="n">
        <v>4</v>
      </c>
      <c r="F9" s="3" t="n">
        <v>9</v>
      </c>
      <c r="G9" s="3" t="n">
        <v>1</v>
      </c>
      <c r="H9" s="3" t="n">
        <v>7</v>
      </c>
      <c r="I9" s="3" t="n">
        <v>2</v>
      </c>
      <c r="J9" s="3" t="n">
        <v>5</v>
      </c>
      <c r="K9" s="3" t="n">
        <v>8</v>
      </c>
      <c r="L9" s="3" t="n">
        <v>2</v>
      </c>
      <c r="M9" s="3" t="n">
        <v>6</v>
      </c>
      <c r="N9" s="3" t="n">
        <v>5</v>
      </c>
      <c r="O9" s="3" t="n">
        <v>6</v>
      </c>
      <c r="P9" s="3" t="n">
        <v>1</v>
      </c>
      <c r="Q9" s="3" t="n">
        <v>7</v>
      </c>
      <c r="R9" s="3" t="n">
        <v>9</v>
      </c>
      <c r="S9" s="3" t="n">
        <v>2</v>
      </c>
      <c r="T9" s="3" t="n">
        <v>2</v>
      </c>
      <c r="U9" s="3" t="n">
        <v>7</v>
      </c>
      <c r="V9" s="3" t="n">
        <v>0</v>
      </c>
      <c r="W9" s="3" t="n">
        <v>7</v>
      </c>
      <c r="X9" s="3" t="n">
        <v>7</v>
      </c>
      <c r="Y9" s="3" t="n">
        <v>4</v>
      </c>
      <c r="Z9" s="3" t="n">
        <v>5</v>
      </c>
      <c r="AA9" s="3" t="n">
        <v>10</v>
      </c>
      <c r="AB9" s="3" t="n">
        <v>6</v>
      </c>
      <c r="AC9" s="3" t="n">
        <v>3</v>
      </c>
      <c r="AD9" s="3" t="n">
        <f aca="false">SUM(E9:AC9)</f>
        <v>125</v>
      </c>
    </row>
    <row r="10" customFormat="false" ht="21.75" hidden="false" customHeight="true" outlineLevel="0" collapsed="false">
      <c r="A10" s="3" t="n">
        <v>9</v>
      </c>
      <c r="B10" s="3" t="s">
        <v>379</v>
      </c>
      <c r="C10" s="4" t="s">
        <v>380</v>
      </c>
      <c r="D10" s="3" t="s">
        <v>381</v>
      </c>
      <c r="E10" s="3" t="n">
        <v>10</v>
      </c>
      <c r="F10" s="3" t="n">
        <v>7</v>
      </c>
      <c r="G10" s="3" t="n">
        <v>0</v>
      </c>
      <c r="H10" s="3" t="n">
        <v>5</v>
      </c>
      <c r="I10" s="3" t="n">
        <v>3</v>
      </c>
      <c r="J10" s="3" t="n">
        <v>6</v>
      </c>
      <c r="K10" s="3" t="n">
        <v>2</v>
      </c>
      <c r="L10" s="3" t="n">
        <v>9</v>
      </c>
      <c r="M10" s="3" t="n">
        <v>7</v>
      </c>
      <c r="N10" s="3" t="n">
        <v>3</v>
      </c>
      <c r="O10" s="3" t="n">
        <v>8</v>
      </c>
      <c r="P10" s="3" t="n">
        <v>3</v>
      </c>
      <c r="Q10" s="3" t="n">
        <v>7</v>
      </c>
      <c r="R10" s="3" t="n">
        <v>9</v>
      </c>
      <c r="S10" s="3" t="n">
        <v>5</v>
      </c>
      <c r="T10" s="3" t="n">
        <v>4</v>
      </c>
      <c r="U10" s="3" t="n">
        <v>6</v>
      </c>
      <c r="V10" s="3" t="n">
        <v>7</v>
      </c>
      <c r="W10" s="3" t="n">
        <v>7</v>
      </c>
      <c r="X10" s="3" t="n">
        <v>7</v>
      </c>
      <c r="Y10" s="3" t="n">
        <v>3</v>
      </c>
      <c r="Z10" s="3" t="n">
        <v>5</v>
      </c>
      <c r="AA10" s="3" t="n">
        <v>0</v>
      </c>
      <c r="AB10" s="3" t="n">
        <v>2</v>
      </c>
      <c r="AC10" s="3" t="n">
        <v>5</v>
      </c>
      <c r="AD10" s="3" t="n">
        <f aca="false">SUM(E10:AC10)</f>
        <v>130</v>
      </c>
    </row>
    <row r="11" customFormat="false" ht="21.75" hidden="false" customHeight="true" outlineLevel="0" collapsed="false">
      <c r="A11" s="3" t="n">
        <v>10</v>
      </c>
      <c r="B11" s="3" t="s">
        <v>382</v>
      </c>
      <c r="C11" s="4" t="s">
        <v>383</v>
      </c>
      <c r="D11" s="3" t="s">
        <v>384</v>
      </c>
      <c r="E11" s="3" t="n">
        <v>6</v>
      </c>
      <c r="F11" s="3" t="n">
        <v>7</v>
      </c>
      <c r="G11" s="3" t="n">
        <v>10</v>
      </c>
      <c r="H11" s="3" t="n">
        <v>0</v>
      </c>
      <c r="I11" s="3" t="n">
        <v>6</v>
      </c>
      <c r="J11" s="3" t="n">
        <v>3</v>
      </c>
      <c r="K11" s="3" t="n">
        <v>8</v>
      </c>
      <c r="L11" s="3" t="n">
        <v>0</v>
      </c>
      <c r="M11" s="3" t="n">
        <v>7</v>
      </c>
      <c r="N11" s="3" t="n">
        <v>9</v>
      </c>
      <c r="O11" s="3" t="n">
        <v>1</v>
      </c>
      <c r="P11" s="3" t="n">
        <v>7</v>
      </c>
      <c r="Q11" s="3" t="n">
        <v>7</v>
      </c>
      <c r="R11" s="3" t="n">
        <v>1</v>
      </c>
      <c r="S11" s="3" t="n">
        <v>0</v>
      </c>
      <c r="T11" s="3" t="n">
        <v>8</v>
      </c>
      <c r="U11" s="3" t="n">
        <v>5</v>
      </c>
      <c r="V11" s="3" t="n">
        <v>8</v>
      </c>
      <c r="W11" s="3" t="n">
        <v>0</v>
      </c>
      <c r="X11" s="3" t="n">
        <v>7</v>
      </c>
      <c r="Y11" s="3" t="n">
        <v>9</v>
      </c>
      <c r="Z11" s="3" t="n">
        <v>8</v>
      </c>
      <c r="AA11" s="3" t="n">
        <v>0</v>
      </c>
      <c r="AB11" s="3" t="n">
        <v>10</v>
      </c>
      <c r="AC11" s="3" t="n">
        <v>6</v>
      </c>
      <c r="AD11" s="3" t="n">
        <f aca="false">SUM(E11:AC11)</f>
        <v>133</v>
      </c>
    </row>
    <row r="12" customFormat="false" ht="21.75" hidden="false" customHeight="true" outlineLevel="0" collapsed="false">
      <c r="A12" s="3" t="n">
        <v>11</v>
      </c>
      <c r="B12" s="3" t="s">
        <v>385</v>
      </c>
      <c r="C12" s="4" t="s">
        <v>386</v>
      </c>
      <c r="D12" s="3" t="s">
        <v>387</v>
      </c>
      <c r="E12" s="3" t="n">
        <v>8</v>
      </c>
      <c r="F12" s="3" t="n">
        <v>7</v>
      </c>
      <c r="G12" s="3" t="n">
        <v>10</v>
      </c>
      <c r="H12" s="3" t="n">
        <v>3</v>
      </c>
      <c r="I12" s="3" t="n">
        <v>4</v>
      </c>
      <c r="J12" s="3" t="n">
        <v>7</v>
      </c>
      <c r="K12" s="3" t="n">
        <v>7</v>
      </c>
      <c r="L12" s="3" t="n">
        <v>8</v>
      </c>
      <c r="M12" s="3" t="n">
        <v>7</v>
      </c>
      <c r="N12" s="3" t="n">
        <v>4</v>
      </c>
      <c r="O12" s="3" t="n">
        <v>3</v>
      </c>
      <c r="P12" s="3" t="n">
        <v>0</v>
      </c>
      <c r="Q12" s="3" t="n">
        <v>7</v>
      </c>
      <c r="R12" s="3" t="n">
        <v>5</v>
      </c>
      <c r="S12" s="3" t="n">
        <v>2</v>
      </c>
      <c r="T12" s="3" t="n">
        <v>2</v>
      </c>
      <c r="U12" s="3" t="n">
        <v>2</v>
      </c>
      <c r="V12" s="3" t="n">
        <v>7</v>
      </c>
      <c r="W12" s="3" t="n">
        <v>7</v>
      </c>
      <c r="X12" s="3" t="n">
        <v>0</v>
      </c>
      <c r="Y12" s="3" t="n">
        <v>3</v>
      </c>
      <c r="Z12" s="3" t="n">
        <v>5</v>
      </c>
      <c r="AA12" s="3" t="n">
        <v>2</v>
      </c>
      <c r="AB12" s="3" t="n">
        <v>4</v>
      </c>
      <c r="AC12" s="3" t="n">
        <v>4</v>
      </c>
      <c r="AD12" s="3" t="n">
        <f aca="false">SUM(E12:AC12)</f>
        <v>118</v>
      </c>
    </row>
    <row r="13" customFormat="false" ht="21.75" hidden="false" customHeight="true" outlineLevel="0" collapsed="false">
      <c r="A13" s="3" t="n">
        <v>12</v>
      </c>
      <c r="B13" s="3" t="s">
        <v>388</v>
      </c>
      <c r="C13" s="4" t="s">
        <v>389</v>
      </c>
      <c r="D13" s="3" t="s">
        <v>390</v>
      </c>
      <c r="E13" s="3" t="n">
        <v>1</v>
      </c>
      <c r="F13" s="3" t="n">
        <v>7</v>
      </c>
      <c r="G13" s="3" t="n">
        <v>6</v>
      </c>
      <c r="H13" s="3" t="n">
        <v>10</v>
      </c>
      <c r="I13" s="3" t="n">
        <v>4</v>
      </c>
      <c r="J13" s="3" t="n">
        <v>2</v>
      </c>
      <c r="K13" s="3" t="n">
        <v>0</v>
      </c>
      <c r="L13" s="3" t="n">
        <v>8</v>
      </c>
      <c r="M13" s="3" t="n">
        <v>10</v>
      </c>
      <c r="N13" s="3" t="n">
        <v>4</v>
      </c>
      <c r="O13" s="3" t="n">
        <v>1</v>
      </c>
      <c r="P13" s="3" t="n">
        <v>9</v>
      </c>
      <c r="Q13" s="3" t="n">
        <v>3</v>
      </c>
      <c r="R13" s="3" t="n">
        <v>6</v>
      </c>
      <c r="S13" s="3" t="n">
        <v>2</v>
      </c>
      <c r="T13" s="3" t="n">
        <v>10</v>
      </c>
      <c r="U13" s="3" t="n">
        <v>8</v>
      </c>
      <c r="V13" s="3" t="n">
        <v>7</v>
      </c>
      <c r="W13" s="3" t="n">
        <v>5</v>
      </c>
      <c r="X13" s="3" t="n">
        <v>7</v>
      </c>
      <c r="Y13" s="3" t="n">
        <v>2</v>
      </c>
      <c r="Z13" s="3" t="n">
        <v>9</v>
      </c>
      <c r="AA13" s="3" t="n">
        <v>9</v>
      </c>
      <c r="AB13" s="3" t="n">
        <v>10</v>
      </c>
      <c r="AC13" s="3" t="n">
        <v>2</v>
      </c>
      <c r="AD13" s="3" t="n">
        <f aca="false">SUM(E13:AC13)</f>
        <v>142</v>
      </c>
    </row>
    <row r="14" customFormat="false" ht="21.75" hidden="false" customHeight="true" outlineLevel="0" collapsed="false">
      <c r="A14" s="3" t="n">
        <v>13</v>
      </c>
      <c r="B14" s="3" t="s">
        <v>391</v>
      </c>
      <c r="C14" s="4" t="s">
        <v>392</v>
      </c>
      <c r="D14" s="3" t="s">
        <v>393</v>
      </c>
      <c r="E14" s="3" t="n">
        <v>7</v>
      </c>
      <c r="F14" s="3" t="n">
        <v>7</v>
      </c>
      <c r="G14" s="3" t="n">
        <v>1</v>
      </c>
      <c r="H14" s="3" t="n">
        <v>4</v>
      </c>
      <c r="I14" s="3" t="n">
        <v>7</v>
      </c>
      <c r="J14" s="3" t="n">
        <v>4</v>
      </c>
      <c r="K14" s="3" t="n">
        <v>8</v>
      </c>
      <c r="L14" s="3" t="n">
        <v>6</v>
      </c>
      <c r="M14" s="3" t="n">
        <v>7</v>
      </c>
      <c r="N14" s="3" t="n">
        <v>6</v>
      </c>
      <c r="O14" s="3" t="n">
        <v>2</v>
      </c>
      <c r="P14" s="3" t="n">
        <v>2</v>
      </c>
      <c r="Q14" s="3" t="n">
        <v>7</v>
      </c>
      <c r="R14" s="3" t="n">
        <v>9</v>
      </c>
      <c r="S14" s="3" t="n">
        <v>7</v>
      </c>
      <c r="T14" s="3" t="n">
        <v>2</v>
      </c>
      <c r="U14" s="3" t="n">
        <v>6</v>
      </c>
      <c r="V14" s="3" t="n">
        <v>5</v>
      </c>
      <c r="W14" s="3" t="n">
        <v>7</v>
      </c>
      <c r="X14" s="3" t="n">
        <v>2</v>
      </c>
      <c r="Y14" s="3" t="n">
        <v>1</v>
      </c>
      <c r="Z14" s="3" t="n">
        <v>8</v>
      </c>
      <c r="AA14" s="3" t="n">
        <v>4</v>
      </c>
      <c r="AB14" s="3" t="n">
        <v>2</v>
      </c>
      <c r="AC14" s="3" t="n">
        <v>4</v>
      </c>
      <c r="AD14" s="3" t="n">
        <f aca="false">SUM(E14:AC14)</f>
        <v>125</v>
      </c>
    </row>
    <row r="15" customFormat="false" ht="21.75" hidden="false" customHeight="true" outlineLevel="0" collapsed="false">
      <c r="A15" s="3" t="n">
        <v>14</v>
      </c>
      <c r="B15" s="3" t="s">
        <v>394</v>
      </c>
      <c r="C15" s="4" t="s">
        <v>395</v>
      </c>
      <c r="D15" s="3" t="s">
        <v>396</v>
      </c>
      <c r="E15" s="3" t="n">
        <v>6</v>
      </c>
      <c r="F15" s="3" t="n">
        <v>7</v>
      </c>
      <c r="G15" s="3" t="n">
        <v>7</v>
      </c>
      <c r="H15" s="3" t="n">
        <v>9</v>
      </c>
      <c r="I15" s="3" t="n">
        <v>10</v>
      </c>
      <c r="J15" s="3" t="n">
        <v>7</v>
      </c>
      <c r="K15" s="3" t="n">
        <v>3</v>
      </c>
      <c r="L15" s="3" t="n">
        <v>4</v>
      </c>
      <c r="M15" s="3" t="n">
        <v>7</v>
      </c>
      <c r="N15" s="3" t="n">
        <v>8</v>
      </c>
      <c r="O15" s="3" t="n">
        <v>10</v>
      </c>
      <c r="P15" s="3" t="n">
        <v>9</v>
      </c>
      <c r="Q15" s="3" t="n">
        <v>7</v>
      </c>
      <c r="R15" s="3" t="n">
        <v>9</v>
      </c>
      <c r="S15" s="3" t="n">
        <v>2</v>
      </c>
      <c r="T15" s="3" t="n">
        <v>2</v>
      </c>
      <c r="U15" s="3" t="n">
        <v>2</v>
      </c>
      <c r="V15" s="3" t="n">
        <v>7</v>
      </c>
      <c r="W15" s="3" t="n">
        <v>10</v>
      </c>
      <c r="X15" s="3" t="n">
        <v>7</v>
      </c>
      <c r="Y15" s="3" t="n">
        <v>3</v>
      </c>
      <c r="Z15" s="3" t="n">
        <v>3</v>
      </c>
      <c r="AA15" s="3" t="n">
        <v>5</v>
      </c>
      <c r="AB15" s="3" t="n">
        <v>0</v>
      </c>
      <c r="AC15" s="3" t="n">
        <v>0</v>
      </c>
      <c r="AD15" s="3" t="n">
        <f aca="false">SUM(E15:AC15)</f>
        <v>144</v>
      </c>
    </row>
    <row r="16" customFormat="false" ht="21.75" hidden="false" customHeight="true" outlineLevel="0" collapsed="false">
      <c r="A16" s="3" t="n">
        <v>15</v>
      </c>
      <c r="B16" s="3" t="s">
        <v>397</v>
      </c>
      <c r="C16" s="4" t="s">
        <v>398</v>
      </c>
      <c r="D16" s="3" t="s">
        <v>399</v>
      </c>
      <c r="E16" s="3" t="n">
        <v>5</v>
      </c>
      <c r="F16" s="3" t="n">
        <v>7</v>
      </c>
      <c r="G16" s="3" t="n">
        <v>9</v>
      </c>
      <c r="H16" s="3" t="n">
        <v>3</v>
      </c>
      <c r="I16" s="3" t="n">
        <v>5</v>
      </c>
      <c r="J16" s="3" t="n">
        <v>10</v>
      </c>
      <c r="K16" s="3" t="n">
        <v>5</v>
      </c>
      <c r="L16" s="3" t="n">
        <v>5</v>
      </c>
      <c r="M16" s="3" t="n">
        <v>7</v>
      </c>
      <c r="N16" s="3" t="n">
        <v>1</v>
      </c>
      <c r="O16" s="3" t="n">
        <v>7</v>
      </c>
      <c r="P16" s="3" t="n">
        <v>7</v>
      </c>
      <c r="Q16" s="3" t="n">
        <v>7</v>
      </c>
      <c r="R16" s="3" t="n">
        <v>4</v>
      </c>
      <c r="S16" s="3" t="n">
        <v>10</v>
      </c>
      <c r="T16" s="3" t="n">
        <v>8</v>
      </c>
      <c r="U16" s="3" t="n">
        <v>0</v>
      </c>
      <c r="V16" s="3" t="n">
        <v>4</v>
      </c>
      <c r="W16" s="3" t="n">
        <v>7</v>
      </c>
      <c r="X16" s="3" t="n">
        <v>9</v>
      </c>
      <c r="Y16" s="3" t="n">
        <v>4</v>
      </c>
      <c r="Z16" s="3" t="n">
        <v>2</v>
      </c>
      <c r="AA16" s="3" t="n">
        <v>2</v>
      </c>
      <c r="AB16" s="3" t="n">
        <v>0</v>
      </c>
      <c r="AC16" s="3" t="n">
        <v>4</v>
      </c>
      <c r="AD16" s="3" t="n">
        <f aca="false">SUM(E16:AC16)</f>
        <v>132</v>
      </c>
    </row>
    <row r="17" customFormat="false" ht="21.75" hidden="false" customHeight="true" outlineLevel="0" collapsed="false">
      <c r="A17" s="3" t="n">
        <v>16</v>
      </c>
      <c r="B17" s="3" t="s">
        <v>400</v>
      </c>
      <c r="C17" s="4" t="s">
        <v>401</v>
      </c>
      <c r="D17" s="3" t="s">
        <v>402</v>
      </c>
      <c r="E17" s="3" t="n">
        <v>10</v>
      </c>
      <c r="F17" s="3" t="n">
        <v>4</v>
      </c>
      <c r="G17" s="3" t="n">
        <v>0</v>
      </c>
      <c r="H17" s="3" t="n">
        <v>6</v>
      </c>
      <c r="I17" s="3" t="n">
        <v>3</v>
      </c>
      <c r="J17" s="3" t="n">
        <v>7</v>
      </c>
      <c r="K17" s="3" t="n">
        <v>3</v>
      </c>
      <c r="L17" s="3" t="n">
        <v>5</v>
      </c>
      <c r="M17" s="3" t="n">
        <v>10</v>
      </c>
      <c r="N17" s="3" t="n">
        <v>1</v>
      </c>
      <c r="O17" s="3" t="n">
        <v>0</v>
      </c>
      <c r="P17" s="3" t="n">
        <v>4</v>
      </c>
      <c r="Q17" s="3" t="n">
        <v>7</v>
      </c>
      <c r="R17" s="3" t="n">
        <v>8</v>
      </c>
      <c r="S17" s="3" t="n">
        <v>7</v>
      </c>
      <c r="T17" s="3" t="n">
        <v>5</v>
      </c>
      <c r="U17" s="3" t="n">
        <v>6</v>
      </c>
      <c r="V17" s="3" t="n">
        <v>7</v>
      </c>
      <c r="W17" s="3" t="n">
        <v>7</v>
      </c>
      <c r="X17" s="3" t="n">
        <v>8</v>
      </c>
      <c r="Y17" s="3" t="n">
        <v>4</v>
      </c>
      <c r="Z17" s="3" t="n">
        <v>9</v>
      </c>
      <c r="AA17" s="3" t="n">
        <v>8</v>
      </c>
      <c r="AB17" s="3" t="n">
        <v>8</v>
      </c>
      <c r="AC17" s="3" t="n">
        <v>5</v>
      </c>
      <c r="AD17" s="3" t="n">
        <f aca="false">SUM(E17:AC17)</f>
        <v>142</v>
      </c>
    </row>
    <row r="18" customFormat="false" ht="21.75" hidden="false" customHeight="true" outlineLevel="0" collapsed="false">
      <c r="A18" s="3" t="n">
        <v>17</v>
      </c>
      <c r="B18" s="3" t="s">
        <v>403</v>
      </c>
      <c r="C18" s="4" t="s">
        <v>404</v>
      </c>
      <c r="D18" s="3" t="s">
        <v>405</v>
      </c>
      <c r="E18" s="3" t="n">
        <v>9</v>
      </c>
      <c r="F18" s="3" t="n">
        <v>7</v>
      </c>
      <c r="G18" s="3" t="n">
        <v>2</v>
      </c>
      <c r="H18" s="3" t="n">
        <v>2</v>
      </c>
      <c r="I18" s="3" t="n">
        <v>9</v>
      </c>
      <c r="J18" s="3" t="n">
        <v>2</v>
      </c>
      <c r="K18" s="3" t="n">
        <v>9</v>
      </c>
      <c r="L18" s="3" t="n">
        <v>5</v>
      </c>
      <c r="M18" s="3" t="n">
        <v>7</v>
      </c>
      <c r="N18" s="3" t="n">
        <v>0</v>
      </c>
      <c r="O18" s="3" t="n">
        <v>3</v>
      </c>
      <c r="P18" s="3" t="n">
        <v>5</v>
      </c>
      <c r="Q18" s="3" t="n">
        <v>7</v>
      </c>
      <c r="R18" s="3" t="n">
        <v>3</v>
      </c>
      <c r="S18" s="3" t="n">
        <v>3</v>
      </c>
      <c r="T18" s="3" t="n">
        <v>2</v>
      </c>
      <c r="U18" s="3" t="n">
        <v>10</v>
      </c>
      <c r="V18" s="3" t="n">
        <v>6</v>
      </c>
      <c r="W18" s="3" t="n">
        <v>7</v>
      </c>
      <c r="X18" s="3" t="n">
        <v>10</v>
      </c>
      <c r="Y18" s="3" t="n">
        <v>3</v>
      </c>
      <c r="Z18" s="3" t="n">
        <v>1</v>
      </c>
      <c r="AA18" s="3" t="n">
        <v>5</v>
      </c>
      <c r="AB18" s="3" t="n">
        <v>1</v>
      </c>
      <c r="AC18" s="3" t="n">
        <v>0</v>
      </c>
      <c r="AD18" s="3" t="n">
        <f aca="false">SUM(E18:AC18)</f>
        <v>118</v>
      </c>
    </row>
    <row r="19" customFormat="false" ht="21.75" hidden="false" customHeight="true" outlineLevel="0" collapsed="false">
      <c r="A19" s="3" t="n">
        <v>18</v>
      </c>
      <c r="B19" s="3" t="s">
        <v>406</v>
      </c>
      <c r="C19" s="4" t="s">
        <v>407</v>
      </c>
      <c r="D19" s="3" t="s">
        <v>408</v>
      </c>
      <c r="E19" s="3" t="n">
        <v>1</v>
      </c>
      <c r="F19" s="3" t="n">
        <v>7</v>
      </c>
      <c r="G19" s="3" t="n">
        <v>9</v>
      </c>
      <c r="H19" s="3" t="n">
        <v>6</v>
      </c>
      <c r="I19" s="3" t="n">
        <v>1</v>
      </c>
      <c r="J19" s="3" t="n">
        <v>5</v>
      </c>
      <c r="K19" s="3" t="n">
        <v>2</v>
      </c>
      <c r="L19" s="3" t="n">
        <v>9</v>
      </c>
      <c r="M19" s="3" t="n">
        <v>7</v>
      </c>
      <c r="N19" s="3" t="n">
        <v>0</v>
      </c>
      <c r="O19" s="3" t="n">
        <v>1</v>
      </c>
      <c r="P19" s="3" t="n">
        <v>6</v>
      </c>
      <c r="Q19" s="3" t="n">
        <v>8</v>
      </c>
      <c r="R19" s="3" t="n">
        <v>5</v>
      </c>
      <c r="S19" s="3" t="n">
        <v>5</v>
      </c>
      <c r="T19" s="3" t="n">
        <v>2</v>
      </c>
      <c r="U19" s="3" t="n">
        <v>1</v>
      </c>
      <c r="V19" s="3" t="n">
        <v>3</v>
      </c>
      <c r="W19" s="3" t="n">
        <v>7</v>
      </c>
      <c r="X19" s="3" t="n">
        <v>10</v>
      </c>
      <c r="Y19" s="3" t="n">
        <v>5</v>
      </c>
      <c r="Z19" s="3" t="n">
        <v>10</v>
      </c>
      <c r="AA19" s="3" t="n">
        <v>9</v>
      </c>
      <c r="AB19" s="3" t="n">
        <v>10</v>
      </c>
      <c r="AC19" s="3" t="n">
        <v>6</v>
      </c>
      <c r="AD19" s="3" t="n">
        <f aca="false">SUM(E19:AC19)</f>
        <v>135</v>
      </c>
    </row>
    <row r="20" customFormat="false" ht="21.75" hidden="false" customHeight="true" outlineLevel="0" collapsed="false">
      <c r="A20" s="3" t="n">
        <v>19</v>
      </c>
      <c r="B20" s="3" t="s">
        <v>409</v>
      </c>
      <c r="C20" s="4" t="s">
        <v>410</v>
      </c>
      <c r="D20" s="3" t="s">
        <v>411</v>
      </c>
      <c r="E20" s="3" t="n">
        <v>9</v>
      </c>
      <c r="F20" s="3" t="n">
        <v>7</v>
      </c>
      <c r="G20" s="3" t="n">
        <v>8</v>
      </c>
      <c r="H20" s="3" t="n">
        <v>4</v>
      </c>
      <c r="I20" s="3" t="n">
        <v>8</v>
      </c>
      <c r="J20" s="3" t="n">
        <v>9</v>
      </c>
      <c r="K20" s="3" t="n">
        <v>5</v>
      </c>
      <c r="L20" s="3" t="n">
        <v>6</v>
      </c>
      <c r="M20" s="3" t="n">
        <v>7</v>
      </c>
      <c r="N20" s="3" t="n">
        <v>7</v>
      </c>
      <c r="O20" s="3" t="n">
        <v>4</v>
      </c>
      <c r="P20" s="3" t="n">
        <v>0</v>
      </c>
      <c r="Q20" s="3" t="n">
        <v>7</v>
      </c>
      <c r="R20" s="3" t="n">
        <v>4</v>
      </c>
      <c r="S20" s="3" t="n">
        <v>4</v>
      </c>
      <c r="T20" s="3" t="n">
        <v>2</v>
      </c>
      <c r="U20" s="3" t="n">
        <v>4</v>
      </c>
      <c r="V20" s="3" t="n">
        <v>8</v>
      </c>
      <c r="W20" s="3" t="n">
        <v>7</v>
      </c>
      <c r="X20" s="3" t="n">
        <v>7</v>
      </c>
      <c r="Y20" s="3" t="n">
        <v>2</v>
      </c>
      <c r="Z20" s="3" t="n">
        <v>8</v>
      </c>
      <c r="AA20" s="3" t="n">
        <v>1</v>
      </c>
      <c r="AB20" s="3" t="n">
        <v>4</v>
      </c>
      <c r="AC20" s="3" t="n">
        <v>4</v>
      </c>
      <c r="AD20" s="3" t="n">
        <f aca="false">SUM(E20:AC20)</f>
        <v>136</v>
      </c>
    </row>
    <row r="21" customFormat="false" ht="21.75" hidden="false" customHeight="true" outlineLevel="0" collapsed="false">
      <c r="A21" s="3" t="n">
        <v>20</v>
      </c>
      <c r="B21" s="3" t="s">
        <v>412</v>
      </c>
      <c r="C21" s="4" t="s">
        <v>413</v>
      </c>
      <c r="D21" s="3" t="s">
        <v>414</v>
      </c>
      <c r="E21" s="3" t="n">
        <v>0</v>
      </c>
      <c r="F21" s="3" t="n">
        <v>7</v>
      </c>
      <c r="G21" s="3" t="n">
        <v>5</v>
      </c>
      <c r="H21" s="3" t="n">
        <v>8</v>
      </c>
      <c r="I21" s="3" t="n">
        <v>10</v>
      </c>
      <c r="J21" s="3" t="n">
        <v>1</v>
      </c>
      <c r="K21" s="3" t="n">
        <v>5</v>
      </c>
      <c r="L21" s="3" t="n">
        <v>10</v>
      </c>
      <c r="M21" s="3" t="n">
        <v>7</v>
      </c>
      <c r="N21" s="3" t="n">
        <v>6</v>
      </c>
      <c r="O21" s="3" t="n">
        <v>3</v>
      </c>
      <c r="P21" s="3" t="n">
        <v>7</v>
      </c>
      <c r="Q21" s="3" t="n">
        <v>7</v>
      </c>
      <c r="R21" s="3" t="n">
        <v>0</v>
      </c>
      <c r="S21" s="3" t="n">
        <v>3</v>
      </c>
      <c r="T21" s="3" t="n">
        <v>2</v>
      </c>
      <c r="U21" s="3" t="n">
        <v>2</v>
      </c>
      <c r="V21" s="3" t="n">
        <v>6</v>
      </c>
      <c r="W21" s="3" t="n">
        <v>4</v>
      </c>
      <c r="X21" s="3" t="n">
        <v>7</v>
      </c>
      <c r="Y21" s="3" t="n">
        <v>10</v>
      </c>
      <c r="Z21" s="3" t="n">
        <v>3</v>
      </c>
      <c r="AA21" s="3" t="n">
        <v>5</v>
      </c>
      <c r="AB21" s="3" t="n">
        <v>6</v>
      </c>
      <c r="AC21" s="3" t="n">
        <v>8</v>
      </c>
      <c r="AD21" s="3" t="n">
        <f aca="false">SUM(E21:AC21)</f>
        <v>132</v>
      </c>
    </row>
    <row r="22" customFormat="false" ht="21.75" hidden="false" customHeight="true" outlineLevel="0" collapsed="false">
      <c r="A22" s="3" t="n">
        <v>21</v>
      </c>
      <c r="B22" s="3" t="s">
        <v>415</v>
      </c>
      <c r="C22" s="4" t="s">
        <v>416</v>
      </c>
      <c r="D22" s="3" t="s">
        <v>417</v>
      </c>
      <c r="E22" s="3" t="n">
        <v>2</v>
      </c>
      <c r="F22" s="3" t="n">
        <v>7</v>
      </c>
      <c r="G22" s="3" t="n">
        <v>2</v>
      </c>
      <c r="H22" s="3" t="n">
        <v>7</v>
      </c>
      <c r="I22" s="3" t="n">
        <v>1</v>
      </c>
      <c r="J22" s="3" t="n">
        <v>10</v>
      </c>
      <c r="K22" s="3" t="n">
        <v>5</v>
      </c>
      <c r="L22" s="3" t="n">
        <v>6</v>
      </c>
      <c r="M22" s="3" t="n">
        <v>9</v>
      </c>
      <c r="N22" s="3" t="n">
        <v>4</v>
      </c>
      <c r="O22" s="3" t="n">
        <v>2</v>
      </c>
      <c r="P22" s="3" t="n">
        <v>2</v>
      </c>
      <c r="Q22" s="3" t="n">
        <v>7</v>
      </c>
      <c r="R22" s="3" t="n">
        <v>9</v>
      </c>
      <c r="S22" s="3" t="n">
        <v>2</v>
      </c>
      <c r="T22" s="3" t="n">
        <v>2</v>
      </c>
      <c r="U22" s="3" t="n">
        <v>9</v>
      </c>
      <c r="V22" s="3" t="n">
        <v>7</v>
      </c>
      <c r="W22" s="3" t="n">
        <v>7</v>
      </c>
      <c r="X22" s="3" t="n">
        <v>7</v>
      </c>
      <c r="Y22" s="3" t="n">
        <v>6</v>
      </c>
      <c r="Z22" s="3" t="n">
        <v>9</v>
      </c>
      <c r="AA22" s="3" t="n">
        <v>9</v>
      </c>
      <c r="AB22" s="3" t="n">
        <v>10</v>
      </c>
      <c r="AC22" s="3" t="n">
        <v>9</v>
      </c>
      <c r="AD22" s="3" t="n">
        <f aca="false">SUM(E22:AC22)</f>
        <v>150</v>
      </c>
    </row>
    <row r="23" customFormat="false" ht="21.75" hidden="false" customHeight="true" outlineLevel="0" collapsed="false">
      <c r="A23" s="3" t="n">
        <v>22</v>
      </c>
      <c r="B23" s="3" t="s">
        <v>418</v>
      </c>
      <c r="C23" s="4" t="s">
        <v>419</v>
      </c>
      <c r="D23" s="3" t="s">
        <v>420</v>
      </c>
      <c r="E23" s="3" t="n">
        <v>1</v>
      </c>
      <c r="F23" s="3" t="n">
        <v>7</v>
      </c>
      <c r="G23" s="3" t="n">
        <v>0</v>
      </c>
      <c r="H23" s="3" t="n">
        <v>4</v>
      </c>
      <c r="I23" s="3" t="n">
        <v>0</v>
      </c>
      <c r="J23" s="3" t="n">
        <v>9</v>
      </c>
      <c r="K23" s="3" t="n">
        <v>4</v>
      </c>
      <c r="L23" s="3" t="n">
        <v>2</v>
      </c>
      <c r="M23" s="3" t="n">
        <v>7</v>
      </c>
      <c r="N23" s="3" t="n">
        <v>3</v>
      </c>
      <c r="O23" s="3" t="n">
        <v>2</v>
      </c>
      <c r="P23" s="3" t="n">
        <v>4</v>
      </c>
      <c r="Q23" s="3" t="n">
        <v>10</v>
      </c>
      <c r="R23" s="3" t="n">
        <v>3</v>
      </c>
      <c r="S23" s="3" t="n">
        <v>6</v>
      </c>
      <c r="T23" s="3" t="n">
        <v>3</v>
      </c>
      <c r="U23" s="3" t="n">
        <v>4</v>
      </c>
      <c r="V23" s="3" t="n">
        <v>7</v>
      </c>
      <c r="W23" s="3" t="n">
        <v>10</v>
      </c>
      <c r="X23" s="3" t="n">
        <v>7</v>
      </c>
      <c r="Y23" s="3" t="n">
        <v>1</v>
      </c>
      <c r="Z23" s="3" t="n">
        <v>2</v>
      </c>
      <c r="AA23" s="3" t="n">
        <v>9</v>
      </c>
      <c r="AB23" s="3" t="n">
        <v>9</v>
      </c>
      <c r="AC23" s="3" t="n">
        <v>3</v>
      </c>
      <c r="AD23" s="3" t="n">
        <f aca="false">SUM(E23:AC23)</f>
        <v>117</v>
      </c>
    </row>
    <row r="24" customFormat="false" ht="21.75" hidden="false" customHeight="true" outlineLevel="0" collapsed="false">
      <c r="A24" s="3" t="n">
        <v>23</v>
      </c>
      <c r="B24" s="3" t="s">
        <v>421</v>
      </c>
      <c r="C24" s="4" t="s">
        <v>422</v>
      </c>
      <c r="D24" s="3" t="s">
        <v>423</v>
      </c>
      <c r="E24" s="3" t="n">
        <v>0</v>
      </c>
      <c r="F24" s="3" t="n">
        <v>7</v>
      </c>
      <c r="G24" s="3" t="n">
        <v>2</v>
      </c>
      <c r="H24" s="3" t="n">
        <v>10</v>
      </c>
      <c r="I24" s="3" t="n">
        <v>0</v>
      </c>
      <c r="J24" s="3" t="n">
        <v>8</v>
      </c>
      <c r="K24" s="3" t="n">
        <v>1</v>
      </c>
      <c r="L24" s="3" t="n">
        <v>3</v>
      </c>
      <c r="M24" s="3" t="n">
        <v>7</v>
      </c>
      <c r="N24" s="3" t="n">
        <v>1</v>
      </c>
      <c r="O24" s="3" t="n">
        <v>3</v>
      </c>
      <c r="P24" s="3" t="n">
        <v>9</v>
      </c>
      <c r="Q24" s="3" t="n">
        <v>7</v>
      </c>
      <c r="R24" s="3" t="n">
        <v>1</v>
      </c>
      <c r="S24" s="3" t="n">
        <v>3</v>
      </c>
      <c r="T24" s="3" t="n">
        <v>2</v>
      </c>
      <c r="U24" s="3" t="n">
        <v>9</v>
      </c>
      <c r="V24" s="3" t="n">
        <v>7</v>
      </c>
      <c r="W24" s="3" t="n">
        <v>7</v>
      </c>
      <c r="X24" s="3" t="n">
        <v>6</v>
      </c>
      <c r="Y24" s="3" t="n">
        <v>1</v>
      </c>
      <c r="Z24" s="3" t="n">
        <v>7</v>
      </c>
      <c r="AA24" s="3" t="n">
        <v>8</v>
      </c>
      <c r="AB24" s="3" t="n">
        <v>6</v>
      </c>
      <c r="AC24" s="3" t="n">
        <v>10</v>
      </c>
      <c r="AD24" s="3" t="n">
        <f aca="false">SUM(E24:AC24)</f>
        <v>125</v>
      </c>
    </row>
    <row r="25" customFormat="false" ht="21.75" hidden="false" customHeight="true" outlineLevel="0" collapsed="false">
      <c r="A25" s="3" t="n">
        <v>24</v>
      </c>
      <c r="B25" s="3" t="s">
        <v>424</v>
      </c>
      <c r="C25" s="4" t="s">
        <v>425</v>
      </c>
      <c r="D25" s="3" t="s">
        <v>426</v>
      </c>
      <c r="E25" s="3" t="n">
        <v>4</v>
      </c>
      <c r="F25" s="3" t="n">
        <v>6</v>
      </c>
      <c r="G25" s="3" t="n">
        <v>8</v>
      </c>
      <c r="H25" s="3" t="n">
        <v>0</v>
      </c>
      <c r="I25" s="3" t="n">
        <v>6</v>
      </c>
      <c r="J25" s="3" t="n">
        <v>9</v>
      </c>
      <c r="K25" s="3" t="n">
        <v>6</v>
      </c>
      <c r="L25" s="3" t="n">
        <v>9</v>
      </c>
      <c r="M25" s="3" t="n">
        <v>7</v>
      </c>
      <c r="N25" s="3" t="n">
        <v>10</v>
      </c>
      <c r="O25" s="3" t="n">
        <v>0</v>
      </c>
      <c r="P25" s="3" t="n">
        <v>4</v>
      </c>
      <c r="Q25" s="3" t="n">
        <v>7</v>
      </c>
      <c r="R25" s="3" t="n">
        <v>9</v>
      </c>
      <c r="S25" s="3" t="n">
        <v>8</v>
      </c>
      <c r="T25" s="3" t="n">
        <v>6</v>
      </c>
      <c r="U25" s="3" t="n">
        <v>5</v>
      </c>
      <c r="V25" s="3" t="n">
        <v>10</v>
      </c>
      <c r="W25" s="3" t="n">
        <v>7</v>
      </c>
      <c r="X25" s="3" t="n">
        <v>9</v>
      </c>
      <c r="Y25" s="3" t="n">
        <v>7</v>
      </c>
      <c r="Z25" s="3" t="n">
        <v>10</v>
      </c>
      <c r="AA25" s="3" t="n">
        <v>4</v>
      </c>
      <c r="AB25" s="3" t="n">
        <v>1</v>
      </c>
      <c r="AC25" s="3" t="n">
        <v>5</v>
      </c>
      <c r="AD25" s="3" t="n">
        <f aca="false">SUM(E25:AC25)</f>
        <v>157</v>
      </c>
    </row>
    <row r="26" customFormat="false" ht="21.75" hidden="false" customHeight="true" outlineLevel="0" collapsed="false">
      <c r="A26" s="3" t="n">
        <v>25</v>
      </c>
      <c r="B26" s="3" t="s">
        <v>427</v>
      </c>
      <c r="C26" s="4" t="s">
        <v>428</v>
      </c>
      <c r="D26" s="3" t="s">
        <v>429</v>
      </c>
      <c r="E26" s="3" t="n">
        <v>10</v>
      </c>
      <c r="F26" s="3" t="n">
        <v>4</v>
      </c>
      <c r="G26" s="3" t="n">
        <v>10</v>
      </c>
      <c r="H26" s="3" t="n">
        <v>6</v>
      </c>
      <c r="I26" s="3" t="n">
        <v>1</v>
      </c>
      <c r="J26" s="3" t="n">
        <v>8</v>
      </c>
      <c r="K26" s="3" t="n">
        <v>3</v>
      </c>
      <c r="L26" s="3" t="n">
        <v>4</v>
      </c>
      <c r="M26" s="3" t="n">
        <v>7</v>
      </c>
      <c r="N26" s="3" t="n">
        <v>3</v>
      </c>
      <c r="O26" s="3" t="n">
        <v>0</v>
      </c>
      <c r="P26" s="3" t="n">
        <v>5</v>
      </c>
      <c r="Q26" s="3" t="n">
        <v>7</v>
      </c>
      <c r="R26" s="3" t="n">
        <v>10</v>
      </c>
      <c r="S26" s="3" t="n">
        <v>10</v>
      </c>
      <c r="T26" s="3" t="n">
        <v>2</v>
      </c>
      <c r="U26" s="3" t="n">
        <v>1</v>
      </c>
      <c r="V26" s="3" t="n">
        <v>7</v>
      </c>
      <c r="W26" s="3" t="n">
        <v>4</v>
      </c>
      <c r="X26" s="3" t="n">
        <v>5</v>
      </c>
      <c r="Y26" s="3" t="n">
        <v>7</v>
      </c>
      <c r="Z26" s="3" t="n">
        <v>3</v>
      </c>
      <c r="AA26" s="3" t="n">
        <v>0</v>
      </c>
      <c r="AB26" s="3" t="n">
        <v>0</v>
      </c>
      <c r="AC26" s="3" t="n">
        <v>8</v>
      </c>
      <c r="AD26" s="3" t="n">
        <f aca="false">SUM(E26:AC26)</f>
        <v>125</v>
      </c>
    </row>
    <row r="27" customFormat="false" ht="21.75" hidden="false" customHeight="true" outlineLevel="0" collapsed="false">
      <c r="A27" s="3" t="n">
        <v>26</v>
      </c>
      <c r="B27" s="3" t="s">
        <v>430</v>
      </c>
      <c r="C27" s="4" t="s">
        <v>431</v>
      </c>
      <c r="D27" s="3" t="s">
        <v>432</v>
      </c>
      <c r="E27" s="3" t="n">
        <v>9</v>
      </c>
      <c r="F27" s="3" t="n">
        <v>5</v>
      </c>
      <c r="G27" s="3" t="n">
        <v>6</v>
      </c>
      <c r="H27" s="3" t="n">
        <v>10</v>
      </c>
      <c r="I27" s="3" t="n">
        <v>7</v>
      </c>
      <c r="J27" s="3" t="n">
        <v>2</v>
      </c>
      <c r="K27" s="3" t="n">
        <v>0</v>
      </c>
      <c r="L27" s="3" t="n">
        <v>6</v>
      </c>
      <c r="M27" s="3" t="n">
        <v>7</v>
      </c>
      <c r="N27" s="3" t="n">
        <v>7</v>
      </c>
      <c r="O27" s="3" t="n">
        <v>3</v>
      </c>
      <c r="P27" s="3" t="n">
        <v>2</v>
      </c>
      <c r="Q27" s="3" t="n">
        <v>9</v>
      </c>
      <c r="R27" s="3" t="n">
        <v>5</v>
      </c>
      <c r="S27" s="3" t="n">
        <v>10</v>
      </c>
      <c r="T27" s="3" t="n">
        <v>2</v>
      </c>
      <c r="U27" s="3" t="n">
        <v>2</v>
      </c>
      <c r="V27" s="3" t="n">
        <v>6</v>
      </c>
      <c r="W27" s="3" t="n">
        <v>7</v>
      </c>
      <c r="X27" s="3" t="n">
        <v>4</v>
      </c>
      <c r="Y27" s="3" t="n">
        <v>9</v>
      </c>
      <c r="Z27" s="3" t="n">
        <v>6</v>
      </c>
      <c r="AA27" s="3" t="n">
        <v>10</v>
      </c>
      <c r="AB27" s="3" t="n">
        <v>6</v>
      </c>
      <c r="AC27" s="3" t="n">
        <v>3</v>
      </c>
      <c r="AD27" s="3" t="n">
        <f aca="false">SUM(E27:AC27)</f>
        <v>143</v>
      </c>
    </row>
    <row r="28" customFormat="false" ht="21.75" hidden="false" customHeight="true" outlineLevel="0" collapsed="false">
      <c r="A28" s="3" t="n">
        <v>27</v>
      </c>
      <c r="B28" s="3" t="s">
        <v>433</v>
      </c>
      <c r="C28" s="4" t="s">
        <v>434</v>
      </c>
      <c r="D28" s="3" t="s">
        <v>435</v>
      </c>
      <c r="E28" s="3" t="n">
        <v>4</v>
      </c>
      <c r="F28" s="3" t="n">
        <v>7</v>
      </c>
      <c r="G28" s="3" t="n">
        <v>10</v>
      </c>
      <c r="H28" s="3" t="n">
        <v>7</v>
      </c>
      <c r="I28" s="3" t="n">
        <v>9</v>
      </c>
      <c r="J28" s="3" t="n">
        <v>6</v>
      </c>
      <c r="K28" s="3" t="n">
        <v>10</v>
      </c>
      <c r="L28" s="3" t="n">
        <v>6</v>
      </c>
      <c r="M28" s="3" t="n">
        <v>7</v>
      </c>
      <c r="N28" s="3" t="n">
        <v>9</v>
      </c>
      <c r="O28" s="3" t="n">
        <v>5</v>
      </c>
      <c r="P28" s="3" t="n">
        <v>3</v>
      </c>
      <c r="Q28" s="3" t="n">
        <v>4</v>
      </c>
      <c r="R28" s="3" t="n">
        <v>2</v>
      </c>
      <c r="S28" s="3" t="n">
        <v>5</v>
      </c>
      <c r="T28" s="3" t="n">
        <v>1</v>
      </c>
      <c r="U28" s="3" t="n">
        <v>5</v>
      </c>
      <c r="V28" s="3" t="n">
        <v>7</v>
      </c>
      <c r="W28" s="3" t="n">
        <v>6</v>
      </c>
      <c r="X28" s="3" t="n">
        <v>5</v>
      </c>
      <c r="Y28" s="3" t="n">
        <v>3</v>
      </c>
      <c r="Z28" s="3" t="n">
        <v>5</v>
      </c>
      <c r="AA28" s="3" t="n">
        <v>8</v>
      </c>
      <c r="AB28" s="3" t="n">
        <v>9</v>
      </c>
      <c r="AC28" s="3" t="n">
        <v>10</v>
      </c>
      <c r="AD28" s="3" t="n">
        <f aca="false">SUM(E28:AC28)</f>
        <v>153</v>
      </c>
    </row>
    <row r="29" customFormat="false" ht="21.75" hidden="false" customHeight="true" outlineLevel="0" collapsed="false">
      <c r="A29" s="3" t="n">
        <v>28</v>
      </c>
      <c r="B29" s="3" t="s">
        <v>436</v>
      </c>
      <c r="C29" s="4" t="s">
        <v>437</v>
      </c>
      <c r="D29" s="3" t="s">
        <v>438</v>
      </c>
      <c r="E29" s="3" t="n">
        <v>8</v>
      </c>
      <c r="F29" s="3" t="n">
        <v>7</v>
      </c>
      <c r="G29" s="3" t="n">
        <v>0</v>
      </c>
      <c r="H29" s="3" t="n">
        <v>2</v>
      </c>
      <c r="I29" s="3" t="n">
        <v>3</v>
      </c>
      <c r="J29" s="3" t="n">
        <v>8</v>
      </c>
      <c r="K29" s="3" t="n">
        <v>4</v>
      </c>
      <c r="L29" s="3" t="n">
        <v>4</v>
      </c>
      <c r="M29" s="3" t="n">
        <v>2</v>
      </c>
      <c r="N29" s="3" t="n">
        <v>10</v>
      </c>
      <c r="O29" s="3" t="n">
        <v>8</v>
      </c>
      <c r="P29" s="3" t="n">
        <v>6</v>
      </c>
      <c r="Q29" s="3" t="n">
        <v>7</v>
      </c>
      <c r="R29" s="3" t="n">
        <v>4</v>
      </c>
      <c r="S29" s="3" t="n">
        <v>6</v>
      </c>
      <c r="T29" s="3" t="n">
        <v>2</v>
      </c>
      <c r="U29" s="3" t="n">
        <v>1</v>
      </c>
      <c r="V29" s="3" t="n">
        <v>7</v>
      </c>
      <c r="W29" s="3" t="n">
        <v>7</v>
      </c>
      <c r="X29" s="3" t="n">
        <v>7</v>
      </c>
      <c r="Y29" s="3" t="n">
        <v>5</v>
      </c>
      <c r="Z29" s="3" t="n">
        <v>7</v>
      </c>
      <c r="AA29" s="3" t="n">
        <v>8</v>
      </c>
      <c r="AB29" s="3" t="n">
        <v>2</v>
      </c>
      <c r="AC29" s="3" t="n">
        <v>3</v>
      </c>
      <c r="AD29" s="3" t="n">
        <f aca="false">SUM(E29:AC29)</f>
        <v>128</v>
      </c>
    </row>
    <row r="30" customFormat="false" ht="21.75" hidden="false" customHeight="true" outlineLevel="0" collapsed="false">
      <c r="A30" s="3" t="n">
        <v>29</v>
      </c>
      <c r="B30" s="3" t="s">
        <v>439</v>
      </c>
      <c r="C30" s="4" t="s">
        <v>440</v>
      </c>
      <c r="D30" s="3" t="s">
        <v>441</v>
      </c>
      <c r="E30" s="3" t="n">
        <v>8</v>
      </c>
      <c r="F30" s="3" t="n">
        <v>10</v>
      </c>
      <c r="G30" s="3" t="n">
        <v>1</v>
      </c>
      <c r="H30" s="3" t="n">
        <v>8</v>
      </c>
      <c r="I30" s="3" t="n">
        <v>1</v>
      </c>
      <c r="J30" s="3" t="n">
        <v>5</v>
      </c>
      <c r="K30" s="3" t="n">
        <v>4</v>
      </c>
      <c r="L30" s="3" t="n">
        <v>6</v>
      </c>
      <c r="M30" s="3" t="n">
        <v>8</v>
      </c>
      <c r="N30" s="3" t="n">
        <v>7</v>
      </c>
      <c r="O30" s="3" t="n">
        <v>4</v>
      </c>
      <c r="P30" s="3" t="n">
        <v>1</v>
      </c>
      <c r="Q30" s="3" t="n">
        <v>7</v>
      </c>
      <c r="R30" s="3" t="n">
        <v>5</v>
      </c>
      <c r="S30" s="3" t="n">
        <v>8</v>
      </c>
      <c r="T30" s="3" t="n">
        <v>8</v>
      </c>
      <c r="U30" s="3" t="n">
        <v>1</v>
      </c>
      <c r="V30" s="3" t="n">
        <v>0</v>
      </c>
      <c r="W30" s="3" t="n">
        <v>7</v>
      </c>
      <c r="X30" s="3" t="n">
        <v>7</v>
      </c>
      <c r="Y30" s="3" t="n">
        <v>9</v>
      </c>
      <c r="Z30" s="3" t="n">
        <v>5</v>
      </c>
      <c r="AA30" s="3" t="n">
        <v>10</v>
      </c>
      <c r="AB30" s="3" t="n">
        <v>6</v>
      </c>
      <c r="AC30" s="3" t="n">
        <v>10</v>
      </c>
      <c r="AD30" s="3" t="n">
        <f aca="false">SUM(E30:AC30)</f>
        <v>146</v>
      </c>
    </row>
    <row r="31" customFormat="false" ht="21.75" hidden="false" customHeight="true" outlineLevel="0" collapsed="false">
      <c r="A31" s="3" t="n">
        <v>30</v>
      </c>
      <c r="B31" s="3" t="s">
        <v>442</v>
      </c>
      <c r="C31" s="4" t="s">
        <v>443</v>
      </c>
      <c r="D31" s="3" t="s">
        <v>444</v>
      </c>
      <c r="E31" s="3" t="n">
        <v>2</v>
      </c>
      <c r="F31" s="3" t="n">
        <v>5</v>
      </c>
      <c r="G31" s="3" t="n">
        <v>3</v>
      </c>
      <c r="H31" s="3" t="n">
        <v>5</v>
      </c>
      <c r="I31" s="3" t="n">
        <v>2</v>
      </c>
      <c r="J31" s="3" t="n">
        <v>5</v>
      </c>
      <c r="K31" s="3" t="n">
        <v>6</v>
      </c>
      <c r="L31" s="3" t="n">
        <v>10</v>
      </c>
      <c r="M31" s="3" t="n">
        <v>7</v>
      </c>
      <c r="N31" s="3" t="n">
        <v>5</v>
      </c>
      <c r="O31" s="3" t="n">
        <v>10</v>
      </c>
      <c r="P31" s="3" t="n">
        <v>2</v>
      </c>
      <c r="Q31" s="3" t="n">
        <v>10</v>
      </c>
      <c r="R31" s="3" t="n">
        <v>8</v>
      </c>
      <c r="S31" s="3" t="n">
        <v>0</v>
      </c>
      <c r="T31" s="3" t="n">
        <v>2</v>
      </c>
      <c r="U31" s="3" t="n">
        <v>2</v>
      </c>
      <c r="V31" s="3" t="n">
        <v>4</v>
      </c>
      <c r="W31" s="3" t="n">
        <v>7</v>
      </c>
      <c r="X31" s="3" t="n">
        <v>1</v>
      </c>
      <c r="Y31" s="3" t="n">
        <v>8</v>
      </c>
      <c r="Z31" s="3" t="n">
        <v>4</v>
      </c>
      <c r="AA31" s="3" t="n">
        <v>8</v>
      </c>
      <c r="AB31" s="3" t="n">
        <v>3</v>
      </c>
      <c r="AC31" s="3" t="n">
        <v>9</v>
      </c>
      <c r="AD31" s="3" t="n">
        <f aca="false">SUM(E31:AC31)</f>
        <v>128</v>
      </c>
    </row>
    <row r="32" customFormat="false" ht="21.75" hidden="false" customHeight="true" outlineLevel="0" collapsed="false">
      <c r="A32" s="3" t="n">
        <v>31</v>
      </c>
      <c r="B32" s="3" t="s">
        <v>445</v>
      </c>
      <c r="C32" s="4" t="s">
        <v>446</v>
      </c>
      <c r="D32" s="3" t="s">
        <v>447</v>
      </c>
      <c r="E32" s="3" t="n">
        <v>4</v>
      </c>
      <c r="F32" s="3" t="n">
        <v>7</v>
      </c>
      <c r="G32" s="3" t="n">
        <v>0</v>
      </c>
      <c r="H32" s="3" t="n">
        <v>6</v>
      </c>
      <c r="I32" s="3" t="n">
        <v>9</v>
      </c>
      <c r="J32" s="3" t="n">
        <v>6</v>
      </c>
      <c r="K32" s="3" t="n">
        <v>7</v>
      </c>
      <c r="L32" s="3" t="n">
        <v>2</v>
      </c>
      <c r="M32" s="3" t="n">
        <v>7</v>
      </c>
      <c r="N32" s="3" t="n">
        <v>5</v>
      </c>
      <c r="O32" s="3" t="n">
        <v>0</v>
      </c>
      <c r="P32" s="3" t="n">
        <v>7</v>
      </c>
      <c r="Q32" s="3" t="n">
        <v>6</v>
      </c>
      <c r="R32" s="3" t="n">
        <v>5</v>
      </c>
      <c r="S32" s="3" t="n">
        <v>6</v>
      </c>
      <c r="T32" s="3" t="n">
        <v>2</v>
      </c>
      <c r="U32" s="3" t="n">
        <v>2</v>
      </c>
      <c r="V32" s="3" t="n">
        <v>7</v>
      </c>
      <c r="W32" s="3" t="n">
        <v>7</v>
      </c>
      <c r="X32" s="3" t="n">
        <v>7</v>
      </c>
      <c r="Y32" s="3" t="n">
        <v>10</v>
      </c>
      <c r="Z32" s="3" t="n">
        <v>1</v>
      </c>
      <c r="AA32" s="3" t="n">
        <v>3</v>
      </c>
      <c r="AB32" s="3" t="n">
        <v>7</v>
      </c>
      <c r="AC32" s="3" t="n">
        <v>7</v>
      </c>
      <c r="AD32" s="3" t="n">
        <f aca="false">SUM(E32:AC32)</f>
        <v>130</v>
      </c>
    </row>
    <row r="33" customFormat="false" ht="21.75" hidden="false" customHeight="true" outlineLevel="0" collapsed="false">
      <c r="A33" s="3" t="n">
        <v>32</v>
      </c>
      <c r="B33" s="3" t="s">
        <v>448</v>
      </c>
      <c r="C33" s="4" t="s">
        <v>449</v>
      </c>
      <c r="D33" s="3" t="s">
        <v>450</v>
      </c>
      <c r="E33" s="3" t="n">
        <v>8</v>
      </c>
      <c r="F33" s="3" t="n">
        <v>4</v>
      </c>
      <c r="G33" s="3" t="n">
        <v>6</v>
      </c>
      <c r="H33" s="3" t="n">
        <v>8</v>
      </c>
      <c r="I33" s="3" t="n">
        <v>7</v>
      </c>
      <c r="J33" s="3" t="n">
        <v>4</v>
      </c>
      <c r="K33" s="3" t="n">
        <v>4</v>
      </c>
      <c r="L33" s="3" t="n">
        <v>5</v>
      </c>
      <c r="M33" s="3" t="n">
        <v>2</v>
      </c>
      <c r="N33" s="3" t="n">
        <v>1</v>
      </c>
      <c r="O33" s="3" t="n">
        <v>7</v>
      </c>
      <c r="P33" s="3" t="n">
        <v>9</v>
      </c>
      <c r="Q33" s="3" t="n">
        <v>0</v>
      </c>
      <c r="R33" s="3" t="n">
        <v>5</v>
      </c>
      <c r="S33" s="3" t="n">
        <v>9</v>
      </c>
      <c r="T33" s="3" t="n">
        <v>6</v>
      </c>
      <c r="U33" s="3" t="n">
        <v>1</v>
      </c>
      <c r="V33" s="3" t="n">
        <v>8</v>
      </c>
      <c r="W33" s="3" t="n">
        <v>7</v>
      </c>
      <c r="X33" s="3" t="n">
        <v>9</v>
      </c>
      <c r="Y33" s="3" t="n">
        <v>1</v>
      </c>
      <c r="Z33" s="3" t="n">
        <v>8</v>
      </c>
      <c r="AA33" s="3" t="n">
        <v>9</v>
      </c>
      <c r="AB33" s="3" t="n">
        <v>7</v>
      </c>
      <c r="AC33" s="3" t="n">
        <v>1</v>
      </c>
      <c r="AD33" s="3" t="n">
        <f aca="false">SUM(E33:AC33)</f>
        <v>136</v>
      </c>
    </row>
    <row r="34" customFormat="false" ht="21.75" hidden="false" customHeight="true" outlineLevel="0" collapsed="false">
      <c r="A34" s="3" t="n">
        <v>33</v>
      </c>
      <c r="B34" s="3" t="s">
        <v>451</v>
      </c>
      <c r="C34" s="4" t="s">
        <v>452</v>
      </c>
      <c r="D34" s="3" t="s">
        <v>453</v>
      </c>
      <c r="E34" s="3" t="n">
        <v>5</v>
      </c>
      <c r="F34" s="3" t="n">
        <v>3</v>
      </c>
      <c r="G34" s="3" t="n">
        <v>6</v>
      </c>
      <c r="H34" s="3" t="n">
        <v>10</v>
      </c>
      <c r="I34" s="3" t="n">
        <v>7</v>
      </c>
      <c r="J34" s="3" t="n">
        <v>5</v>
      </c>
      <c r="K34" s="3" t="n">
        <v>4</v>
      </c>
      <c r="L34" s="3" t="n">
        <v>7</v>
      </c>
      <c r="M34" s="3" t="n">
        <v>7</v>
      </c>
      <c r="N34" s="3" t="n">
        <v>4</v>
      </c>
      <c r="O34" s="3" t="n">
        <v>3</v>
      </c>
      <c r="P34" s="3" t="n">
        <v>10</v>
      </c>
      <c r="Q34" s="3" t="n">
        <v>7</v>
      </c>
      <c r="R34" s="3" t="n">
        <v>5</v>
      </c>
      <c r="S34" s="3" t="n">
        <v>4</v>
      </c>
      <c r="T34" s="3" t="n">
        <v>9</v>
      </c>
      <c r="U34" s="3" t="n">
        <v>8</v>
      </c>
      <c r="V34" s="3" t="n">
        <v>7</v>
      </c>
      <c r="W34" s="3" t="n">
        <v>7</v>
      </c>
      <c r="X34" s="3" t="n">
        <v>7</v>
      </c>
      <c r="Y34" s="3" t="n">
        <v>7</v>
      </c>
      <c r="Z34" s="3" t="n">
        <v>9</v>
      </c>
      <c r="AA34" s="3" t="n">
        <v>4</v>
      </c>
      <c r="AB34" s="3" t="n">
        <v>7</v>
      </c>
      <c r="AC34" s="3" t="n">
        <v>8</v>
      </c>
      <c r="AD34" s="3" t="n">
        <f aca="false">SUM(E34:AC34)</f>
        <v>160</v>
      </c>
    </row>
    <row r="35" customFormat="false" ht="21.75" hidden="false" customHeight="true" outlineLevel="0" collapsed="false">
      <c r="A35" s="3" t="n">
        <v>34</v>
      </c>
      <c r="B35" s="3" t="s">
        <v>454</v>
      </c>
      <c r="C35" s="4" t="s">
        <v>455</v>
      </c>
      <c r="D35" s="3" t="s">
        <v>456</v>
      </c>
      <c r="E35" s="3" t="n">
        <v>5</v>
      </c>
      <c r="F35" s="3" t="n">
        <v>7</v>
      </c>
      <c r="G35" s="3" t="n">
        <v>5</v>
      </c>
      <c r="H35" s="3" t="n">
        <v>3</v>
      </c>
      <c r="I35" s="3" t="n">
        <v>0</v>
      </c>
      <c r="J35" s="3" t="n">
        <v>9</v>
      </c>
      <c r="K35" s="3" t="n">
        <v>4</v>
      </c>
      <c r="L35" s="3" t="n">
        <v>2</v>
      </c>
      <c r="M35" s="3" t="n">
        <v>6</v>
      </c>
      <c r="N35" s="3" t="n">
        <v>0</v>
      </c>
      <c r="O35" s="3" t="n">
        <v>3</v>
      </c>
      <c r="P35" s="3" t="n">
        <v>7</v>
      </c>
      <c r="Q35" s="3" t="n">
        <v>7</v>
      </c>
      <c r="R35" s="3" t="n">
        <v>10</v>
      </c>
      <c r="S35" s="3" t="n">
        <v>2</v>
      </c>
      <c r="T35" s="3" t="n">
        <v>2</v>
      </c>
      <c r="U35" s="3" t="n">
        <v>8</v>
      </c>
      <c r="V35" s="3" t="n">
        <v>7</v>
      </c>
      <c r="W35" s="3" t="n">
        <v>7</v>
      </c>
      <c r="X35" s="3" t="n">
        <v>7</v>
      </c>
      <c r="Y35" s="3" t="n">
        <v>2</v>
      </c>
      <c r="Z35" s="3" t="n">
        <v>4</v>
      </c>
      <c r="AA35" s="3" t="n">
        <v>6</v>
      </c>
      <c r="AB35" s="3" t="n">
        <v>0</v>
      </c>
      <c r="AC35" s="3" t="n">
        <v>1</v>
      </c>
      <c r="AD35" s="3" t="n">
        <f aca="false">SUM(E35:AC35)</f>
        <v>114</v>
      </c>
    </row>
    <row r="36" customFormat="false" ht="21.75" hidden="false" customHeight="true" outlineLevel="0" collapsed="false">
      <c r="A36" s="3" t="n">
        <v>35</v>
      </c>
      <c r="B36" s="3" t="s">
        <v>457</v>
      </c>
      <c r="C36" s="4" t="s">
        <v>458</v>
      </c>
      <c r="D36" s="3" t="s">
        <v>459</v>
      </c>
      <c r="E36" s="3" t="n">
        <v>3</v>
      </c>
      <c r="F36" s="3" t="n">
        <v>7</v>
      </c>
      <c r="G36" s="3" t="n">
        <v>7</v>
      </c>
      <c r="H36" s="3" t="n">
        <v>0</v>
      </c>
      <c r="I36" s="3" t="n">
        <v>2</v>
      </c>
      <c r="J36" s="3" t="n">
        <v>8</v>
      </c>
      <c r="K36" s="3" t="n">
        <v>2</v>
      </c>
      <c r="L36" s="3" t="n">
        <v>1</v>
      </c>
      <c r="M36" s="3" t="n">
        <v>7</v>
      </c>
      <c r="N36" s="3" t="n">
        <v>0</v>
      </c>
      <c r="O36" s="3" t="n">
        <v>0</v>
      </c>
      <c r="P36" s="3" t="n">
        <v>10</v>
      </c>
      <c r="Q36" s="3" t="n">
        <v>8</v>
      </c>
      <c r="R36" s="3" t="n">
        <v>6</v>
      </c>
      <c r="S36" s="3" t="n">
        <v>2</v>
      </c>
      <c r="T36" s="3" t="n">
        <v>2</v>
      </c>
      <c r="U36" s="3" t="n">
        <v>10</v>
      </c>
      <c r="V36" s="3" t="n">
        <v>7</v>
      </c>
      <c r="W36" s="3" t="n">
        <v>7</v>
      </c>
      <c r="X36" s="3" t="n">
        <v>7</v>
      </c>
      <c r="Y36" s="3" t="n">
        <v>5</v>
      </c>
      <c r="Z36" s="3" t="n">
        <v>5</v>
      </c>
      <c r="AA36" s="3" t="n">
        <v>8</v>
      </c>
      <c r="AB36" s="3" t="n">
        <v>1</v>
      </c>
      <c r="AC36" s="3" t="n">
        <v>10</v>
      </c>
      <c r="AD36" s="3" t="n">
        <f aca="false">SUM(E36:AC36)</f>
        <v>125</v>
      </c>
    </row>
    <row r="37" customFormat="false" ht="21.75" hidden="false" customHeight="true" outlineLevel="0" collapsed="false">
      <c r="A37" s="3" t="n">
        <v>36</v>
      </c>
      <c r="B37" s="3" t="s">
        <v>718</v>
      </c>
      <c r="C37" s="4" t="s">
        <v>719</v>
      </c>
      <c r="D37" s="3" t="s">
        <v>720</v>
      </c>
      <c r="E37" s="3" t="n">
        <v>0</v>
      </c>
      <c r="F37" s="3" t="n">
        <v>10</v>
      </c>
      <c r="G37" s="3" t="n">
        <v>7</v>
      </c>
      <c r="H37" s="3" t="n">
        <v>10</v>
      </c>
      <c r="I37" s="3" t="n">
        <v>8</v>
      </c>
      <c r="J37" s="3" t="n">
        <v>0</v>
      </c>
      <c r="K37" s="3" t="n">
        <v>6</v>
      </c>
      <c r="L37" s="3" t="n">
        <v>9</v>
      </c>
      <c r="M37" s="3" t="n">
        <v>7</v>
      </c>
      <c r="N37" s="3" t="n">
        <v>6</v>
      </c>
      <c r="O37" s="3" t="n">
        <v>2</v>
      </c>
      <c r="P37" s="3" t="n">
        <v>7</v>
      </c>
      <c r="Q37" s="3" t="n">
        <v>7</v>
      </c>
      <c r="R37" s="3" t="n">
        <v>6</v>
      </c>
      <c r="S37" s="3" t="n">
        <v>6</v>
      </c>
      <c r="T37" s="3" t="n">
        <v>0</v>
      </c>
      <c r="U37" s="3" t="n">
        <v>3</v>
      </c>
      <c r="V37" s="3" t="n">
        <v>7</v>
      </c>
      <c r="W37" s="3" t="n">
        <v>7</v>
      </c>
      <c r="X37" s="3" t="n">
        <v>1</v>
      </c>
      <c r="Y37" s="3" t="n">
        <v>9</v>
      </c>
      <c r="Z37" s="3" t="n">
        <v>0</v>
      </c>
      <c r="AA37" s="3" t="n">
        <v>3</v>
      </c>
      <c r="AB37" s="3" t="n">
        <v>5</v>
      </c>
      <c r="AC37" s="3" t="n">
        <v>10</v>
      </c>
      <c r="AD37" s="3" t="n">
        <f aca="false">SUM(E37:AC37)</f>
        <v>136</v>
      </c>
    </row>
    <row r="38" customFormat="false" ht="21.75" hidden="false" customHeight="true" outlineLevel="0" collapsed="false">
      <c r="A38" s="3" t="n">
        <v>37</v>
      </c>
      <c r="B38" s="3" t="s">
        <v>721</v>
      </c>
      <c r="C38" s="4" t="s">
        <v>722</v>
      </c>
      <c r="D38" s="3" t="s">
        <v>723</v>
      </c>
      <c r="E38" s="3" t="n">
        <v>3</v>
      </c>
      <c r="F38" s="3" t="n">
        <v>7</v>
      </c>
      <c r="G38" s="3" t="n">
        <v>5</v>
      </c>
      <c r="H38" s="3" t="n">
        <v>3</v>
      </c>
      <c r="I38" s="3" t="n">
        <v>1</v>
      </c>
      <c r="J38" s="3" t="n">
        <v>4</v>
      </c>
      <c r="K38" s="3" t="n">
        <v>5</v>
      </c>
      <c r="L38" s="3" t="n">
        <v>0</v>
      </c>
      <c r="M38" s="3" t="n">
        <v>1</v>
      </c>
      <c r="N38" s="3" t="n">
        <v>10</v>
      </c>
      <c r="O38" s="3" t="n">
        <v>3</v>
      </c>
      <c r="P38" s="3" t="n">
        <v>1</v>
      </c>
      <c r="Q38" s="3" t="n">
        <v>4</v>
      </c>
      <c r="R38" s="3" t="n">
        <v>10</v>
      </c>
      <c r="S38" s="3" t="n">
        <v>0</v>
      </c>
      <c r="T38" s="3" t="n">
        <v>10</v>
      </c>
      <c r="U38" s="3" t="n">
        <v>8</v>
      </c>
      <c r="V38" s="3" t="n">
        <v>3</v>
      </c>
      <c r="W38" s="3" t="n">
        <v>0</v>
      </c>
      <c r="X38" s="3" t="n">
        <v>6</v>
      </c>
      <c r="Y38" s="3" t="n">
        <v>7</v>
      </c>
      <c r="Z38" s="3" t="n">
        <v>4</v>
      </c>
      <c r="AA38" s="3" t="n">
        <v>8</v>
      </c>
      <c r="AB38" s="3" t="n">
        <v>4</v>
      </c>
      <c r="AC38" s="3" t="n">
        <v>7</v>
      </c>
      <c r="AD38" s="3" t="n">
        <f aca="false">SUM(E38:AC38)</f>
        <v>114</v>
      </c>
    </row>
    <row r="39" customFormat="false" ht="21.75" hidden="false" customHeight="true" outlineLevel="0" collapsed="false">
      <c r="A39" s="3"/>
      <c r="B39" s="3"/>
      <c r="C39" s="3"/>
      <c r="D39" s="3"/>
      <c r="E39" s="3" t="n">
        <v>1</v>
      </c>
      <c r="F39" s="3" t="n">
        <v>1</v>
      </c>
      <c r="G39" s="3" t="n">
        <v>3</v>
      </c>
      <c r="H39" s="3" t="n">
        <v>6</v>
      </c>
      <c r="I39" s="3" t="n">
        <v>2</v>
      </c>
      <c r="J39" s="3" t="n">
        <v>4</v>
      </c>
      <c r="K39" s="3" t="n">
        <v>6</v>
      </c>
      <c r="L39" s="3" t="n">
        <v>0</v>
      </c>
      <c r="M39" s="3" t="n">
        <v>9</v>
      </c>
      <c r="N39" s="3" t="n">
        <v>1</v>
      </c>
      <c r="O39" s="3" t="n">
        <v>4</v>
      </c>
      <c r="P39" s="3" t="n">
        <v>10</v>
      </c>
      <c r="Q39" s="3" t="n">
        <v>9</v>
      </c>
      <c r="R39" s="3" t="n">
        <v>6</v>
      </c>
      <c r="S39" s="3" t="n">
        <v>7</v>
      </c>
      <c r="T39" s="3" t="n">
        <v>9</v>
      </c>
      <c r="U39" s="3" t="n">
        <v>8</v>
      </c>
      <c r="V39" s="3" t="n">
        <v>6</v>
      </c>
      <c r="W39" s="3" t="n">
        <v>5</v>
      </c>
      <c r="X39" s="3" t="n">
        <v>6</v>
      </c>
      <c r="Y39" s="3" t="n">
        <v>2</v>
      </c>
      <c r="Z39" s="3" t="n">
        <v>9</v>
      </c>
      <c r="AA39" s="3" t="n">
        <v>2</v>
      </c>
      <c r="AB39" s="3" t="n">
        <v>8</v>
      </c>
      <c r="AC39" s="3" t="n">
        <v>1</v>
      </c>
      <c r="AD39" s="3" t="n">
        <v>9</v>
      </c>
    </row>
  </sheetData>
  <autoFilter ref="A1:AD39"/>
  <conditionalFormatting sqref="B1:D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4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30" min="5" style="0" width="11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683</v>
      </c>
      <c r="F1" s="1" t="s">
        <v>684</v>
      </c>
      <c r="G1" s="1" t="s">
        <v>685</v>
      </c>
      <c r="H1" s="1" t="s">
        <v>686</v>
      </c>
      <c r="I1" s="1" t="s">
        <v>687</v>
      </c>
      <c r="J1" s="1" t="s">
        <v>688</v>
      </c>
      <c r="K1" s="1" t="s">
        <v>689</v>
      </c>
      <c r="L1" s="1" t="s">
        <v>690</v>
      </c>
      <c r="M1" s="1" t="s">
        <v>691</v>
      </c>
      <c r="N1" s="1" t="s">
        <v>692</v>
      </c>
      <c r="O1" s="1" t="s">
        <v>693</v>
      </c>
      <c r="P1" s="1" t="s">
        <v>694</v>
      </c>
      <c r="Q1" s="1" t="s">
        <v>695</v>
      </c>
      <c r="R1" s="1" t="s">
        <v>696</v>
      </c>
      <c r="S1" s="1" t="s">
        <v>697</v>
      </c>
      <c r="T1" s="1" t="s">
        <v>698</v>
      </c>
      <c r="U1" s="1" t="s">
        <v>699</v>
      </c>
      <c r="V1" s="1" t="s">
        <v>700</v>
      </c>
      <c r="W1" s="1" t="s">
        <v>701</v>
      </c>
      <c r="X1" s="1" t="s">
        <v>702</v>
      </c>
      <c r="Y1" s="1" t="s">
        <v>703</v>
      </c>
      <c r="Z1" s="1" t="s">
        <v>704</v>
      </c>
      <c r="AA1" s="1" t="s">
        <v>705</v>
      </c>
      <c r="AB1" s="1" t="s">
        <v>706</v>
      </c>
      <c r="AC1" s="1" t="s">
        <v>707</v>
      </c>
      <c r="AD1" s="1" t="s">
        <v>708</v>
      </c>
    </row>
    <row r="2" customFormat="false" ht="21.75" hidden="false" customHeight="true" outlineLevel="0" collapsed="false">
      <c r="A2" s="3" t="n">
        <v>1</v>
      </c>
      <c r="B2" s="3" t="s">
        <v>466</v>
      </c>
      <c r="C2" s="4" t="s">
        <v>467</v>
      </c>
      <c r="D2" s="3" t="s">
        <v>468</v>
      </c>
      <c r="E2" s="3" t="n">
        <v>1</v>
      </c>
      <c r="F2" s="3" t="n">
        <v>2</v>
      </c>
      <c r="G2" s="3" t="n">
        <v>5</v>
      </c>
      <c r="H2" s="3" t="n">
        <v>7</v>
      </c>
      <c r="I2" s="3" t="n">
        <v>-2</v>
      </c>
      <c r="J2" s="3" t="n">
        <v>2</v>
      </c>
      <c r="K2" s="3" t="n">
        <v>1</v>
      </c>
      <c r="L2" s="3" t="n">
        <v>2</v>
      </c>
      <c r="M2" s="3" t="n">
        <v>7</v>
      </c>
      <c r="N2" s="3" t="n">
        <v>4</v>
      </c>
      <c r="O2" s="3" t="n">
        <v>5</v>
      </c>
      <c r="P2" s="3" t="n">
        <v>6</v>
      </c>
      <c r="Q2" s="3" t="n">
        <v>10</v>
      </c>
      <c r="R2" s="3" t="n">
        <v>2</v>
      </c>
      <c r="S2" s="3" t="n">
        <v>3</v>
      </c>
      <c r="T2" s="3" t="n">
        <v>2</v>
      </c>
      <c r="U2" s="3" t="n">
        <v>3</v>
      </c>
      <c r="V2" s="3" t="n">
        <v>7</v>
      </c>
      <c r="W2" s="3" t="n">
        <v>2</v>
      </c>
      <c r="X2" s="3" t="n">
        <v>4</v>
      </c>
      <c r="Y2" s="3" t="n">
        <v>7</v>
      </c>
      <c r="Z2" s="3" t="n">
        <v>1</v>
      </c>
      <c r="AA2" s="3" t="n">
        <v>4</v>
      </c>
      <c r="AB2" s="3" t="n">
        <v>10</v>
      </c>
      <c r="AC2" s="3" t="n">
        <v>2</v>
      </c>
      <c r="AD2" s="3" t="n">
        <f aca="false">SUM(E2:AC2)</f>
        <v>97</v>
      </c>
    </row>
    <row r="3" customFormat="false" ht="21.75" hidden="false" customHeight="true" outlineLevel="0" collapsed="false">
      <c r="A3" s="3" t="n">
        <v>2</v>
      </c>
      <c r="B3" s="3" t="s">
        <v>469</v>
      </c>
      <c r="C3" s="4" t="s">
        <v>470</v>
      </c>
      <c r="D3" s="3" t="s">
        <v>471</v>
      </c>
      <c r="E3" s="3" t="n">
        <v>10</v>
      </c>
      <c r="F3" s="3" t="n">
        <v>2</v>
      </c>
      <c r="G3" s="3" t="n">
        <v>10</v>
      </c>
      <c r="H3" s="3" t="n">
        <v>7</v>
      </c>
      <c r="I3" s="3" t="n">
        <v>-2</v>
      </c>
      <c r="J3" s="3" t="n">
        <v>8</v>
      </c>
      <c r="K3" s="3" t="n">
        <v>4</v>
      </c>
      <c r="L3" s="3" t="n">
        <v>2</v>
      </c>
      <c r="M3" s="3" t="n">
        <v>2</v>
      </c>
      <c r="N3" s="3" t="n">
        <v>3</v>
      </c>
      <c r="O3" s="3" t="n">
        <v>5</v>
      </c>
      <c r="P3" s="3" t="n">
        <v>8</v>
      </c>
      <c r="Q3" s="3" t="n">
        <v>0</v>
      </c>
      <c r="R3" s="3" t="n">
        <v>2</v>
      </c>
      <c r="S3" s="3" t="n">
        <v>2</v>
      </c>
      <c r="T3" s="3" t="n">
        <v>3</v>
      </c>
      <c r="U3" s="3" t="n">
        <v>6</v>
      </c>
      <c r="V3" s="3" t="n">
        <v>10</v>
      </c>
      <c r="W3" s="3" t="n">
        <v>9</v>
      </c>
      <c r="X3" s="3" t="n">
        <v>5</v>
      </c>
      <c r="Y3" s="3" t="n">
        <v>4</v>
      </c>
      <c r="Z3" s="3" t="n">
        <v>9</v>
      </c>
      <c r="AA3" s="3" t="n">
        <v>10</v>
      </c>
      <c r="AB3" s="3" t="n">
        <v>7</v>
      </c>
      <c r="AC3" s="3" t="n">
        <v>5</v>
      </c>
      <c r="AD3" s="3" t="n">
        <f aca="false">SUM(E3:AC3)</f>
        <v>131</v>
      </c>
    </row>
    <row r="4" customFormat="false" ht="21.75" hidden="false" customHeight="true" outlineLevel="0" collapsed="false">
      <c r="A4" s="3" t="n">
        <v>3</v>
      </c>
      <c r="B4" s="3" t="s">
        <v>472</v>
      </c>
      <c r="C4" s="4" t="s">
        <v>473</v>
      </c>
      <c r="D4" s="3" t="s">
        <v>474</v>
      </c>
      <c r="E4" s="3" t="n">
        <v>7</v>
      </c>
      <c r="F4" s="3" t="n">
        <v>10</v>
      </c>
      <c r="G4" s="3" t="n">
        <v>7</v>
      </c>
      <c r="H4" s="3" t="n">
        <v>7</v>
      </c>
      <c r="I4" s="3" t="n">
        <v>-2</v>
      </c>
      <c r="J4" s="3" t="n">
        <v>8</v>
      </c>
      <c r="K4" s="3" t="n">
        <v>1</v>
      </c>
      <c r="L4" s="3" t="n">
        <v>3</v>
      </c>
      <c r="M4" s="3" t="n">
        <v>2</v>
      </c>
      <c r="N4" s="3" t="n">
        <v>3</v>
      </c>
      <c r="O4" s="3" t="n">
        <v>5</v>
      </c>
      <c r="P4" s="3" t="n">
        <v>10</v>
      </c>
      <c r="Q4" s="3" t="n">
        <v>9</v>
      </c>
      <c r="R4" s="3" t="n">
        <v>5</v>
      </c>
      <c r="S4" s="3" t="n">
        <v>10</v>
      </c>
      <c r="T4" s="3" t="n">
        <v>1</v>
      </c>
      <c r="U4" s="3" t="n">
        <v>2</v>
      </c>
      <c r="V4" s="3" t="n">
        <v>10</v>
      </c>
      <c r="W4" s="3" t="n">
        <v>7</v>
      </c>
      <c r="X4" s="3" t="n">
        <v>2</v>
      </c>
      <c r="Y4" s="3" t="n">
        <v>5</v>
      </c>
      <c r="Z4" s="3" t="n">
        <v>7</v>
      </c>
      <c r="AA4" s="3" t="n">
        <v>4</v>
      </c>
      <c r="AB4" s="3" t="n">
        <v>2</v>
      </c>
      <c r="AC4" s="3" t="n">
        <v>0</v>
      </c>
      <c r="AD4" s="3" t="n">
        <f aca="false">SUM(E4:AC4)</f>
        <v>125</v>
      </c>
    </row>
    <row r="5" customFormat="false" ht="21.75" hidden="false" customHeight="true" outlineLevel="0" collapsed="false">
      <c r="A5" s="3" t="n">
        <v>4</v>
      </c>
      <c r="B5" s="3" t="s">
        <v>475</v>
      </c>
      <c r="C5" s="4" t="s">
        <v>476</v>
      </c>
      <c r="D5" s="3" t="s">
        <v>477</v>
      </c>
      <c r="E5" s="3" t="n">
        <v>3</v>
      </c>
      <c r="F5" s="3" t="n">
        <v>2</v>
      </c>
      <c r="G5" s="3" t="n">
        <v>9</v>
      </c>
      <c r="H5" s="3" t="n">
        <v>4</v>
      </c>
      <c r="I5" s="3" t="n">
        <v>9</v>
      </c>
      <c r="J5" s="3" t="n">
        <v>7</v>
      </c>
      <c r="K5" s="3" t="n">
        <v>0</v>
      </c>
      <c r="L5" s="3" t="n">
        <v>4</v>
      </c>
      <c r="M5" s="3" t="n">
        <v>2</v>
      </c>
      <c r="N5" s="3" t="n">
        <v>6</v>
      </c>
      <c r="O5" s="3" t="n">
        <v>5</v>
      </c>
      <c r="P5" s="3" t="n">
        <v>2</v>
      </c>
      <c r="Q5" s="3" t="n">
        <v>7</v>
      </c>
      <c r="R5" s="3" t="n">
        <v>7</v>
      </c>
      <c r="S5" s="3" t="n">
        <v>8</v>
      </c>
      <c r="T5" s="3" t="n">
        <v>5</v>
      </c>
      <c r="U5" s="3" t="n">
        <v>2</v>
      </c>
      <c r="V5" s="3" t="n">
        <v>3</v>
      </c>
      <c r="W5" s="3" t="n">
        <v>1</v>
      </c>
      <c r="X5" s="3" t="n">
        <v>10</v>
      </c>
      <c r="Y5" s="3" t="n">
        <v>0</v>
      </c>
      <c r="Z5" s="3" t="n">
        <v>1</v>
      </c>
      <c r="AA5" s="3" t="n">
        <v>6</v>
      </c>
      <c r="AB5" s="3" t="n">
        <v>9</v>
      </c>
      <c r="AC5" s="3" t="n">
        <v>0</v>
      </c>
      <c r="AD5" s="3" t="n">
        <f aca="false">SUM(E5:AC5)</f>
        <v>112</v>
      </c>
    </row>
    <row r="6" customFormat="false" ht="21.75" hidden="false" customHeight="true" outlineLevel="0" collapsed="false">
      <c r="A6" s="3" t="n">
        <v>5</v>
      </c>
      <c r="B6" s="3" t="s">
        <v>478</v>
      </c>
      <c r="C6" s="4" t="s">
        <v>479</v>
      </c>
      <c r="D6" s="3" t="s">
        <v>480</v>
      </c>
      <c r="E6" s="3" t="n">
        <v>2</v>
      </c>
      <c r="F6" s="3" t="n">
        <v>5</v>
      </c>
      <c r="G6" s="3" t="n">
        <v>9</v>
      </c>
      <c r="H6" s="3" t="n">
        <v>7</v>
      </c>
      <c r="I6" s="3" t="n">
        <v>-2</v>
      </c>
      <c r="J6" s="3" t="n">
        <v>4</v>
      </c>
      <c r="K6" s="3" t="n">
        <v>7</v>
      </c>
      <c r="L6" s="3" t="n">
        <v>4</v>
      </c>
      <c r="M6" s="3" t="n">
        <v>2</v>
      </c>
      <c r="N6" s="3" t="n">
        <v>5</v>
      </c>
      <c r="O6" s="3" t="n">
        <v>2</v>
      </c>
      <c r="P6" s="3" t="n">
        <v>1</v>
      </c>
      <c r="Q6" s="3" t="n">
        <v>0</v>
      </c>
      <c r="R6" s="3" t="n">
        <v>2</v>
      </c>
      <c r="S6" s="3" t="n">
        <v>6</v>
      </c>
      <c r="T6" s="3" t="n">
        <v>5</v>
      </c>
      <c r="U6" s="3" t="n">
        <v>2</v>
      </c>
      <c r="V6" s="3" t="n">
        <v>6</v>
      </c>
      <c r="W6" s="3" t="n">
        <v>5</v>
      </c>
      <c r="X6" s="3" t="n">
        <v>2</v>
      </c>
      <c r="Y6" s="3" t="n">
        <v>5</v>
      </c>
      <c r="Z6" s="3" t="n">
        <v>3</v>
      </c>
      <c r="AA6" s="3" t="n">
        <v>0</v>
      </c>
      <c r="AB6" s="3" t="n">
        <v>6</v>
      </c>
      <c r="AC6" s="3" t="n">
        <v>4</v>
      </c>
      <c r="AD6" s="3" t="n">
        <f aca="false">SUM(E6:AC6)</f>
        <v>92</v>
      </c>
    </row>
    <row r="7" customFormat="false" ht="21.75" hidden="false" customHeight="true" outlineLevel="0" collapsed="false">
      <c r="A7" s="3" t="n">
        <v>6</v>
      </c>
      <c r="B7" s="3" t="s">
        <v>481</v>
      </c>
      <c r="C7" s="4" t="s">
        <v>482</v>
      </c>
      <c r="D7" s="3" t="s">
        <v>483</v>
      </c>
      <c r="E7" s="3" t="n">
        <v>5</v>
      </c>
      <c r="F7" s="3" t="n">
        <v>5</v>
      </c>
      <c r="G7" s="3" t="n">
        <v>3</v>
      </c>
      <c r="H7" s="3" t="n">
        <v>0</v>
      </c>
      <c r="I7" s="3" t="n">
        <v>0</v>
      </c>
      <c r="J7" s="3" t="n">
        <v>3</v>
      </c>
      <c r="K7" s="3" t="n">
        <v>10</v>
      </c>
      <c r="L7" s="3" t="n">
        <v>1</v>
      </c>
      <c r="M7" s="3" t="n">
        <v>3</v>
      </c>
      <c r="N7" s="3" t="n">
        <v>9</v>
      </c>
      <c r="O7" s="3" t="n">
        <v>10</v>
      </c>
      <c r="P7" s="3" t="n">
        <v>10</v>
      </c>
      <c r="Q7" s="3" t="n">
        <v>7</v>
      </c>
      <c r="R7" s="3" t="n">
        <v>3</v>
      </c>
      <c r="S7" s="3" t="n">
        <v>4</v>
      </c>
      <c r="T7" s="3" t="n">
        <v>3</v>
      </c>
      <c r="U7" s="3" t="n">
        <v>4</v>
      </c>
      <c r="V7" s="3" t="n">
        <v>7</v>
      </c>
      <c r="W7" s="3" t="n">
        <v>5</v>
      </c>
      <c r="X7" s="3" t="n">
        <v>9</v>
      </c>
      <c r="Y7" s="3" t="n">
        <v>2</v>
      </c>
      <c r="Z7" s="3" t="n">
        <v>0</v>
      </c>
      <c r="AA7" s="3" t="n">
        <v>2</v>
      </c>
      <c r="AB7" s="3" t="n">
        <v>6</v>
      </c>
      <c r="AC7" s="3" t="n">
        <v>9</v>
      </c>
      <c r="AD7" s="3" t="n">
        <f aca="false">SUM(E7:AC7)</f>
        <v>120</v>
      </c>
    </row>
    <row r="8" customFormat="false" ht="21.75" hidden="false" customHeight="true" outlineLevel="0" collapsed="false">
      <c r="A8" s="3" t="n">
        <v>7</v>
      </c>
      <c r="B8" s="3" t="s">
        <v>484</v>
      </c>
      <c r="C8" s="4" t="s">
        <v>485</v>
      </c>
      <c r="D8" s="3" t="s">
        <v>486</v>
      </c>
      <c r="E8" s="3" t="n">
        <v>5</v>
      </c>
      <c r="F8" s="3" t="n">
        <v>10</v>
      </c>
      <c r="G8" s="3" t="n">
        <v>4</v>
      </c>
      <c r="H8" s="3" t="n">
        <v>7</v>
      </c>
      <c r="I8" s="3" t="n">
        <v>4</v>
      </c>
      <c r="J8" s="3" t="n">
        <v>2</v>
      </c>
      <c r="K8" s="3" t="n">
        <v>2</v>
      </c>
      <c r="L8" s="3" t="n">
        <v>5</v>
      </c>
      <c r="M8" s="3" t="n">
        <v>2</v>
      </c>
      <c r="N8" s="3" t="n">
        <v>5</v>
      </c>
      <c r="O8" s="3" t="n">
        <v>1</v>
      </c>
      <c r="P8" s="3" t="n">
        <v>2</v>
      </c>
      <c r="Q8" s="3" t="n">
        <v>9</v>
      </c>
      <c r="R8" s="3" t="n">
        <v>2</v>
      </c>
      <c r="S8" s="3" t="n">
        <v>3</v>
      </c>
      <c r="T8" s="3" t="n">
        <v>7</v>
      </c>
      <c r="U8" s="3" t="n">
        <v>8</v>
      </c>
      <c r="V8" s="3" t="n">
        <v>2</v>
      </c>
      <c r="W8" s="3" t="n">
        <v>3</v>
      </c>
      <c r="X8" s="3" t="n">
        <v>9</v>
      </c>
      <c r="Y8" s="3" t="n">
        <v>0</v>
      </c>
      <c r="Z8" s="3" t="n">
        <v>4</v>
      </c>
      <c r="AA8" s="3" t="n">
        <v>4</v>
      </c>
      <c r="AB8" s="3" t="n">
        <v>9</v>
      </c>
      <c r="AC8" s="3" t="n">
        <v>1</v>
      </c>
      <c r="AD8" s="3" t="n">
        <f aca="false">SUM(E8:AC8)</f>
        <v>110</v>
      </c>
    </row>
    <row r="9" customFormat="false" ht="21.75" hidden="false" customHeight="true" outlineLevel="0" collapsed="false">
      <c r="A9" s="3" t="n">
        <v>8</v>
      </c>
      <c r="B9" s="3" t="s">
        <v>487</v>
      </c>
      <c r="C9" s="4" t="s">
        <v>488</v>
      </c>
      <c r="D9" s="3" t="s">
        <v>489</v>
      </c>
      <c r="E9" s="3" t="n">
        <v>8</v>
      </c>
      <c r="F9" s="3" t="n">
        <v>2</v>
      </c>
      <c r="G9" s="3" t="n">
        <v>3</v>
      </c>
      <c r="H9" s="3" t="n">
        <v>7</v>
      </c>
      <c r="I9" s="3" t="n">
        <v>-2</v>
      </c>
      <c r="J9" s="3" t="n">
        <v>3</v>
      </c>
      <c r="K9" s="3" t="n">
        <v>1</v>
      </c>
      <c r="L9" s="3" t="n">
        <v>2</v>
      </c>
      <c r="M9" s="3" t="n">
        <v>2</v>
      </c>
      <c r="N9" s="3" t="n">
        <v>3</v>
      </c>
      <c r="O9" s="3" t="n">
        <v>4</v>
      </c>
      <c r="P9" s="3" t="n">
        <v>5</v>
      </c>
      <c r="Q9" s="3" t="n">
        <v>2</v>
      </c>
      <c r="R9" s="3" t="n">
        <v>5</v>
      </c>
      <c r="S9" s="3" t="n">
        <v>10</v>
      </c>
      <c r="T9" s="3" t="n">
        <v>5</v>
      </c>
      <c r="U9" s="3" t="n">
        <v>4</v>
      </c>
      <c r="V9" s="3" t="n">
        <v>2</v>
      </c>
      <c r="W9" s="3" t="n">
        <v>2</v>
      </c>
      <c r="X9" s="3" t="n">
        <v>6</v>
      </c>
      <c r="Y9" s="3" t="n">
        <v>8</v>
      </c>
      <c r="Z9" s="3" t="n">
        <v>7</v>
      </c>
      <c r="AA9" s="3" t="n">
        <v>6</v>
      </c>
      <c r="AB9" s="3" t="n">
        <v>7</v>
      </c>
      <c r="AC9" s="3" t="n">
        <v>8</v>
      </c>
      <c r="AD9" s="3" t="n">
        <f aca="false">SUM(E9:AC9)</f>
        <v>110</v>
      </c>
    </row>
    <row r="10" customFormat="false" ht="21.75" hidden="false" customHeight="true" outlineLevel="0" collapsed="false">
      <c r="A10" s="3" t="n">
        <v>9</v>
      </c>
      <c r="B10" s="3" t="s">
        <v>490</v>
      </c>
      <c r="C10" s="4" t="s">
        <v>491</v>
      </c>
      <c r="D10" s="3" t="s">
        <v>492</v>
      </c>
      <c r="E10" s="3" t="n">
        <v>9</v>
      </c>
      <c r="F10" s="3" t="n">
        <v>2</v>
      </c>
      <c r="G10" s="3" t="n">
        <v>4</v>
      </c>
      <c r="H10" s="3" t="n">
        <v>7</v>
      </c>
      <c r="I10" s="3" t="n">
        <v>-2</v>
      </c>
      <c r="J10" s="3" t="n">
        <v>5</v>
      </c>
      <c r="K10" s="3" t="n">
        <v>1</v>
      </c>
      <c r="L10" s="3" t="n">
        <v>3</v>
      </c>
      <c r="M10" s="3" t="n">
        <v>2</v>
      </c>
      <c r="N10" s="3" t="n">
        <v>3</v>
      </c>
      <c r="O10" s="3" t="n">
        <v>5</v>
      </c>
      <c r="P10" s="3" t="n">
        <v>8</v>
      </c>
      <c r="Q10" s="3" t="n">
        <v>10</v>
      </c>
      <c r="R10" s="3" t="n">
        <v>6</v>
      </c>
      <c r="S10" s="3" t="n">
        <v>10</v>
      </c>
      <c r="T10" s="3" t="n">
        <v>2</v>
      </c>
      <c r="U10" s="3" t="n">
        <v>1</v>
      </c>
      <c r="V10" s="3" t="n">
        <v>10</v>
      </c>
      <c r="W10" s="3" t="n">
        <v>0</v>
      </c>
      <c r="X10" s="3" t="n">
        <v>8</v>
      </c>
      <c r="Y10" s="3" t="n">
        <v>0</v>
      </c>
      <c r="Z10" s="3" t="n">
        <v>3</v>
      </c>
      <c r="AA10" s="3" t="n">
        <v>2</v>
      </c>
      <c r="AB10" s="3" t="n">
        <v>0</v>
      </c>
      <c r="AC10" s="3" t="n">
        <v>8</v>
      </c>
      <c r="AD10" s="3" t="n">
        <f aca="false">SUM(E10:AC10)</f>
        <v>107</v>
      </c>
    </row>
    <row r="11" customFormat="false" ht="21.75" hidden="false" customHeight="true" outlineLevel="0" collapsed="false">
      <c r="A11" s="3" t="n">
        <v>10</v>
      </c>
      <c r="B11" s="3" t="s">
        <v>493</v>
      </c>
      <c r="C11" s="4" t="s">
        <v>494</v>
      </c>
      <c r="D11" s="3" t="s">
        <v>495</v>
      </c>
      <c r="E11" s="3" t="n">
        <v>7</v>
      </c>
      <c r="F11" s="3" t="n">
        <v>2</v>
      </c>
      <c r="G11" s="3" t="n">
        <v>4</v>
      </c>
      <c r="H11" s="3" t="n">
        <v>7</v>
      </c>
      <c r="I11" s="3" t="n">
        <v>5</v>
      </c>
      <c r="J11" s="3" t="n">
        <v>9</v>
      </c>
      <c r="K11" s="3" t="n">
        <v>2</v>
      </c>
      <c r="L11" s="3" t="n">
        <v>5</v>
      </c>
      <c r="M11" s="3" t="n">
        <v>2</v>
      </c>
      <c r="N11" s="3" t="n">
        <v>2</v>
      </c>
      <c r="O11" s="3" t="n">
        <v>5</v>
      </c>
      <c r="P11" s="3" t="n">
        <v>4</v>
      </c>
      <c r="Q11" s="3" t="n">
        <v>2</v>
      </c>
      <c r="R11" s="3" t="n">
        <v>2</v>
      </c>
      <c r="S11" s="3" t="n">
        <v>2</v>
      </c>
      <c r="T11" s="3" t="n">
        <v>4</v>
      </c>
      <c r="U11" s="3" t="n">
        <v>10</v>
      </c>
      <c r="V11" s="3" t="n">
        <v>3</v>
      </c>
      <c r="W11" s="3" t="n">
        <v>0</v>
      </c>
      <c r="X11" s="3" t="n">
        <v>7</v>
      </c>
      <c r="Y11" s="3" t="n">
        <v>4</v>
      </c>
      <c r="Z11" s="3" t="n">
        <v>10</v>
      </c>
      <c r="AA11" s="3" t="n">
        <v>6</v>
      </c>
      <c r="AB11" s="3" t="n">
        <v>7</v>
      </c>
      <c r="AC11" s="3" t="n">
        <v>8</v>
      </c>
      <c r="AD11" s="3" t="n">
        <f aca="false">SUM(E11:AC11)</f>
        <v>119</v>
      </c>
    </row>
    <row r="12" customFormat="false" ht="21.75" hidden="false" customHeight="true" outlineLevel="0" collapsed="false">
      <c r="A12" s="3" t="n">
        <v>11</v>
      </c>
      <c r="B12" s="3" t="s">
        <v>496</v>
      </c>
      <c r="C12" s="4" t="s">
        <v>497</v>
      </c>
      <c r="D12" s="3" t="s">
        <v>498</v>
      </c>
      <c r="E12" s="3" t="n">
        <v>6</v>
      </c>
      <c r="F12" s="3" t="n">
        <v>2</v>
      </c>
      <c r="G12" s="3" t="n">
        <v>6</v>
      </c>
      <c r="H12" s="3" t="n">
        <v>10</v>
      </c>
      <c r="I12" s="3" t="n">
        <v>2</v>
      </c>
      <c r="J12" s="3" t="n">
        <v>1</v>
      </c>
      <c r="K12" s="3" t="n">
        <v>2</v>
      </c>
      <c r="L12" s="3" t="n">
        <v>3</v>
      </c>
      <c r="M12" s="3" t="n">
        <v>2</v>
      </c>
      <c r="N12" s="3" t="n">
        <v>5</v>
      </c>
      <c r="O12" s="3" t="n">
        <v>5</v>
      </c>
      <c r="P12" s="3" t="n">
        <v>6</v>
      </c>
      <c r="Q12" s="3" t="n">
        <v>2</v>
      </c>
      <c r="R12" s="3" t="n">
        <v>2</v>
      </c>
      <c r="S12" s="3" t="n">
        <v>1</v>
      </c>
      <c r="T12" s="3" t="n">
        <v>0</v>
      </c>
      <c r="U12" s="3" t="n">
        <v>2</v>
      </c>
      <c r="V12" s="3" t="n">
        <v>3</v>
      </c>
      <c r="W12" s="3" t="n">
        <v>10</v>
      </c>
      <c r="X12" s="3" t="n">
        <v>8</v>
      </c>
      <c r="Y12" s="3" t="n">
        <v>8</v>
      </c>
      <c r="Z12" s="3" t="n">
        <v>3</v>
      </c>
      <c r="AA12" s="3" t="n">
        <v>3</v>
      </c>
      <c r="AB12" s="3" t="n">
        <v>1</v>
      </c>
      <c r="AC12" s="3" t="n">
        <v>8</v>
      </c>
      <c r="AD12" s="3" t="n">
        <f aca="false">SUM(E12:AC12)</f>
        <v>101</v>
      </c>
    </row>
    <row r="13" customFormat="false" ht="21.75" hidden="false" customHeight="true" outlineLevel="0" collapsed="false">
      <c r="A13" s="3" t="n">
        <v>12</v>
      </c>
      <c r="B13" s="3" t="s">
        <v>499</v>
      </c>
      <c r="C13" s="4" t="s">
        <v>500</v>
      </c>
      <c r="D13" s="3" t="s">
        <v>501</v>
      </c>
      <c r="E13" s="3" t="n">
        <v>5</v>
      </c>
      <c r="F13" s="3" t="n">
        <v>2</v>
      </c>
      <c r="G13" s="3" t="n">
        <v>10</v>
      </c>
      <c r="H13" s="3" t="n">
        <v>5</v>
      </c>
      <c r="I13" s="3" t="n">
        <v>-2</v>
      </c>
      <c r="J13" s="3" t="n">
        <v>1</v>
      </c>
      <c r="K13" s="3" t="n">
        <v>4</v>
      </c>
      <c r="L13" s="3" t="n">
        <v>5</v>
      </c>
      <c r="M13" s="3" t="n">
        <v>2</v>
      </c>
      <c r="N13" s="3" t="n">
        <v>4</v>
      </c>
      <c r="O13" s="3" t="n">
        <v>5</v>
      </c>
      <c r="P13" s="3" t="n">
        <v>5</v>
      </c>
      <c r="Q13" s="3" t="n">
        <v>4</v>
      </c>
      <c r="R13" s="3" t="n">
        <v>2</v>
      </c>
      <c r="S13" s="3" t="n">
        <v>2</v>
      </c>
      <c r="T13" s="3" t="n">
        <v>10</v>
      </c>
      <c r="U13" s="3" t="n">
        <v>8</v>
      </c>
      <c r="V13" s="3" t="n">
        <v>1</v>
      </c>
      <c r="W13" s="3" t="n">
        <v>6</v>
      </c>
      <c r="X13" s="3" t="n">
        <v>1</v>
      </c>
      <c r="Y13" s="3" t="n">
        <v>5</v>
      </c>
      <c r="Z13" s="3" t="n">
        <v>1</v>
      </c>
      <c r="AA13" s="3" t="n">
        <v>9</v>
      </c>
      <c r="AB13" s="3" t="n">
        <v>0</v>
      </c>
      <c r="AC13" s="3" t="n">
        <v>9</v>
      </c>
      <c r="AD13" s="3" t="n">
        <f aca="false">SUM(E13:AC13)</f>
        <v>104</v>
      </c>
    </row>
    <row r="14" customFormat="false" ht="21.75" hidden="false" customHeight="true" outlineLevel="0" collapsed="false">
      <c r="A14" s="3" t="n">
        <v>13</v>
      </c>
      <c r="B14" s="3" t="s">
        <v>502</v>
      </c>
      <c r="C14" s="4" t="s">
        <v>503</v>
      </c>
      <c r="D14" s="3" t="s">
        <v>504</v>
      </c>
      <c r="E14" s="3" t="n">
        <v>8</v>
      </c>
      <c r="F14" s="3" t="n">
        <v>2</v>
      </c>
      <c r="G14" s="3" t="n">
        <v>3</v>
      </c>
      <c r="H14" s="3" t="n">
        <v>7</v>
      </c>
      <c r="I14" s="3" t="n">
        <v>-2</v>
      </c>
      <c r="J14" s="3" t="n">
        <v>2</v>
      </c>
      <c r="K14" s="3" t="n">
        <v>0</v>
      </c>
      <c r="L14" s="3" t="n">
        <v>2</v>
      </c>
      <c r="M14" s="3" t="n">
        <v>2</v>
      </c>
      <c r="N14" s="3" t="n">
        <v>4</v>
      </c>
      <c r="O14" s="3" t="n">
        <v>0</v>
      </c>
      <c r="P14" s="3" t="n">
        <v>7</v>
      </c>
      <c r="Q14" s="3" t="n">
        <v>3</v>
      </c>
      <c r="R14" s="3" t="n">
        <v>2</v>
      </c>
      <c r="S14" s="3" t="n">
        <v>0</v>
      </c>
      <c r="T14" s="3" t="n">
        <v>8</v>
      </c>
      <c r="U14" s="3" t="n">
        <v>7</v>
      </c>
      <c r="V14" s="3" t="n">
        <v>3</v>
      </c>
      <c r="W14" s="3" t="n">
        <v>1</v>
      </c>
      <c r="X14" s="3" t="n">
        <v>9</v>
      </c>
      <c r="Y14" s="3" t="n">
        <v>1</v>
      </c>
      <c r="Z14" s="3" t="n">
        <v>7</v>
      </c>
      <c r="AA14" s="3" t="n">
        <v>9</v>
      </c>
      <c r="AB14" s="3" t="n">
        <v>1</v>
      </c>
      <c r="AC14" s="3" t="n">
        <v>4</v>
      </c>
      <c r="AD14" s="3" t="n">
        <f aca="false">SUM(E14:AC14)</f>
        <v>90</v>
      </c>
    </row>
    <row r="15" customFormat="false" ht="21.75" hidden="false" customHeight="true" outlineLevel="0" collapsed="false">
      <c r="A15" s="3" t="n">
        <v>14</v>
      </c>
      <c r="B15" s="3" t="s">
        <v>505</v>
      </c>
      <c r="C15" s="4" t="s">
        <v>506</v>
      </c>
      <c r="D15" s="3" t="s">
        <v>507</v>
      </c>
      <c r="E15" s="3" t="n">
        <v>6</v>
      </c>
      <c r="F15" s="3" t="n">
        <v>2</v>
      </c>
      <c r="G15" s="3" t="n">
        <v>5</v>
      </c>
      <c r="H15" s="3" t="n">
        <v>7</v>
      </c>
      <c r="I15" s="3" t="n">
        <v>-2</v>
      </c>
      <c r="J15" s="3" t="n">
        <v>8</v>
      </c>
      <c r="K15" s="3" t="n">
        <v>3</v>
      </c>
      <c r="L15" s="3" t="n">
        <v>7</v>
      </c>
      <c r="M15" s="3" t="n">
        <v>2</v>
      </c>
      <c r="N15" s="3" t="n">
        <v>5</v>
      </c>
      <c r="O15" s="3" t="n">
        <v>5</v>
      </c>
      <c r="P15" s="3" t="n">
        <v>5</v>
      </c>
      <c r="Q15" s="3" t="n">
        <v>4</v>
      </c>
      <c r="R15" s="3" t="n">
        <v>2</v>
      </c>
      <c r="S15" s="3" t="n">
        <v>10</v>
      </c>
      <c r="T15" s="3" t="n">
        <v>0</v>
      </c>
      <c r="U15" s="3" t="n">
        <v>8</v>
      </c>
      <c r="V15" s="3" t="n">
        <v>0</v>
      </c>
      <c r="W15" s="3" t="n">
        <v>7</v>
      </c>
      <c r="X15" s="3" t="n">
        <v>5</v>
      </c>
      <c r="Y15" s="3" t="n">
        <v>0</v>
      </c>
      <c r="Z15" s="3" t="n">
        <v>1</v>
      </c>
      <c r="AA15" s="3" t="n">
        <v>0</v>
      </c>
      <c r="AB15" s="3" t="n">
        <v>1</v>
      </c>
      <c r="AC15" s="3" t="n">
        <v>0</v>
      </c>
      <c r="AD15" s="3" t="n">
        <f aca="false">SUM(E15:AC15)</f>
        <v>91</v>
      </c>
    </row>
    <row r="16" customFormat="false" ht="21.75" hidden="false" customHeight="true" outlineLevel="0" collapsed="false">
      <c r="A16" s="3" t="n">
        <v>15</v>
      </c>
      <c r="B16" s="3" t="s">
        <v>508</v>
      </c>
      <c r="C16" s="4" t="s">
        <v>509</v>
      </c>
      <c r="D16" s="3" t="s">
        <v>510</v>
      </c>
      <c r="E16" s="3" t="n">
        <v>3</v>
      </c>
      <c r="F16" s="3" t="n">
        <v>2</v>
      </c>
      <c r="G16" s="3" t="n">
        <v>6</v>
      </c>
      <c r="H16" s="3" t="n">
        <v>7</v>
      </c>
      <c r="I16" s="3" t="n">
        <v>-2</v>
      </c>
      <c r="J16" s="3" t="n">
        <v>0</v>
      </c>
      <c r="K16" s="3" t="n">
        <v>5</v>
      </c>
      <c r="L16" s="3" t="n">
        <v>7</v>
      </c>
      <c r="M16" s="3" t="n">
        <v>2</v>
      </c>
      <c r="N16" s="3" t="n">
        <v>5</v>
      </c>
      <c r="O16" s="3" t="n">
        <v>0</v>
      </c>
      <c r="P16" s="3" t="n">
        <v>3</v>
      </c>
      <c r="Q16" s="3" t="n">
        <v>6</v>
      </c>
      <c r="R16" s="3" t="n">
        <v>10</v>
      </c>
      <c r="S16" s="3" t="n">
        <v>10</v>
      </c>
      <c r="T16" s="3" t="n">
        <v>10</v>
      </c>
      <c r="U16" s="3" t="n">
        <v>10</v>
      </c>
      <c r="V16" s="3" t="n">
        <v>7</v>
      </c>
      <c r="W16" s="3" t="n">
        <v>3</v>
      </c>
      <c r="X16" s="3" t="n">
        <v>8</v>
      </c>
      <c r="Y16" s="3" t="n">
        <v>10</v>
      </c>
      <c r="Z16" s="3" t="n">
        <v>4</v>
      </c>
      <c r="AA16" s="3" t="n">
        <v>6</v>
      </c>
      <c r="AB16" s="3" t="n">
        <v>9</v>
      </c>
      <c r="AC16" s="3" t="n">
        <v>7</v>
      </c>
      <c r="AD16" s="3" t="n">
        <f aca="false">SUM(E16:AC16)</f>
        <v>138</v>
      </c>
    </row>
    <row r="17" customFormat="false" ht="21.75" hidden="false" customHeight="true" outlineLevel="0" collapsed="false">
      <c r="A17" s="3" t="n">
        <v>16</v>
      </c>
      <c r="B17" s="3" t="s">
        <v>511</v>
      </c>
      <c r="C17" s="4" t="s">
        <v>512</v>
      </c>
      <c r="D17" s="3" t="s">
        <v>513</v>
      </c>
      <c r="E17" s="3" t="n">
        <v>4</v>
      </c>
      <c r="F17" s="3" t="n">
        <v>2</v>
      </c>
      <c r="G17" s="3" t="n">
        <v>1</v>
      </c>
      <c r="H17" s="3" t="n">
        <v>3</v>
      </c>
      <c r="I17" s="3" t="n">
        <v>2</v>
      </c>
      <c r="J17" s="3" t="n">
        <v>9</v>
      </c>
      <c r="K17" s="3" t="n">
        <v>2</v>
      </c>
      <c r="L17" s="3" t="n">
        <v>5</v>
      </c>
      <c r="M17" s="3" t="n">
        <v>2</v>
      </c>
      <c r="N17" s="3" t="n">
        <v>10</v>
      </c>
      <c r="O17" s="3" t="n">
        <v>5</v>
      </c>
      <c r="P17" s="3" t="n">
        <v>5</v>
      </c>
      <c r="Q17" s="3" t="n">
        <v>1</v>
      </c>
      <c r="R17" s="3" t="n">
        <v>5</v>
      </c>
      <c r="S17" s="3" t="n">
        <v>6</v>
      </c>
      <c r="T17" s="3" t="n">
        <v>6</v>
      </c>
      <c r="U17" s="3" t="n">
        <v>0</v>
      </c>
      <c r="V17" s="3" t="n">
        <v>6</v>
      </c>
      <c r="W17" s="3" t="n">
        <v>6</v>
      </c>
      <c r="X17" s="3" t="n">
        <v>2</v>
      </c>
      <c r="Y17" s="3" t="n">
        <v>4</v>
      </c>
      <c r="Z17" s="3" t="n">
        <v>8</v>
      </c>
      <c r="AA17" s="3" t="n">
        <v>5</v>
      </c>
      <c r="AB17" s="3" t="n">
        <v>8</v>
      </c>
      <c r="AC17" s="3" t="n">
        <v>10</v>
      </c>
      <c r="AD17" s="3" t="n">
        <f aca="false">SUM(E17:AC17)</f>
        <v>117</v>
      </c>
    </row>
    <row r="18" customFormat="false" ht="21.75" hidden="false" customHeight="true" outlineLevel="0" collapsed="false">
      <c r="A18" s="3" t="n">
        <v>17</v>
      </c>
      <c r="B18" s="3" t="s">
        <v>514</v>
      </c>
      <c r="C18" s="4" t="s">
        <v>515</v>
      </c>
      <c r="D18" s="3" t="s">
        <v>516</v>
      </c>
      <c r="E18" s="3" t="n">
        <v>8</v>
      </c>
      <c r="F18" s="3" t="n">
        <v>2</v>
      </c>
      <c r="G18" s="3" t="n">
        <v>10</v>
      </c>
      <c r="H18" s="3" t="n">
        <v>7</v>
      </c>
      <c r="I18" s="3" t="n">
        <v>-2</v>
      </c>
      <c r="J18" s="3" t="n">
        <v>6</v>
      </c>
      <c r="K18" s="3" t="n">
        <v>1</v>
      </c>
      <c r="L18" s="3" t="n">
        <v>2</v>
      </c>
      <c r="M18" s="3" t="n">
        <v>7</v>
      </c>
      <c r="N18" s="3" t="n">
        <v>4</v>
      </c>
      <c r="O18" s="3" t="n">
        <v>3</v>
      </c>
      <c r="P18" s="3" t="n">
        <v>10</v>
      </c>
      <c r="Q18" s="3" t="n">
        <v>4</v>
      </c>
      <c r="R18" s="3" t="n">
        <v>1</v>
      </c>
      <c r="S18" s="3" t="n">
        <v>1</v>
      </c>
      <c r="T18" s="3" t="n">
        <v>1</v>
      </c>
      <c r="U18" s="3" t="n">
        <v>0</v>
      </c>
      <c r="V18" s="3" t="n">
        <v>9</v>
      </c>
      <c r="W18" s="3" t="n">
        <v>7</v>
      </c>
      <c r="X18" s="3" t="n">
        <v>0</v>
      </c>
      <c r="Y18" s="3" t="n">
        <v>2</v>
      </c>
      <c r="Z18" s="3" t="n">
        <v>2</v>
      </c>
      <c r="AA18" s="3" t="n">
        <v>9</v>
      </c>
      <c r="AB18" s="3" t="n">
        <v>8</v>
      </c>
      <c r="AC18" s="3" t="n">
        <v>9</v>
      </c>
      <c r="AD18" s="3" t="n">
        <f aca="false">SUM(E18:AC18)</f>
        <v>111</v>
      </c>
    </row>
    <row r="19" customFormat="false" ht="21.75" hidden="false" customHeight="true" outlineLevel="0" collapsed="false">
      <c r="A19" s="3" t="n">
        <v>18</v>
      </c>
      <c r="B19" s="3" t="s">
        <v>517</v>
      </c>
      <c r="C19" s="4" t="s">
        <v>518</v>
      </c>
      <c r="D19" s="3" t="s">
        <v>519</v>
      </c>
      <c r="E19" s="3" t="n">
        <v>2</v>
      </c>
      <c r="F19" s="3" t="n">
        <v>5</v>
      </c>
      <c r="G19" s="3" t="n">
        <v>10</v>
      </c>
      <c r="H19" s="3" t="n">
        <v>7</v>
      </c>
      <c r="I19" s="3" t="n">
        <v>-2</v>
      </c>
      <c r="J19" s="3" t="n">
        <v>4</v>
      </c>
      <c r="K19" s="3" t="n">
        <v>9</v>
      </c>
      <c r="L19" s="3" t="n">
        <v>10</v>
      </c>
      <c r="M19" s="3" t="n">
        <v>4</v>
      </c>
      <c r="N19" s="3" t="n">
        <v>8</v>
      </c>
      <c r="O19" s="3" t="n">
        <v>2</v>
      </c>
      <c r="P19" s="3" t="n">
        <v>4</v>
      </c>
      <c r="Q19" s="3" t="n">
        <v>7</v>
      </c>
      <c r="R19" s="3" t="n">
        <v>2</v>
      </c>
      <c r="S19" s="3" t="n">
        <v>1</v>
      </c>
      <c r="T19" s="3" t="n">
        <v>3</v>
      </c>
      <c r="U19" s="3" t="n">
        <v>2</v>
      </c>
      <c r="V19" s="3" t="n">
        <v>8</v>
      </c>
      <c r="W19" s="3" t="n">
        <v>3</v>
      </c>
      <c r="X19" s="3" t="n">
        <v>3</v>
      </c>
      <c r="Y19" s="3" t="n">
        <v>5</v>
      </c>
      <c r="Z19" s="3" t="n">
        <v>8</v>
      </c>
      <c r="AA19" s="3" t="n">
        <v>7</v>
      </c>
      <c r="AB19" s="3" t="n">
        <v>8</v>
      </c>
      <c r="AC19" s="3" t="n">
        <v>3</v>
      </c>
      <c r="AD19" s="3" t="n">
        <f aca="false">SUM(E19:AC19)</f>
        <v>123</v>
      </c>
    </row>
    <row r="20" customFormat="false" ht="21.75" hidden="false" customHeight="true" outlineLevel="0" collapsed="false">
      <c r="A20" s="3" t="n">
        <v>19</v>
      </c>
      <c r="B20" s="3" t="s">
        <v>520</v>
      </c>
      <c r="C20" s="4" t="s">
        <v>521</v>
      </c>
      <c r="D20" s="3" t="s">
        <v>522</v>
      </c>
      <c r="E20" s="3" t="n">
        <v>4</v>
      </c>
      <c r="F20" s="3" t="n">
        <v>2</v>
      </c>
      <c r="G20" s="3" t="n">
        <v>5</v>
      </c>
      <c r="H20" s="3" t="n">
        <v>7</v>
      </c>
      <c r="I20" s="3" t="n">
        <v>3</v>
      </c>
      <c r="J20" s="3" t="n">
        <v>0</v>
      </c>
      <c r="K20" s="3" t="n">
        <v>7</v>
      </c>
      <c r="L20" s="3" t="n">
        <v>5</v>
      </c>
      <c r="M20" s="3" t="n">
        <v>2</v>
      </c>
      <c r="N20" s="3" t="n">
        <v>1</v>
      </c>
      <c r="O20" s="3" t="n">
        <v>9</v>
      </c>
      <c r="P20" s="3" t="n">
        <v>8</v>
      </c>
      <c r="Q20" s="3" t="n">
        <v>9</v>
      </c>
      <c r="R20" s="3" t="n">
        <v>4</v>
      </c>
      <c r="S20" s="3" t="n">
        <v>5</v>
      </c>
      <c r="T20" s="3" t="n">
        <v>4</v>
      </c>
      <c r="U20" s="3" t="n">
        <v>8</v>
      </c>
      <c r="V20" s="3" t="n">
        <v>10</v>
      </c>
      <c r="W20" s="3" t="n">
        <v>5</v>
      </c>
      <c r="X20" s="3" t="n">
        <v>6</v>
      </c>
      <c r="Y20" s="3" t="n">
        <v>6</v>
      </c>
      <c r="Z20" s="3" t="n">
        <v>9</v>
      </c>
      <c r="AA20" s="3" t="n">
        <v>4</v>
      </c>
      <c r="AB20" s="3" t="n">
        <v>5</v>
      </c>
      <c r="AC20" s="3" t="n">
        <v>0</v>
      </c>
      <c r="AD20" s="3" t="n">
        <f aca="false">SUM(E20:AC20)</f>
        <v>128</v>
      </c>
    </row>
    <row r="21" customFormat="false" ht="21.75" hidden="false" customHeight="true" outlineLevel="0" collapsed="false">
      <c r="A21" s="3" t="n">
        <v>20</v>
      </c>
      <c r="B21" s="3" t="s">
        <v>523</v>
      </c>
      <c r="C21" s="4" t="s">
        <v>524</v>
      </c>
      <c r="D21" s="3" t="s">
        <v>525</v>
      </c>
      <c r="E21" s="3" t="n">
        <v>2</v>
      </c>
      <c r="F21" s="3" t="n">
        <v>2</v>
      </c>
      <c r="G21" s="3" t="n">
        <v>6</v>
      </c>
      <c r="H21" s="3" t="n">
        <v>7</v>
      </c>
      <c r="I21" s="3" t="n">
        <v>-2</v>
      </c>
      <c r="J21" s="3" t="n">
        <v>5</v>
      </c>
      <c r="K21" s="3" t="n">
        <v>0</v>
      </c>
      <c r="L21" s="3" t="n">
        <v>8</v>
      </c>
      <c r="M21" s="3" t="n">
        <v>2</v>
      </c>
      <c r="N21" s="3" t="n">
        <v>1</v>
      </c>
      <c r="O21" s="3" t="n">
        <v>5</v>
      </c>
      <c r="P21" s="3" t="n">
        <v>3</v>
      </c>
      <c r="Q21" s="3" t="n">
        <v>1</v>
      </c>
      <c r="R21" s="3" t="n">
        <v>2</v>
      </c>
      <c r="S21" s="3" t="n">
        <v>2</v>
      </c>
      <c r="T21" s="3" t="n">
        <v>3</v>
      </c>
      <c r="U21" s="3" t="n">
        <v>1</v>
      </c>
      <c r="V21" s="3" t="n">
        <v>2</v>
      </c>
      <c r="W21" s="3" t="n">
        <v>10</v>
      </c>
      <c r="X21" s="3" t="n">
        <v>9</v>
      </c>
      <c r="Y21" s="3" t="n">
        <v>1</v>
      </c>
      <c r="Z21" s="3" t="n">
        <v>7</v>
      </c>
      <c r="AA21" s="3" t="n">
        <v>10</v>
      </c>
      <c r="AB21" s="3" t="n">
        <v>5</v>
      </c>
      <c r="AC21" s="3" t="n">
        <v>2</v>
      </c>
      <c r="AD21" s="3" t="n">
        <f aca="false">SUM(E21:AC21)</f>
        <v>94</v>
      </c>
    </row>
    <row r="22" customFormat="false" ht="21.75" hidden="false" customHeight="true" outlineLevel="0" collapsed="false">
      <c r="A22" s="3" t="n">
        <v>21</v>
      </c>
      <c r="B22" s="3" t="s">
        <v>526</v>
      </c>
      <c r="C22" s="4" t="s">
        <v>527</v>
      </c>
      <c r="D22" s="3" t="s">
        <v>528</v>
      </c>
      <c r="E22" s="3" t="n">
        <v>5</v>
      </c>
      <c r="F22" s="3" t="n">
        <v>2</v>
      </c>
      <c r="G22" s="3" t="n">
        <v>0</v>
      </c>
      <c r="H22" s="3" t="n">
        <v>7</v>
      </c>
      <c r="I22" s="3" t="n">
        <v>-2</v>
      </c>
      <c r="J22" s="3" t="n">
        <v>6</v>
      </c>
      <c r="K22" s="3" t="n">
        <v>1</v>
      </c>
      <c r="L22" s="3" t="n">
        <v>2</v>
      </c>
      <c r="M22" s="3" t="n">
        <v>1</v>
      </c>
      <c r="N22" s="3" t="n">
        <v>5</v>
      </c>
      <c r="O22" s="3" t="n">
        <v>5</v>
      </c>
      <c r="P22" s="3" t="n">
        <v>4</v>
      </c>
      <c r="Q22" s="3" t="n">
        <v>6</v>
      </c>
      <c r="R22" s="3" t="n">
        <v>2</v>
      </c>
      <c r="S22" s="3" t="n">
        <v>1</v>
      </c>
      <c r="T22" s="3" t="n">
        <v>3</v>
      </c>
      <c r="U22" s="3" t="n">
        <v>0</v>
      </c>
      <c r="V22" s="3" t="n">
        <v>6</v>
      </c>
      <c r="W22" s="3" t="n">
        <v>5</v>
      </c>
      <c r="X22" s="3" t="n">
        <v>4</v>
      </c>
      <c r="Y22" s="3" t="n">
        <v>4</v>
      </c>
      <c r="Z22" s="3" t="n">
        <v>9</v>
      </c>
      <c r="AA22" s="3" t="n">
        <v>2</v>
      </c>
      <c r="AB22" s="3" t="n">
        <v>4</v>
      </c>
      <c r="AC22" s="3" t="n">
        <v>5</v>
      </c>
      <c r="AD22" s="3" t="n">
        <f aca="false">SUM(E22:AC22)</f>
        <v>87</v>
      </c>
    </row>
    <row r="23" customFormat="false" ht="21.75" hidden="false" customHeight="true" outlineLevel="0" collapsed="false">
      <c r="A23" s="3" t="n">
        <v>22</v>
      </c>
      <c r="B23" s="3" t="s">
        <v>529</v>
      </c>
      <c r="C23" s="4" t="s">
        <v>530</v>
      </c>
      <c r="D23" s="3" t="s">
        <v>531</v>
      </c>
      <c r="E23" s="3" t="n">
        <v>0</v>
      </c>
      <c r="F23" s="3" t="n">
        <v>5</v>
      </c>
      <c r="G23" s="3" t="n">
        <v>2</v>
      </c>
      <c r="H23" s="3" t="n">
        <v>7</v>
      </c>
      <c r="I23" s="3" t="n">
        <v>-2</v>
      </c>
      <c r="J23" s="3" t="n">
        <v>3</v>
      </c>
      <c r="K23" s="3" t="n">
        <v>4</v>
      </c>
      <c r="L23" s="3" t="n">
        <v>1</v>
      </c>
      <c r="M23" s="3" t="n">
        <v>4</v>
      </c>
      <c r="N23" s="3" t="n">
        <v>3</v>
      </c>
      <c r="O23" s="3" t="n">
        <v>5</v>
      </c>
      <c r="P23" s="3" t="n">
        <v>6</v>
      </c>
      <c r="Q23" s="3" t="n">
        <v>0</v>
      </c>
      <c r="R23" s="3" t="n">
        <v>2</v>
      </c>
      <c r="S23" s="3" t="n">
        <v>8</v>
      </c>
      <c r="T23" s="3" t="n">
        <v>9</v>
      </c>
      <c r="U23" s="3" t="n">
        <v>6</v>
      </c>
      <c r="V23" s="3" t="n">
        <v>1</v>
      </c>
      <c r="W23" s="3" t="n">
        <v>10</v>
      </c>
      <c r="X23" s="3" t="n">
        <v>2</v>
      </c>
      <c r="Y23" s="3" t="n">
        <v>7</v>
      </c>
      <c r="Z23" s="3" t="n">
        <v>9</v>
      </c>
      <c r="AA23" s="3" t="n">
        <v>9</v>
      </c>
      <c r="AB23" s="3" t="n">
        <v>3</v>
      </c>
      <c r="AC23" s="3" t="n">
        <v>2</v>
      </c>
      <c r="AD23" s="3" t="n">
        <f aca="false">SUM(E23:AC23)</f>
        <v>106</v>
      </c>
    </row>
    <row r="24" customFormat="false" ht="21.75" hidden="false" customHeight="true" outlineLevel="0" collapsed="false">
      <c r="A24" s="3" t="n">
        <v>23</v>
      </c>
      <c r="B24" s="3" t="s">
        <v>532</v>
      </c>
      <c r="C24" s="4" t="s">
        <v>533</v>
      </c>
      <c r="D24" s="3" t="s">
        <v>534</v>
      </c>
      <c r="E24" s="3" t="n">
        <v>4</v>
      </c>
      <c r="F24" s="3" t="n">
        <v>2</v>
      </c>
      <c r="G24" s="3" t="n">
        <v>4</v>
      </c>
      <c r="H24" s="3" t="n">
        <v>1</v>
      </c>
      <c r="I24" s="3" t="n">
        <v>-2</v>
      </c>
      <c r="J24" s="3" t="n">
        <v>4</v>
      </c>
      <c r="K24" s="3" t="n">
        <v>9</v>
      </c>
      <c r="L24" s="3" t="n">
        <v>3</v>
      </c>
      <c r="M24" s="3" t="n">
        <v>2</v>
      </c>
      <c r="N24" s="3" t="n">
        <v>5</v>
      </c>
      <c r="O24" s="3" t="n">
        <v>5</v>
      </c>
      <c r="P24" s="3" t="n">
        <v>5</v>
      </c>
      <c r="Q24" s="3" t="n">
        <v>6</v>
      </c>
      <c r="R24" s="3" t="n">
        <v>2</v>
      </c>
      <c r="S24" s="3" t="n">
        <v>10</v>
      </c>
      <c r="T24" s="3" t="n">
        <v>0</v>
      </c>
      <c r="U24" s="3" t="n">
        <v>2</v>
      </c>
      <c r="V24" s="3" t="n">
        <v>3</v>
      </c>
      <c r="W24" s="3" t="n">
        <v>6</v>
      </c>
      <c r="X24" s="3" t="n">
        <v>7</v>
      </c>
      <c r="Y24" s="3" t="n">
        <v>1</v>
      </c>
      <c r="Z24" s="3" t="n">
        <v>10</v>
      </c>
      <c r="AA24" s="3" t="n">
        <v>7</v>
      </c>
      <c r="AB24" s="3" t="n">
        <v>1</v>
      </c>
      <c r="AC24" s="3" t="n">
        <v>1</v>
      </c>
      <c r="AD24" s="3" t="n">
        <f aca="false">SUM(E24:AC24)</f>
        <v>98</v>
      </c>
    </row>
    <row r="25" customFormat="false" ht="21.75" hidden="false" customHeight="true" outlineLevel="0" collapsed="false">
      <c r="A25" s="3" t="n">
        <v>24</v>
      </c>
      <c r="B25" s="3" t="s">
        <v>535</v>
      </c>
      <c r="C25" s="4" t="s">
        <v>536</v>
      </c>
      <c r="D25" s="3" t="s">
        <v>537</v>
      </c>
      <c r="E25" s="3" t="n">
        <v>10</v>
      </c>
      <c r="F25" s="3" t="n">
        <v>2</v>
      </c>
      <c r="G25" s="3" t="n">
        <v>7</v>
      </c>
      <c r="H25" s="3" t="n">
        <v>7</v>
      </c>
      <c r="I25" s="3" t="n">
        <v>-2</v>
      </c>
      <c r="J25" s="3" t="n">
        <v>4</v>
      </c>
      <c r="K25" s="3" t="n">
        <v>1</v>
      </c>
      <c r="L25" s="3" t="n">
        <v>7</v>
      </c>
      <c r="M25" s="3" t="n">
        <v>2</v>
      </c>
      <c r="N25" s="3" t="n">
        <v>1</v>
      </c>
      <c r="O25" s="3" t="n">
        <v>10</v>
      </c>
      <c r="P25" s="3" t="n">
        <v>8</v>
      </c>
      <c r="Q25" s="3" t="n">
        <v>10</v>
      </c>
      <c r="R25" s="3" t="n">
        <v>2</v>
      </c>
      <c r="S25" s="3" t="n">
        <v>7</v>
      </c>
      <c r="T25" s="3" t="n">
        <v>4</v>
      </c>
      <c r="U25" s="3" t="n">
        <v>0</v>
      </c>
      <c r="V25" s="3" t="n">
        <v>4</v>
      </c>
      <c r="W25" s="3" t="n">
        <v>3</v>
      </c>
      <c r="X25" s="3" t="n">
        <v>10</v>
      </c>
      <c r="Y25" s="3" t="n">
        <v>6</v>
      </c>
      <c r="Z25" s="3" t="n">
        <v>7</v>
      </c>
      <c r="AA25" s="3" t="n">
        <v>9</v>
      </c>
      <c r="AB25" s="3" t="n">
        <v>0</v>
      </c>
      <c r="AC25" s="3" t="n">
        <v>8</v>
      </c>
      <c r="AD25" s="3" t="n">
        <f aca="false">SUM(E25:AC25)</f>
        <v>127</v>
      </c>
    </row>
    <row r="26" customFormat="false" ht="21.75" hidden="false" customHeight="true" outlineLevel="0" collapsed="false">
      <c r="A26" s="3" t="n">
        <v>25</v>
      </c>
      <c r="B26" s="3" t="s">
        <v>538</v>
      </c>
      <c r="C26" s="4" t="s">
        <v>539</v>
      </c>
      <c r="D26" s="3" t="s">
        <v>540</v>
      </c>
      <c r="E26" s="3" t="n">
        <v>4</v>
      </c>
      <c r="F26" s="3" t="n">
        <v>2</v>
      </c>
      <c r="G26" s="3" t="n">
        <v>3</v>
      </c>
      <c r="H26" s="3" t="n">
        <v>7</v>
      </c>
      <c r="I26" s="3" t="n">
        <v>-2</v>
      </c>
      <c r="J26" s="3" t="n">
        <v>8</v>
      </c>
      <c r="K26" s="3" t="n">
        <v>1</v>
      </c>
      <c r="L26" s="3" t="n">
        <v>5</v>
      </c>
      <c r="M26" s="3" t="n">
        <v>2</v>
      </c>
      <c r="N26" s="3" t="n">
        <v>5</v>
      </c>
      <c r="O26" s="3" t="n">
        <v>10</v>
      </c>
      <c r="P26" s="3" t="n">
        <v>4</v>
      </c>
      <c r="Q26" s="3" t="n">
        <v>8</v>
      </c>
      <c r="R26" s="3" t="n">
        <v>2</v>
      </c>
      <c r="S26" s="3" t="n">
        <v>5</v>
      </c>
      <c r="T26" s="3" t="n">
        <v>2</v>
      </c>
      <c r="U26" s="3" t="n">
        <v>7</v>
      </c>
      <c r="V26" s="3" t="n">
        <v>5</v>
      </c>
      <c r="W26" s="3" t="n">
        <v>10</v>
      </c>
      <c r="X26" s="3" t="n">
        <v>6</v>
      </c>
      <c r="Y26" s="3" t="n">
        <v>3</v>
      </c>
      <c r="Z26" s="3" t="n">
        <v>3</v>
      </c>
      <c r="AA26" s="3" t="n">
        <v>7</v>
      </c>
      <c r="AB26" s="3" t="n">
        <v>9</v>
      </c>
      <c r="AC26" s="3" t="n">
        <v>1</v>
      </c>
      <c r="AD26" s="3" t="n">
        <f aca="false">SUM(E26:AC26)</f>
        <v>117</v>
      </c>
    </row>
    <row r="27" customFormat="false" ht="21.75" hidden="false" customHeight="true" outlineLevel="0" collapsed="false">
      <c r="A27" s="3" t="n">
        <v>26</v>
      </c>
      <c r="B27" s="3" t="s">
        <v>541</v>
      </c>
      <c r="C27" s="4" t="s">
        <v>542</v>
      </c>
      <c r="D27" s="3" t="s">
        <v>543</v>
      </c>
      <c r="E27" s="3" t="n">
        <v>9</v>
      </c>
      <c r="F27" s="3" t="n">
        <v>2</v>
      </c>
      <c r="G27" s="3" t="n">
        <v>9</v>
      </c>
      <c r="H27" s="3" t="n">
        <v>7</v>
      </c>
      <c r="I27" s="3" t="n">
        <v>-2</v>
      </c>
      <c r="J27" s="3" t="n">
        <v>1</v>
      </c>
      <c r="K27" s="3" t="n">
        <v>0</v>
      </c>
      <c r="L27" s="3" t="n">
        <v>3</v>
      </c>
      <c r="M27" s="3" t="n">
        <v>2</v>
      </c>
      <c r="N27" s="3" t="n">
        <v>5</v>
      </c>
      <c r="O27" s="3" t="n">
        <v>5</v>
      </c>
      <c r="P27" s="3" t="n">
        <v>5</v>
      </c>
      <c r="Q27" s="3" t="n">
        <v>3</v>
      </c>
      <c r="R27" s="3" t="n">
        <v>2</v>
      </c>
      <c r="S27" s="3" t="n">
        <v>9</v>
      </c>
      <c r="T27" s="3" t="n">
        <v>5</v>
      </c>
      <c r="U27" s="3" t="n">
        <v>3</v>
      </c>
      <c r="V27" s="3" t="n">
        <v>2</v>
      </c>
      <c r="W27" s="3" t="n">
        <v>1</v>
      </c>
      <c r="X27" s="3" t="n">
        <v>1</v>
      </c>
      <c r="Y27" s="3" t="n">
        <v>5</v>
      </c>
      <c r="Z27" s="3" t="n">
        <v>4</v>
      </c>
      <c r="AA27" s="3" t="n">
        <v>9</v>
      </c>
      <c r="AB27" s="3" t="n">
        <v>0</v>
      </c>
      <c r="AC27" s="3" t="n">
        <v>10</v>
      </c>
      <c r="AD27" s="3" t="n">
        <f aca="false">SUM(E27:AC27)</f>
        <v>100</v>
      </c>
    </row>
    <row r="28" customFormat="false" ht="21.75" hidden="false" customHeight="true" outlineLevel="0" collapsed="false">
      <c r="A28" s="3" t="n">
        <v>27</v>
      </c>
      <c r="B28" s="3" t="s">
        <v>544</v>
      </c>
      <c r="C28" s="4" t="s">
        <v>545</v>
      </c>
      <c r="D28" s="3" t="s">
        <v>546</v>
      </c>
      <c r="E28" s="3" t="n">
        <v>9</v>
      </c>
      <c r="F28" s="3" t="n">
        <v>2</v>
      </c>
      <c r="G28" s="3" t="n">
        <v>4</v>
      </c>
      <c r="H28" s="3" t="n">
        <v>2</v>
      </c>
      <c r="I28" s="3" t="n">
        <v>4</v>
      </c>
      <c r="J28" s="3" t="n">
        <v>8</v>
      </c>
      <c r="K28" s="3" t="n">
        <v>7</v>
      </c>
      <c r="L28" s="3" t="n">
        <v>5</v>
      </c>
      <c r="M28" s="3" t="n">
        <v>2</v>
      </c>
      <c r="N28" s="3" t="n">
        <v>5</v>
      </c>
      <c r="O28" s="3" t="n">
        <v>5</v>
      </c>
      <c r="P28" s="3" t="n">
        <v>6</v>
      </c>
      <c r="Q28" s="3" t="n">
        <v>10</v>
      </c>
      <c r="R28" s="3" t="n">
        <v>9</v>
      </c>
      <c r="S28" s="3" t="n">
        <v>9</v>
      </c>
      <c r="T28" s="3" t="n">
        <v>4</v>
      </c>
      <c r="U28" s="3" t="n">
        <v>2</v>
      </c>
      <c r="V28" s="3" t="n">
        <v>10</v>
      </c>
      <c r="W28" s="3" t="n">
        <v>4</v>
      </c>
      <c r="X28" s="3" t="n">
        <v>5</v>
      </c>
      <c r="Y28" s="3" t="n">
        <v>4</v>
      </c>
      <c r="Z28" s="3" t="n">
        <v>6</v>
      </c>
      <c r="AA28" s="3" t="n">
        <v>9</v>
      </c>
      <c r="AB28" s="3" t="n">
        <v>3</v>
      </c>
      <c r="AC28" s="3" t="n">
        <v>10</v>
      </c>
      <c r="AD28" s="3" t="n">
        <f aca="false">SUM(E28:AC28)</f>
        <v>144</v>
      </c>
    </row>
    <row r="29" customFormat="false" ht="21.75" hidden="false" customHeight="true" outlineLevel="0" collapsed="false">
      <c r="A29" s="3" t="n">
        <v>28</v>
      </c>
      <c r="B29" s="3" t="s">
        <v>547</v>
      </c>
      <c r="C29" s="4" t="s">
        <v>548</v>
      </c>
      <c r="D29" s="3" t="s">
        <v>549</v>
      </c>
      <c r="E29" s="3" t="n">
        <v>7</v>
      </c>
      <c r="F29" s="3" t="n">
        <v>2</v>
      </c>
      <c r="G29" s="3" t="n">
        <v>7</v>
      </c>
      <c r="H29" s="3" t="n">
        <v>7</v>
      </c>
      <c r="I29" s="3" t="n">
        <v>2</v>
      </c>
      <c r="J29" s="3" t="n">
        <v>0</v>
      </c>
      <c r="K29" s="3" t="n">
        <v>2</v>
      </c>
      <c r="L29" s="3" t="n">
        <v>2</v>
      </c>
      <c r="M29" s="3" t="n">
        <v>1</v>
      </c>
      <c r="N29" s="3" t="n">
        <v>5</v>
      </c>
      <c r="O29" s="3" t="n">
        <v>5</v>
      </c>
      <c r="P29" s="3" t="n">
        <v>0</v>
      </c>
      <c r="Q29" s="3" t="n">
        <v>9</v>
      </c>
      <c r="R29" s="3" t="n">
        <v>10</v>
      </c>
      <c r="S29" s="3" t="n">
        <v>2</v>
      </c>
      <c r="T29" s="3" t="n">
        <v>4</v>
      </c>
      <c r="U29" s="3" t="n">
        <v>3</v>
      </c>
      <c r="V29" s="3" t="n">
        <v>5</v>
      </c>
      <c r="W29" s="3" t="n">
        <v>0</v>
      </c>
      <c r="X29" s="3" t="n">
        <v>1</v>
      </c>
      <c r="Y29" s="3" t="n">
        <v>0</v>
      </c>
      <c r="Z29" s="3" t="n">
        <v>8</v>
      </c>
      <c r="AA29" s="3" t="n">
        <v>10</v>
      </c>
      <c r="AB29" s="3" t="n">
        <v>8</v>
      </c>
      <c r="AC29" s="3" t="n">
        <v>10</v>
      </c>
      <c r="AD29" s="3" t="n">
        <f aca="false">SUM(E29:AC29)</f>
        <v>110</v>
      </c>
    </row>
    <row r="30" customFormat="false" ht="21.75" hidden="false" customHeight="true" outlineLevel="0" collapsed="false">
      <c r="A30" s="3" t="n">
        <v>29</v>
      </c>
      <c r="B30" s="3" t="s">
        <v>550</v>
      </c>
      <c r="C30" s="4" t="s">
        <v>551</v>
      </c>
      <c r="D30" s="3" t="s">
        <v>552</v>
      </c>
      <c r="E30" s="3" t="n">
        <v>2</v>
      </c>
      <c r="F30" s="3" t="n">
        <v>2</v>
      </c>
      <c r="G30" s="3" t="n">
        <v>3</v>
      </c>
      <c r="H30" s="3" t="n">
        <v>7</v>
      </c>
      <c r="I30" s="3" t="n">
        <v>9</v>
      </c>
      <c r="J30" s="3" t="n">
        <v>3</v>
      </c>
      <c r="K30" s="3" t="n">
        <v>4</v>
      </c>
      <c r="L30" s="3" t="n">
        <v>3</v>
      </c>
      <c r="M30" s="3" t="n">
        <v>2</v>
      </c>
      <c r="N30" s="3" t="n">
        <v>5</v>
      </c>
      <c r="O30" s="3" t="n">
        <v>7</v>
      </c>
      <c r="P30" s="3" t="n">
        <v>4</v>
      </c>
      <c r="Q30" s="3" t="n">
        <v>4</v>
      </c>
      <c r="R30" s="3" t="n">
        <v>3</v>
      </c>
      <c r="S30" s="3" t="n">
        <v>2</v>
      </c>
      <c r="T30" s="3" t="n">
        <v>6</v>
      </c>
      <c r="U30" s="3" t="n">
        <v>8</v>
      </c>
      <c r="V30" s="3" t="n">
        <v>2</v>
      </c>
      <c r="W30" s="3" t="n">
        <v>8</v>
      </c>
      <c r="X30" s="3" t="n">
        <v>3</v>
      </c>
      <c r="Y30" s="3" t="n">
        <v>0</v>
      </c>
      <c r="Z30" s="3" t="n">
        <v>8</v>
      </c>
      <c r="AA30" s="3" t="n">
        <v>10</v>
      </c>
      <c r="AB30" s="3" t="n">
        <v>9</v>
      </c>
      <c r="AC30" s="3" t="n">
        <v>9</v>
      </c>
      <c r="AD30" s="3" t="n">
        <f aca="false">SUM(E30:AC30)</f>
        <v>123</v>
      </c>
    </row>
    <row r="31" customFormat="false" ht="21.75" hidden="false" customHeight="true" outlineLevel="0" collapsed="false">
      <c r="A31" s="3" t="n">
        <v>30</v>
      </c>
      <c r="B31" s="3" t="s">
        <v>553</v>
      </c>
      <c r="C31" s="4" t="s">
        <v>554</v>
      </c>
      <c r="D31" s="3" t="s">
        <v>555</v>
      </c>
      <c r="E31" s="3" t="n">
        <v>6</v>
      </c>
      <c r="F31" s="3" t="n">
        <v>2</v>
      </c>
      <c r="G31" s="3" t="n">
        <v>9</v>
      </c>
      <c r="H31" s="3" t="n">
        <v>7</v>
      </c>
      <c r="I31" s="3" t="n">
        <v>4</v>
      </c>
      <c r="J31" s="3" t="n">
        <v>1</v>
      </c>
      <c r="K31" s="3" t="n">
        <v>5</v>
      </c>
      <c r="L31" s="3" t="n">
        <v>5</v>
      </c>
      <c r="M31" s="3" t="n">
        <v>2</v>
      </c>
      <c r="N31" s="3" t="n">
        <v>5</v>
      </c>
      <c r="O31" s="3" t="n">
        <v>5</v>
      </c>
      <c r="P31" s="3" t="n">
        <v>0</v>
      </c>
      <c r="Q31" s="3" t="n">
        <v>10</v>
      </c>
      <c r="R31" s="3" t="n">
        <v>2</v>
      </c>
      <c r="S31" s="3" t="n">
        <v>4</v>
      </c>
      <c r="T31" s="3" t="n">
        <v>9</v>
      </c>
      <c r="U31" s="3" t="n">
        <v>6</v>
      </c>
      <c r="V31" s="3" t="n">
        <v>2</v>
      </c>
      <c r="W31" s="3" t="n">
        <v>8</v>
      </c>
      <c r="X31" s="3" t="n">
        <v>1</v>
      </c>
      <c r="Y31" s="3" t="n">
        <v>2</v>
      </c>
      <c r="Z31" s="3" t="n">
        <v>9</v>
      </c>
      <c r="AA31" s="3" t="n">
        <v>8</v>
      </c>
      <c r="AB31" s="3" t="n">
        <v>9</v>
      </c>
      <c r="AC31" s="3" t="n">
        <v>7</v>
      </c>
      <c r="AD31" s="3" t="n">
        <f aca="false">SUM(E31:AC31)</f>
        <v>128</v>
      </c>
    </row>
    <row r="32" customFormat="false" ht="21.75" hidden="false" customHeight="true" outlineLevel="0" collapsed="false">
      <c r="A32" s="3" t="n">
        <v>31</v>
      </c>
      <c r="B32" s="3" t="s">
        <v>556</v>
      </c>
      <c r="C32" s="4" t="s">
        <v>557</v>
      </c>
      <c r="D32" s="3" t="s">
        <v>558</v>
      </c>
      <c r="E32" s="3" t="n">
        <v>7</v>
      </c>
      <c r="F32" s="3" t="n">
        <v>1</v>
      </c>
      <c r="G32" s="3" t="n">
        <v>7</v>
      </c>
      <c r="H32" s="3" t="n">
        <v>8</v>
      </c>
      <c r="I32" s="3" t="n">
        <v>1</v>
      </c>
      <c r="J32" s="3" t="n">
        <v>7</v>
      </c>
      <c r="K32" s="3" t="n">
        <v>1</v>
      </c>
      <c r="L32" s="3" t="n">
        <v>4</v>
      </c>
      <c r="M32" s="3" t="n">
        <v>3</v>
      </c>
      <c r="N32" s="3" t="n">
        <v>5</v>
      </c>
      <c r="O32" s="3" t="n">
        <v>5</v>
      </c>
      <c r="P32" s="3" t="n">
        <v>8</v>
      </c>
      <c r="Q32" s="3" t="n">
        <v>6</v>
      </c>
      <c r="R32" s="3" t="n">
        <v>7</v>
      </c>
      <c r="S32" s="3" t="n">
        <v>4</v>
      </c>
      <c r="T32" s="3" t="n">
        <v>10</v>
      </c>
      <c r="U32" s="3" t="n">
        <v>8</v>
      </c>
      <c r="V32" s="3" t="n">
        <v>3</v>
      </c>
      <c r="W32" s="3" t="n">
        <v>7</v>
      </c>
      <c r="X32" s="3" t="n">
        <v>7</v>
      </c>
      <c r="Y32" s="3" t="n">
        <v>9</v>
      </c>
      <c r="Z32" s="3" t="n">
        <v>4</v>
      </c>
      <c r="AA32" s="3" t="n">
        <v>7</v>
      </c>
      <c r="AB32" s="3" t="n">
        <v>3</v>
      </c>
      <c r="AC32" s="3" t="n">
        <v>7</v>
      </c>
      <c r="AD32" s="3" t="n">
        <f aca="false">SUM(E32:AC32)</f>
        <v>139</v>
      </c>
    </row>
    <row r="33" customFormat="false" ht="21.75" hidden="false" customHeight="true" outlineLevel="0" collapsed="false">
      <c r="A33" s="3" t="n">
        <v>32</v>
      </c>
      <c r="B33" s="3" t="s">
        <v>559</v>
      </c>
      <c r="C33" s="4" t="s">
        <v>560</v>
      </c>
      <c r="D33" s="3" t="s">
        <v>561</v>
      </c>
      <c r="E33" s="3" t="n">
        <v>0</v>
      </c>
      <c r="F33" s="3" t="n">
        <v>6</v>
      </c>
      <c r="G33" s="3" t="n">
        <v>8</v>
      </c>
      <c r="H33" s="3" t="n">
        <v>3</v>
      </c>
      <c r="I33" s="3" t="n">
        <v>4</v>
      </c>
      <c r="J33" s="3" t="n">
        <v>3</v>
      </c>
      <c r="K33" s="3" t="n">
        <v>6</v>
      </c>
      <c r="L33" s="3" t="n">
        <v>4</v>
      </c>
      <c r="M33" s="3" t="n">
        <v>2</v>
      </c>
      <c r="N33" s="3" t="n">
        <v>3</v>
      </c>
      <c r="O33" s="3" t="n">
        <v>5</v>
      </c>
      <c r="P33" s="3" t="n">
        <v>6</v>
      </c>
      <c r="Q33" s="3" t="n">
        <v>3</v>
      </c>
      <c r="R33" s="3" t="n">
        <v>7</v>
      </c>
      <c r="S33" s="3" t="n">
        <v>0</v>
      </c>
      <c r="T33" s="3" t="n">
        <v>1</v>
      </c>
      <c r="U33" s="3" t="n">
        <v>9</v>
      </c>
      <c r="V33" s="3" t="n">
        <v>6</v>
      </c>
      <c r="W33" s="3" t="n">
        <v>8</v>
      </c>
      <c r="X33" s="3" t="n">
        <v>5</v>
      </c>
      <c r="Y33" s="3" t="n">
        <v>3</v>
      </c>
      <c r="Z33" s="3" t="n">
        <v>8</v>
      </c>
      <c r="AA33" s="3" t="n">
        <v>7</v>
      </c>
      <c r="AB33" s="3" t="n">
        <v>4</v>
      </c>
      <c r="AC33" s="3" t="n">
        <v>10</v>
      </c>
      <c r="AD33" s="3" t="n">
        <f aca="false">SUM(E33:AC33)</f>
        <v>121</v>
      </c>
    </row>
    <row r="34" customFormat="false" ht="21.75" hidden="false" customHeight="true" outlineLevel="0" collapsed="false">
      <c r="A34" s="3" t="n">
        <v>33</v>
      </c>
      <c r="B34" s="3" t="s">
        <v>562</v>
      </c>
      <c r="C34" s="4" t="s">
        <v>563</v>
      </c>
      <c r="D34" s="3" t="s">
        <v>564</v>
      </c>
      <c r="E34" s="3" t="n">
        <v>1</v>
      </c>
      <c r="F34" s="3" t="n">
        <v>2</v>
      </c>
      <c r="G34" s="3" t="n">
        <v>2</v>
      </c>
      <c r="H34" s="3" t="n">
        <v>7</v>
      </c>
      <c r="I34" s="3" t="n">
        <v>9</v>
      </c>
      <c r="J34" s="3" t="n">
        <v>9</v>
      </c>
      <c r="K34" s="3" t="n">
        <v>2</v>
      </c>
      <c r="L34" s="3" t="n">
        <v>2</v>
      </c>
      <c r="M34" s="3" t="n">
        <v>2</v>
      </c>
      <c r="N34" s="3" t="n">
        <v>5</v>
      </c>
      <c r="O34" s="3" t="n">
        <v>5</v>
      </c>
      <c r="P34" s="3" t="n">
        <v>2</v>
      </c>
      <c r="Q34" s="3" t="n">
        <v>1</v>
      </c>
      <c r="R34" s="3" t="n">
        <v>2</v>
      </c>
      <c r="S34" s="3" t="n">
        <v>0</v>
      </c>
      <c r="T34" s="3" t="n">
        <v>2</v>
      </c>
      <c r="U34" s="3" t="n">
        <v>5</v>
      </c>
      <c r="V34" s="3" t="n">
        <v>2</v>
      </c>
      <c r="W34" s="3" t="n">
        <v>2</v>
      </c>
      <c r="X34" s="3" t="n">
        <v>7</v>
      </c>
      <c r="Y34" s="3" t="n">
        <v>3</v>
      </c>
      <c r="Z34" s="3" t="n">
        <v>5</v>
      </c>
      <c r="AA34" s="3" t="n">
        <v>3</v>
      </c>
      <c r="AB34" s="3" t="n">
        <v>8</v>
      </c>
      <c r="AC34" s="3" t="n">
        <v>7</v>
      </c>
      <c r="AD34" s="3" t="n">
        <f aca="false">SUM(E34:AC34)</f>
        <v>95</v>
      </c>
    </row>
    <row r="35" customFormat="false" ht="21.75" hidden="false" customHeight="true" outlineLevel="0" collapsed="false">
      <c r="A35" s="3" t="n">
        <v>34</v>
      </c>
      <c r="B35" s="3" t="s">
        <v>565</v>
      </c>
      <c r="C35" s="4" t="s">
        <v>566</v>
      </c>
      <c r="D35" s="3" t="s">
        <v>567</v>
      </c>
      <c r="E35" s="3" t="n">
        <v>8</v>
      </c>
      <c r="F35" s="3" t="n">
        <v>9</v>
      </c>
      <c r="G35" s="3" t="n">
        <v>0</v>
      </c>
      <c r="H35" s="3" t="n">
        <v>7</v>
      </c>
      <c r="I35" s="3" t="n">
        <v>2</v>
      </c>
      <c r="J35" s="3" t="n">
        <v>4</v>
      </c>
      <c r="K35" s="3" t="n">
        <v>3</v>
      </c>
      <c r="L35" s="3" t="n">
        <v>0</v>
      </c>
      <c r="M35" s="3" t="n">
        <v>2</v>
      </c>
      <c r="N35" s="3" t="n">
        <v>5</v>
      </c>
      <c r="O35" s="3" t="n">
        <v>5</v>
      </c>
      <c r="P35" s="3" t="n">
        <v>1</v>
      </c>
      <c r="Q35" s="3" t="n">
        <v>10</v>
      </c>
      <c r="R35" s="3" t="n">
        <v>9</v>
      </c>
      <c r="S35" s="3" t="n">
        <v>2</v>
      </c>
      <c r="T35" s="3" t="n">
        <v>5</v>
      </c>
      <c r="U35" s="3" t="n">
        <v>2</v>
      </c>
      <c r="V35" s="3" t="n">
        <v>1</v>
      </c>
      <c r="W35" s="3" t="n">
        <v>6</v>
      </c>
      <c r="X35" s="3" t="n">
        <v>6</v>
      </c>
      <c r="Y35" s="3" t="n">
        <v>5</v>
      </c>
      <c r="Z35" s="3" t="n">
        <v>5</v>
      </c>
      <c r="AA35" s="3" t="n">
        <v>9</v>
      </c>
      <c r="AB35" s="3" t="n">
        <v>3</v>
      </c>
      <c r="AC35" s="3" t="n">
        <v>1</v>
      </c>
      <c r="AD35" s="3" t="n">
        <f aca="false">SUM(E35:AC35)</f>
        <v>110</v>
      </c>
    </row>
    <row r="36" customFormat="false" ht="21.75" hidden="false" customHeight="true" outlineLevel="0" collapsed="false">
      <c r="A36" s="3" t="n">
        <v>35</v>
      </c>
      <c r="B36" s="3" t="s">
        <v>568</v>
      </c>
      <c r="C36" s="4" t="s">
        <v>569</v>
      </c>
      <c r="D36" s="3" t="s">
        <v>570</v>
      </c>
      <c r="E36" s="3" t="n">
        <v>1</v>
      </c>
      <c r="F36" s="3" t="n">
        <v>1</v>
      </c>
      <c r="G36" s="3" t="n">
        <v>5</v>
      </c>
      <c r="H36" s="3" t="n">
        <v>4</v>
      </c>
      <c r="I36" s="3" t="n">
        <v>2</v>
      </c>
      <c r="J36" s="3" t="n">
        <v>10</v>
      </c>
      <c r="K36" s="3" t="n">
        <v>8</v>
      </c>
      <c r="L36" s="3" t="n">
        <v>4</v>
      </c>
      <c r="M36" s="3" t="n">
        <v>2</v>
      </c>
      <c r="N36" s="3" t="n">
        <v>1</v>
      </c>
      <c r="O36" s="3" t="n">
        <v>3</v>
      </c>
      <c r="P36" s="3" t="n">
        <v>5</v>
      </c>
      <c r="Q36" s="3" t="n">
        <v>9</v>
      </c>
      <c r="R36" s="3" t="n">
        <v>3</v>
      </c>
      <c r="S36" s="3" t="n">
        <v>6</v>
      </c>
      <c r="T36" s="3" t="n">
        <v>3</v>
      </c>
      <c r="U36" s="3" t="n">
        <v>5</v>
      </c>
      <c r="V36" s="3" t="n">
        <v>6</v>
      </c>
      <c r="W36" s="3" t="n">
        <v>0</v>
      </c>
      <c r="X36" s="3" t="n">
        <v>2</v>
      </c>
      <c r="Y36" s="3" t="n">
        <v>2</v>
      </c>
      <c r="Z36" s="3" t="n">
        <v>4</v>
      </c>
      <c r="AA36" s="3" t="n">
        <v>6</v>
      </c>
      <c r="AB36" s="3" t="n">
        <v>5</v>
      </c>
      <c r="AC36" s="3" t="n">
        <v>5</v>
      </c>
      <c r="AD36" s="3" t="n">
        <f aca="false">SUM(E36:AC36)</f>
        <v>102</v>
      </c>
    </row>
    <row r="37" customFormat="false" ht="21.75" hidden="false" customHeight="true" outlineLevel="0" collapsed="false">
      <c r="A37" s="3" t="n">
        <v>36</v>
      </c>
      <c r="B37" s="3" t="s">
        <v>724</v>
      </c>
      <c r="C37" s="4" t="s">
        <v>725</v>
      </c>
      <c r="D37" s="3" t="s">
        <v>726</v>
      </c>
      <c r="E37" s="3" t="n">
        <v>7</v>
      </c>
      <c r="F37" s="3" t="n">
        <v>2</v>
      </c>
      <c r="G37" s="3" t="n">
        <v>0</v>
      </c>
      <c r="H37" s="3" t="n">
        <v>7</v>
      </c>
      <c r="I37" s="3" t="n">
        <v>10</v>
      </c>
      <c r="J37" s="3" t="n">
        <v>0</v>
      </c>
      <c r="K37" s="3" t="n">
        <v>7</v>
      </c>
      <c r="L37" s="3" t="n">
        <v>5</v>
      </c>
      <c r="M37" s="3" t="n">
        <v>2</v>
      </c>
      <c r="N37" s="3" t="n">
        <v>6</v>
      </c>
      <c r="O37" s="3" t="n">
        <v>2</v>
      </c>
      <c r="P37" s="3" t="n">
        <v>10</v>
      </c>
      <c r="Q37" s="3" t="n">
        <v>0</v>
      </c>
      <c r="R37" s="3" t="n">
        <v>6</v>
      </c>
      <c r="S37" s="3" t="n">
        <v>0</v>
      </c>
      <c r="T37" s="3" t="n">
        <v>6</v>
      </c>
      <c r="U37" s="3" t="n">
        <v>2</v>
      </c>
      <c r="V37" s="3" t="n">
        <v>3</v>
      </c>
      <c r="W37" s="3" t="n">
        <v>2</v>
      </c>
      <c r="X37" s="3" t="n">
        <v>1</v>
      </c>
      <c r="Y37" s="3" t="n">
        <v>5</v>
      </c>
      <c r="Z37" s="3" t="n">
        <v>0</v>
      </c>
      <c r="AA37" s="3" t="n">
        <v>3</v>
      </c>
      <c r="AB37" s="3" t="n">
        <v>7</v>
      </c>
      <c r="AC37" s="3" t="n">
        <v>3</v>
      </c>
      <c r="AD37" s="3" t="n">
        <f aca="false">SUM(E37:AC37)</f>
        <v>96</v>
      </c>
    </row>
    <row r="38" customFormat="false" ht="21.75" hidden="false" customHeight="true" outlineLevel="0" collapsed="false">
      <c r="A38" s="3" t="n">
        <v>37</v>
      </c>
      <c r="B38" s="3" t="s">
        <v>727</v>
      </c>
      <c r="C38" s="4" t="s">
        <v>728</v>
      </c>
      <c r="D38" s="3" t="s">
        <v>729</v>
      </c>
      <c r="E38" s="3" t="n">
        <v>3</v>
      </c>
      <c r="F38" s="3" t="n">
        <v>9</v>
      </c>
      <c r="G38" s="3" t="n">
        <v>3</v>
      </c>
      <c r="H38" s="3" t="n">
        <v>4</v>
      </c>
      <c r="I38" s="3" t="n">
        <v>7</v>
      </c>
      <c r="J38" s="3" t="n">
        <v>10</v>
      </c>
      <c r="K38" s="3" t="n">
        <v>5</v>
      </c>
      <c r="L38" s="3" t="n">
        <v>4</v>
      </c>
      <c r="M38" s="3" t="n">
        <v>2</v>
      </c>
      <c r="N38" s="3" t="n">
        <v>5</v>
      </c>
      <c r="O38" s="3" t="n">
        <v>0</v>
      </c>
      <c r="P38" s="3" t="n">
        <v>5</v>
      </c>
      <c r="Q38" s="3" t="n">
        <v>0</v>
      </c>
      <c r="R38" s="3" t="n">
        <v>0</v>
      </c>
      <c r="S38" s="3" t="n">
        <v>10</v>
      </c>
      <c r="T38" s="3" t="n">
        <v>2</v>
      </c>
      <c r="U38" s="3" t="n">
        <v>7</v>
      </c>
      <c r="V38" s="3" t="n">
        <v>9</v>
      </c>
      <c r="W38" s="3" t="n">
        <v>6</v>
      </c>
      <c r="X38" s="3" t="n">
        <v>9</v>
      </c>
      <c r="Y38" s="3" t="n">
        <v>4</v>
      </c>
      <c r="Z38" s="3" t="n">
        <v>7</v>
      </c>
      <c r="AA38" s="3" t="n">
        <v>3</v>
      </c>
      <c r="AB38" s="3" t="n">
        <v>9</v>
      </c>
      <c r="AC38" s="3" t="n">
        <v>5</v>
      </c>
      <c r="AD38" s="3" t="n">
        <f aca="false">SUM(E38:AC38)</f>
        <v>128</v>
      </c>
    </row>
    <row r="39" customFormat="false" ht="21.75" hidden="false" customHeight="true" outlineLevel="0" collapsed="false">
      <c r="A39" s="3" t="n">
        <v>38</v>
      </c>
      <c r="B39" s="3" t="s">
        <v>730</v>
      </c>
      <c r="C39" s="4" t="s">
        <v>731</v>
      </c>
      <c r="D39" s="3" t="s">
        <v>732</v>
      </c>
      <c r="E39" s="3" t="n">
        <v>6</v>
      </c>
      <c r="F39" s="3" t="n">
        <v>8</v>
      </c>
      <c r="G39" s="3" t="n">
        <v>7</v>
      </c>
      <c r="H39" s="3" t="n">
        <v>5</v>
      </c>
      <c r="I39" s="3" t="n">
        <v>4</v>
      </c>
      <c r="J39" s="3" t="n">
        <v>2</v>
      </c>
      <c r="K39" s="3" t="n">
        <v>1</v>
      </c>
      <c r="L39" s="3" t="n">
        <v>9</v>
      </c>
      <c r="M39" s="3" t="n">
        <v>2</v>
      </c>
      <c r="N39" s="3" t="n">
        <v>5</v>
      </c>
      <c r="O39" s="3" t="n">
        <v>5</v>
      </c>
      <c r="P39" s="3" t="n">
        <v>0</v>
      </c>
      <c r="Q39" s="3" t="n">
        <v>4</v>
      </c>
      <c r="R39" s="3" t="n">
        <v>2</v>
      </c>
      <c r="S39" s="3" t="n">
        <v>2</v>
      </c>
      <c r="T39" s="3" t="n">
        <v>2</v>
      </c>
      <c r="U39" s="3" t="n">
        <v>5</v>
      </c>
      <c r="V39" s="3" t="n">
        <v>3</v>
      </c>
      <c r="W39" s="3" t="n">
        <v>3</v>
      </c>
      <c r="X39" s="3" t="n">
        <v>10</v>
      </c>
      <c r="Y39" s="3" t="n">
        <v>5</v>
      </c>
      <c r="Z39" s="3" t="n">
        <v>8</v>
      </c>
      <c r="AA39" s="3" t="n">
        <v>1</v>
      </c>
      <c r="AB39" s="3" t="n">
        <v>2</v>
      </c>
      <c r="AC39" s="3" t="n">
        <v>10</v>
      </c>
      <c r="AD39" s="3" t="n">
        <f aca="false">SUM(E39:AC39)</f>
        <v>111</v>
      </c>
    </row>
    <row r="40" customFormat="false" ht="21.75" hidden="false" customHeight="true" outlineLevel="0" collapsed="false">
      <c r="A40" s="3" t="n">
        <v>39</v>
      </c>
      <c r="B40" s="3" t="s">
        <v>733</v>
      </c>
      <c r="C40" s="4" t="s">
        <v>734</v>
      </c>
      <c r="D40" s="3" t="s">
        <v>735</v>
      </c>
      <c r="E40" s="3" t="n">
        <v>8</v>
      </c>
      <c r="F40" s="3" t="n">
        <v>6</v>
      </c>
      <c r="G40" s="3" t="n">
        <v>3</v>
      </c>
      <c r="H40" s="3" t="n">
        <v>6</v>
      </c>
      <c r="I40" s="3" t="n">
        <v>9</v>
      </c>
      <c r="J40" s="3" t="n">
        <v>0</v>
      </c>
      <c r="K40" s="3" t="n">
        <v>9</v>
      </c>
      <c r="L40" s="3" t="n">
        <v>1</v>
      </c>
      <c r="M40" s="3" t="n">
        <v>4</v>
      </c>
      <c r="N40" s="3" t="n">
        <v>5</v>
      </c>
      <c r="O40" s="3" t="n">
        <v>5</v>
      </c>
      <c r="P40" s="3" t="n">
        <v>6</v>
      </c>
      <c r="Q40" s="3" t="n">
        <v>3</v>
      </c>
      <c r="R40" s="3" t="n">
        <v>2</v>
      </c>
      <c r="S40" s="3" t="n">
        <v>4</v>
      </c>
      <c r="T40" s="3" t="n">
        <v>10</v>
      </c>
      <c r="U40" s="3" t="n">
        <v>4</v>
      </c>
      <c r="V40" s="3" t="n">
        <v>2</v>
      </c>
      <c r="W40" s="3" t="n">
        <v>0</v>
      </c>
      <c r="X40" s="3" t="n">
        <v>2</v>
      </c>
      <c r="Y40" s="3" t="n">
        <v>7</v>
      </c>
      <c r="Z40" s="3" t="n">
        <v>1</v>
      </c>
      <c r="AA40" s="3" t="n">
        <v>3</v>
      </c>
      <c r="AB40" s="3" t="n">
        <v>2</v>
      </c>
      <c r="AC40" s="3" t="n">
        <v>0</v>
      </c>
      <c r="AD40" s="3" t="n">
        <f aca="false">SUM(E40:AC40)</f>
        <v>102</v>
      </c>
    </row>
    <row r="41" customFormat="false" ht="21.75" hidden="false" customHeight="true" outlineLevel="0" collapsed="false">
      <c r="A41" s="3" t="n">
        <v>40</v>
      </c>
      <c r="B41" s="3" t="s">
        <v>736</v>
      </c>
      <c r="C41" s="4" t="s">
        <v>737</v>
      </c>
      <c r="D41" s="3" t="s">
        <v>738</v>
      </c>
      <c r="E41" s="3" t="n">
        <v>4</v>
      </c>
      <c r="F41" s="3" t="n">
        <v>10</v>
      </c>
      <c r="G41" s="3" t="n">
        <v>7</v>
      </c>
      <c r="H41" s="3" t="n">
        <v>0</v>
      </c>
      <c r="I41" s="3" t="n">
        <v>2</v>
      </c>
      <c r="J41" s="3" t="n">
        <v>5</v>
      </c>
      <c r="K41" s="3" t="n">
        <v>10</v>
      </c>
      <c r="L41" s="3" t="n">
        <v>2</v>
      </c>
      <c r="M41" s="3" t="n">
        <v>4</v>
      </c>
      <c r="N41" s="3" t="n">
        <v>9</v>
      </c>
      <c r="O41" s="3" t="n">
        <v>9</v>
      </c>
      <c r="P41" s="3" t="n">
        <v>3</v>
      </c>
      <c r="Q41" s="3" t="n">
        <v>6</v>
      </c>
      <c r="R41" s="3" t="n">
        <v>2</v>
      </c>
      <c r="S41" s="3" t="n">
        <v>4</v>
      </c>
      <c r="T41" s="3" t="n">
        <v>6</v>
      </c>
      <c r="U41" s="3" t="n">
        <v>10</v>
      </c>
      <c r="V41" s="3" t="n">
        <v>1</v>
      </c>
      <c r="W41" s="3" t="n">
        <v>0</v>
      </c>
      <c r="X41" s="3" t="n">
        <v>1</v>
      </c>
      <c r="Y41" s="3" t="n">
        <v>2</v>
      </c>
      <c r="Z41" s="3" t="n">
        <v>4</v>
      </c>
      <c r="AA41" s="3" t="n">
        <v>7</v>
      </c>
      <c r="AB41" s="3" t="n">
        <v>2</v>
      </c>
      <c r="AC41" s="3" t="n">
        <v>6</v>
      </c>
      <c r="AD41" s="3" t="n">
        <f aca="false">SUM(E41:AC41)</f>
        <v>116</v>
      </c>
    </row>
    <row r="42" customFormat="false" ht="21.75" hidden="false" customHeight="true" outlineLevel="0" collapsed="false">
      <c r="A42" s="3" t="n">
        <v>41</v>
      </c>
      <c r="B42" s="3" t="s">
        <v>739</v>
      </c>
      <c r="C42" s="4" t="s">
        <v>740</v>
      </c>
      <c r="D42" s="3" t="s">
        <v>741</v>
      </c>
      <c r="E42" s="3" t="n">
        <v>0</v>
      </c>
      <c r="F42" s="3" t="n">
        <v>4</v>
      </c>
      <c r="G42" s="3" t="n">
        <v>1</v>
      </c>
      <c r="H42" s="3" t="n">
        <v>5</v>
      </c>
      <c r="I42" s="3" t="n">
        <v>10</v>
      </c>
      <c r="J42" s="3" t="n">
        <v>0</v>
      </c>
      <c r="K42" s="3" t="n">
        <v>7</v>
      </c>
      <c r="L42" s="3" t="n">
        <v>9</v>
      </c>
      <c r="M42" s="3" t="n">
        <v>10</v>
      </c>
      <c r="N42" s="3" t="n">
        <v>6</v>
      </c>
      <c r="O42" s="3" t="n">
        <v>1</v>
      </c>
      <c r="P42" s="3" t="n">
        <v>3</v>
      </c>
      <c r="Q42" s="3" t="n">
        <v>9</v>
      </c>
      <c r="R42" s="3" t="n">
        <v>2</v>
      </c>
      <c r="S42" s="3" t="n">
        <v>4</v>
      </c>
      <c r="T42" s="3" t="n">
        <v>9</v>
      </c>
      <c r="U42" s="3" t="n">
        <v>4</v>
      </c>
      <c r="V42" s="3" t="n">
        <v>8</v>
      </c>
      <c r="W42" s="3" t="n">
        <v>9</v>
      </c>
      <c r="X42" s="3" t="n">
        <v>5</v>
      </c>
      <c r="Y42" s="3" t="n">
        <v>0</v>
      </c>
      <c r="Z42" s="3" t="n">
        <v>10</v>
      </c>
      <c r="AA42" s="3" t="n">
        <v>0</v>
      </c>
      <c r="AB42" s="3" t="n">
        <v>7</v>
      </c>
      <c r="AC42" s="3" t="n">
        <v>8</v>
      </c>
      <c r="AD42" s="3" t="n">
        <f aca="false">SUM(E42:AC42)</f>
        <v>131</v>
      </c>
    </row>
    <row r="43" customFormat="false" ht="21.75" hidden="false" customHeight="true" outlineLevel="0" collapsed="false">
      <c r="A43" s="3"/>
      <c r="B43" s="3"/>
      <c r="C43" s="3"/>
      <c r="D43" s="3"/>
      <c r="E43" s="3" t="n">
        <v>6</v>
      </c>
      <c r="F43" s="3" t="n">
        <v>1</v>
      </c>
      <c r="G43" s="3" t="n">
        <v>8</v>
      </c>
      <c r="H43" s="3" t="n">
        <v>9</v>
      </c>
      <c r="I43" s="3" t="n">
        <v>4</v>
      </c>
      <c r="J43" s="3" t="n">
        <v>10</v>
      </c>
      <c r="K43" s="3" t="n">
        <v>9</v>
      </c>
      <c r="L43" s="3" t="n">
        <v>0</v>
      </c>
      <c r="M43" s="3" t="n">
        <v>5</v>
      </c>
      <c r="N43" s="3" t="n">
        <v>10</v>
      </c>
      <c r="O43" s="3" t="n">
        <v>8</v>
      </c>
      <c r="P43" s="3" t="n">
        <v>9</v>
      </c>
      <c r="Q43" s="3" t="n">
        <v>6</v>
      </c>
      <c r="R43" s="3" t="n">
        <v>8</v>
      </c>
      <c r="S43" s="3" t="n">
        <v>7</v>
      </c>
      <c r="T43" s="3" t="n">
        <v>10</v>
      </c>
      <c r="U43" s="3" t="n">
        <v>0</v>
      </c>
      <c r="V43" s="3" t="n">
        <v>5</v>
      </c>
      <c r="W43" s="3" t="n">
        <v>2</v>
      </c>
      <c r="X43" s="3" t="n">
        <v>1</v>
      </c>
      <c r="Y43" s="3" t="n">
        <v>6</v>
      </c>
      <c r="Z43" s="3" t="n">
        <v>2</v>
      </c>
      <c r="AA43" s="3" t="n">
        <v>10</v>
      </c>
      <c r="AB43" s="3" t="n">
        <v>0</v>
      </c>
      <c r="AC43" s="3" t="n">
        <v>8</v>
      </c>
      <c r="AD43" s="3" t="n">
        <v>9</v>
      </c>
    </row>
  </sheetData>
  <autoFilter ref="A1:AD43"/>
  <conditionalFormatting sqref="B1:D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37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W58" activeCellId="0" sqref="W5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30" min="5" style="0" width="11"/>
    <col collapsed="false" customWidth="true" hidden="false" outlineLevel="0" max="31" min="31" style="0" width="13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683</v>
      </c>
      <c r="F1" s="1" t="s">
        <v>684</v>
      </c>
      <c r="G1" s="1" t="s">
        <v>685</v>
      </c>
      <c r="H1" s="1" t="s">
        <v>686</v>
      </c>
      <c r="I1" s="1" t="s">
        <v>687</v>
      </c>
      <c r="J1" s="1" t="s">
        <v>688</v>
      </c>
      <c r="K1" s="1" t="s">
        <v>689</v>
      </c>
      <c r="L1" s="1" t="s">
        <v>690</v>
      </c>
      <c r="M1" s="1" t="s">
        <v>691</v>
      </c>
      <c r="N1" s="1" t="s">
        <v>692</v>
      </c>
      <c r="O1" s="1" t="s">
        <v>693</v>
      </c>
      <c r="P1" s="1" t="s">
        <v>694</v>
      </c>
      <c r="Q1" s="1" t="s">
        <v>695</v>
      </c>
      <c r="R1" s="1" t="s">
        <v>696</v>
      </c>
      <c r="S1" s="1" t="s">
        <v>697</v>
      </c>
      <c r="T1" s="1" t="s">
        <v>698</v>
      </c>
      <c r="U1" s="1" t="s">
        <v>699</v>
      </c>
      <c r="V1" s="1" t="s">
        <v>700</v>
      </c>
      <c r="W1" s="1" t="s">
        <v>701</v>
      </c>
      <c r="X1" s="1" t="s">
        <v>702</v>
      </c>
      <c r="Y1" s="1" t="s">
        <v>703</v>
      </c>
      <c r="Z1" s="1" t="s">
        <v>704</v>
      </c>
      <c r="AA1" s="1" t="s">
        <v>705</v>
      </c>
      <c r="AB1" s="1" t="s">
        <v>706</v>
      </c>
      <c r="AC1" s="1" t="s">
        <v>707</v>
      </c>
      <c r="AD1" s="1" t="s">
        <v>708</v>
      </c>
    </row>
    <row r="2" customFormat="false" ht="21.75" hidden="false" customHeight="true" outlineLevel="0" collapsed="false">
      <c r="A2" s="3" t="n">
        <v>1</v>
      </c>
      <c r="B2" s="3" t="s">
        <v>583</v>
      </c>
      <c r="C2" s="4" t="s">
        <v>584</v>
      </c>
      <c r="D2" s="3" t="s">
        <v>585</v>
      </c>
      <c r="E2" s="3" t="n">
        <v>6</v>
      </c>
      <c r="F2" s="3" t="n">
        <v>2</v>
      </c>
      <c r="G2" s="3" t="n">
        <v>2</v>
      </c>
      <c r="H2" s="3" t="n">
        <v>10</v>
      </c>
      <c r="I2" s="3" t="n">
        <v>2</v>
      </c>
      <c r="J2" s="3" t="n">
        <v>1</v>
      </c>
      <c r="K2" s="3" t="n">
        <v>10</v>
      </c>
      <c r="L2" s="3" t="n">
        <v>5</v>
      </c>
      <c r="M2" s="3" t="n">
        <v>2</v>
      </c>
      <c r="N2" s="3" t="n">
        <v>7</v>
      </c>
      <c r="O2" s="3" t="n">
        <v>2</v>
      </c>
      <c r="P2" s="3" t="n">
        <v>7</v>
      </c>
      <c r="Q2" s="3" t="n">
        <v>2</v>
      </c>
      <c r="R2" s="3" t="n">
        <v>3</v>
      </c>
      <c r="S2" s="3" t="n">
        <v>5</v>
      </c>
      <c r="T2" s="3" t="n">
        <v>1</v>
      </c>
      <c r="U2" s="3" t="n">
        <v>4</v>
      </c>
      <c r="V2" s="3" t="n">
        <v>1</v>
      </c>
      <c r="W2" s="3" t="n">
        <v>5</v>
      </c>
      <c r="X2" s="3" t="n">
        <v>3</v>
      </c>
      <c r="Y2" s="3" t="n">
        <v>10</v>
      </c>
      <c r="Z2" s="3" t="n">
        <v>3</v>
      </c>
      <c r="AA2" s="3" t="n">
        <v>3</v>
      </c>
      <c r="AB2" s="3" t="n">
        <v>5</v>
      </c>
      <c r="AC2" s="3" t="n">
        <v>5</v>
      </c>
      <c r="AD2" s="3" t="n">
        <f aca="false">SUM(E2:AC2)</f>
        <v>106</v>
      </c>
      <c r="AE2" s="10"/>
    </row>
    <row r="3" customFormat="false" ht="21.75" hidden="false" customHeight="true" outlineLevel="0" collapsed="false">
      <c r="A3" s="3" t="n">
        <v>2</v>
      </c>
      <c r="B3" s="3" t="s">
        <v>586</v>
      </c>
      <c r="C3" s="4" t="s">
        <v>587</v>
      </c>
      <c r="D3" s="3" t="s">
        <v>588</v>
      </c>
      <c r="E3" s="3" t="n">
        <v>8</v>
      </c>
      <c r="F3" s="3" t="n">
        <v>0</v>
      </c>
      <c r="G3" s="3" t="n">
        <v>5</v>
      </c>
      <c r="H3" s="3" t="n">
        <v>3</v>
      </c>
      <c r="I3" s="3" t="n">
        <v>2</v>
      </c>
      <c r="J3" s="3" t="n">
        <v>6</v>
      </c>
      <c r="K3" s="3" t="n">
        <v>6</v>
      </c>
      <c r="L3" s="3" t="n">
        <v>9</v>
      </c>
      <c r="M3" s="3" t="n">
        <v>2</v>
      </c>
      <c r="N3" s="3" t="n">
        <v>4</v>
      </c>
      <c r="O3" s="3" t="n">
        <v>10</v>
      </c>
      <c r="P3" s="3" t="n">
        <v>0</v>
      </c>
      <c r="Q3" s="3" t="n">
        <v>2</v>
      </c>
      <c r="R3" s="3" t="n">
        <v>4</v>
      </c>
      <c r="S3" s="3" t="n">
        <v>7</v>
      </c>
      <c r="T3" s="3" t="n">
        <v>1</v>
      </c>
      <c r="U3" s="3" t="n">
        <v>9</v>
      </c>
      <c r="V3" s="3" t="n">
        <v>9</v>
      </c>
      <c r="W3" s="3" t="n">
        <v>2</v>
      </c>
      <c r="X3" s="3" t="n">
        <v>7</v>
      </c>
      <c r="Y3" s="3" t="n">
        <v>10</v>
      </c>
      <c r="Z3" s="3" t="n">
        <v>8</v>
      </c>
      <c r="AA3" s="3" t="n">
        <v>8</v>
      </c>
      <c r="AB3" s="3" t="n">
        <v>3</v>
      </c>
      <c r="AC3" s="3" t="n">
        <v>3</v>
      </c>
      <c r="AD3" s="3" t="n">
        <f aca="false">SUM(E3:AC3)</f>
        <v>128</v>
      </c>
      <c r="AE3" s="10"/>
    </row>
    <row r="4" customFormat="false" ht="21.75" hidden="false" customHeight="true" outlineLevel="0" collapsed="false">
      <c r="A4" s="3" t="n">
        <v>3</v>
      </c>
      <c r="B4" s="3" t="s">
        <v>589</v>
      </c>
      <c r="C4" s="4" t="s">
        <v>590</v>
      </c>
      <c r="D4" s="3" t="s">
        <v>591</v>
      </c>
      <c r="E4" s="3" t="n">
        <v>6</v>
      </c>
      <c r="F4" s="3" t="n">
        <v>0</v>
      </c>
      <c r="G4" s="3" t="n">
        <v>2</v>
      </c>
      <c r="H4" s="3" t="n">
        <v>5</v>
      </c>
      <c r="I4" s="3" t="n">
        <v>2</v>
      </c>
      <c r="J4" s="3" t="n">
        <v>10</v>
      </c>
      <c r="K4" s="3" t="n">
        <v>6</v>
      </c>
      <c r="L4" s="3" t="n">
        <v>1</v>
      </c>
      <c r="M4" s="3" t="n">
        <v>9</v>
      </c>
      <c r="N4" s="3" t="n">
        <v>5</v>
      </c>
      <c r="O4" s="3" t="n">
        <v>10</v>
      </c>
      <c r="P4" s="3" t="n">
        <v>4</v>
      </c>
      <c r="Q4" s="3" t="n">
        <v>9</v>
      </c>
      <c r="R4" s="3" t="n">
        <v>4</v>
      </c>
      <c r="S4" s="3" t="n">
        <v>6</v>
      </c>
      <c r="T4" s="3" t="n">
        <v>1</v>
      </c>
      <c r="U4" s="3" t="n">
        <v>7</v>
      </c>
      <c r="V4" s="3" t="n">
        <v>8</v>
      </c>
      <c r="W4" s="3" t="n">
        <v>8</v>
      </c>
      <c r="X4" s="3" t="n">
        <v>8</v>
      </c>
      <c r="Y4" s="3" t="n">
        <v>3</v>
      </c>
      <c r="Z4" s="3" t="n">
        <v>6</v>
      </c>
      <c r="AA4" s="3" t="n">
        <v>8</v>
      </c>
      <c r="AB4" s="3" t="n">
        <v>7</v>
      </c>
      <c r="AC4" s="3" t="n">
        <v>5</v>
      </c>
      <c r="AD4" s="3" t="n">
        <f aca="false">SUM(E4:AC4)</f>
        <v>140</v>
      </c>
      <c r="AE4" s="10"/>
    </row>
    <row r="5" customFormat="false" ht="21.75" hidden="false" customHeight="true" outlineLevel="0" collapsed="false">
      <c r="A5" s="3" t="n">
        <v>4</v>
      </c>
      <c r="B5" s="3" t="s">
        <v>592</v>
      </c>
      <c r="C5" s="4" t="s">
        <v>593</v>
      </c>
      <c r="D5" s="3" t="s">
        <v>594</v>
      </c>
      <c r="E5" s="3" t="n">
        <v>9</v>
      </c>
      <c r="F5" s="3" t="n">
        <v>3</v>
      </c>
      <c r="G5" s="3" t="n">
        <v>9</v>
      </c>
      <c r="H5" s="3" t="n">
        <v>10</v>
      </c>
      <c r="I5" s="3" t="n">
        <v>8</v>
      </c>
      <c r="J5" s="3" t="n">
        <v>6</v>
      </c>
      <c r="K5" s="3" t="n">
        <v>4</v>
      </c>
      <c r="L5" s="3" t="n">
        <v>4</v>
      </c>
      <c r="M5" s="3" t="n">
        <v>9</v>
      </c>
      <c r="N5" s="3" t="n">
        <v>1</v>
      </c>
      <c r="O5" s="3" t="n">
        <v>0</v>
      </c>
      <c r="P5" s="3" t="n">
        <v>2</v>
      </c>
      <c r="Q5" s="3" t="n">
        <v>9</v>
      </c>
      <c r="R5" s="3" t="n">
        <v>5</v>
      </c>
      <c r="S5" s="3" t="n">
        <v>3</v>
      </c>
      <c r="T5" s="3" t="n">
        <v>1</v>
      </c>
      <c r="U5" s="3" t="n">
        <v>10</v>
      </c>
      <c r="V5" s="3" t="n">
        <v>6</v>
      </c>
      <c r="W5" s="3" t="n">
        <v>5</v>
      </c>
      <c r="X5" s="3" t="n">
        <v>9</v>
      </c>
      <c r="Y5" s="3" t="n">
        <v>7</v>
      </c>
      <c r="Z5" s="3" t="n">
        <v>3</v>
      </c>
      <c r="AA5" s="3" t="n">
        <v>4</v>
      </c>
      <c r="AB5" s="3" t="n">
        <v>10</v>
      </c>
      <c r="AC5" s="3" t="n">
        <v>4</v>
      </c>
      <c r="AD5" s="3" t="n">
        <f aca="false">SUM(E5:AC5)</f>
        <v>141</v>
      </c>
      <c r="AE5" s="10"/>
    </row>
    <row r="6" customFormat="false" ht="21.75" hidden="false" customHeight="true" outlineLevel="0" collapsed="false">
      <c r="A6" s="3" t="n">
        <v>5</v>
      </c>
      <c r="B6" s="3" t="s">
        <v>595</v>
      </c>
      <c r="C6" s="4" t="s">
        <v>596</v>
      </c>
      <c r="D6" s="3" t="s">
        <v>597</v>
      </c>
      <c r="E6" s="3" t="n">
        <v>3</v>
      </c>
      <c r="F6" s="3" t="n">
        <v>2</v>
      </c>
      <c r="G6" s="3" t="n">
        <v>4</v>
      </c>
      <c r="H6" s="3" t="n">
        <v>3</v>
      </c>
      <c r="I6" s="3" t="n">
        <v>7</v>
      </c>
      <c r="J6" s="3" t="n">
        <v>2</v>
      </c>
      <c r="K6" s="3" t="n">
        <v>4</v>
      </c>
      <c r="L6" s="3" t="n">
        <v>6</v>
      </c>
      <c r="M6" s="3" t="n">
        <v>2</v>
      </c>
      <c r="N6" s="3" t="n">
        <v>6</v>
      </c>
      <c r="O6" s="3" t="n">
        <v>8</v>
      </c>
      <c r="P6" s="3" t="n">
        <v>5</v>
      </c>
      <c r="Q6" s="3" t="n">
        <v>2</v>
      </c>
      <c r="R6" s="3" t="n">
        <v>2</v>
      </c>
      <c r="S6" s="3" t="n">
        <v>3</v>
      </c>
      <c r="T6" s="3" t="n">
        <v>6</v>
      </c>
      <c r="U6" s="3" t="n">
        <v>5</v>
      </c>
      <c r="V6" s="3" t="n">
        <v>0</v>
      </c>
      <c r="W6" s="3" t="n">
        <v>2</v>
      </c>
      <c r="X6" s="3" t="n">
        <v>9</v>
      </c>
      <c r="Y6" s="3" t="n">
        <v>0</v>
      </c>
      <c r="Z6" s="3" t="n">
        <v>6</v>
      </c>
      <c r="AA6" s="3" t="n">
        <v>7</v>
      </c>
      <c r="AB6" s="3" t="n">
        <v>4</v>
      </c>
      <c r="AC6" s="3" t="n">
        <v>4</v>
      </c>
      <c r="AD6" s="3" t="n">
        <f aca="false">SUM(E6:AC6)</f>
        <v>102</v>
      </c>
      <c r="AE6" s="10"/>
    </row>
    <row r="7" customFormat="false" ht="21.75" hidden="false" customHeight="true" outlineLevel="0" collapsed="false">
      <c r="A7" s="3" t="n">
        <v>6</v>
      </c>
      <c r="B7" s="3" t="s">
        <v>598</v>
      </c>
      <c r="C7" s="4" t="s">
        <v>599</v>
      </c>
      <c r="D7" s="3" t="s">
        <v>600</v>
      </c>
      <c r="E7" s="3" t="n">
        <v>0</v>
      </c>
      <c r="F7" s="3" t="n">
        <v>2</v>
      </c>
      <c r="G7" s="3" t="n">
        <v>8</v>
      </c>
      <c r="H7" s="3" t="n">
        <v>10</v>
      </c>
      <c r="I7" s="3" t="n">
        <v>2</v>
      </c>
      <c r="J7" s="3" t="n">
        <v>6</v>
      </c>
      <c r="K7" s="3" t="n">
        <v>8</v>
      </c>
      <c r="L7" s="3" t="n">
        <v>10</v>
      </c>
      <c r="M7" s="3" t="n">
        <v>2</v>
      </c>
      <c r="N7" s="3" t="n">
        <v>7</v>
      </c>
      <c r="O7" s="3" t="n">
        <v>8</v>
      </c>
      <c r="P7" s="3" t="n">
        <v>2</v>
      </c>
      <c r="Q7" s="3" t="n">
        <v>2</v>
      </c>
      <c r="R7" s="3" t="n">
        <v>4</v>
      </c>
      <c r="S7" s="3" t="n">
        <v>6</v>
      </c>
      <c r="T7" s="3" t="n">
        <v>5</v>
      </c>
      <c r="U7" s="3" t="n">
        <v>6</v>
      </c>
      <c r="V7" s="3" t="n">
        <v>10</v>
      </c>
      <c r="W7" s="3" t="n">
        <v>4</v>
      </c>
      <c r="X7" s="3" t="n">
        <v>6</v>
      </c>
      <c r="Y7" s="3" t="n">
        <v>10</v>
      </c>
      <c r="Z7" s="3" t="n">
        <v>0</v>
      </c>
      <c r="AA7" s="3" t="n">
        <v>6</v>
      </c>
      <c r="AB7" s="3" t="n">
        <v>7</v>
      </c>
      <c r="AC7" s="3" t="n">
        <v>8</v>
      </c>
      <c r="AD7" s="3" t="n">
        <f aca="false">SUM(E7:AC7)</f>
        <v>139</v>
      </c>
      <c r="AE7" s="10"/>
    </row>
    <row r="8" customFormat="false" ht="21.75" hidden="false" customHeight="true" outlineLevel="0" collapsed="false">
      <c r="A8" s="3" t="n">
        <v>7</v>
      </c>
      <c r="B8" s="3" t="s">
        <v>601</v>
      </c>
      <c r="C8" s="4" t="s">
        <v>602</v>
      </c>
      <c r="D8" s="3" t="s">
        <v>603</v>
      </c>
      <c r="E8" s="3" t="n">
        <v>8</v>
      </c>
      <c r="F8" s="3" t="n">
        <v>2</v>
      </c>
      <c r="G8" s="3" t="n">
        <v>9</v>
      </c>
      <c r="H8" s="3" t="n">
        <v>2</v>
      </c>
      <c r="I8" s="3" t="n">
        <v>2</v>
      </c>
      <c r="J8" s="3" t="n">
        <v>10</v>
      </c>
      <c r="K8" s="3" t="n">
        <v>0</v>
      </c>
      <c r="L8" s="3" t="n">
        <v>9</v>
      </c>
      <c r="M8" s="3" t="n">
        <v>2</v>
      </c>
      <c r="N8" s="3" t="n">
        <v>7</v>
      </c>
      <c r="O8" s="3" t="n">
        <v>0</v>
      </c>
      <c r="P8" s="3" t="n">
        <v>0</v>
      </c>
      <c r="Q8" s="3" t="n">
        <v>2</v>
      </c>
      <c r="R8" s="3" t="n">
        <v>10</v>
      </c>
      <c r="S8" s="3" t="n">
        <v>8</v>
      </c>
      <c r="T8" s="3" t="n">
        <v>3</v>
      </c>
      <c r="U8" s="3" t="n">
        <v>1</v>
      </c>
      <c r="V8" s="3" t="n">
        <v>6</v>
      </c>
      <c r="W8" s="3" t="n">
        <v>9</v>
      </c>
      <c r="X8" s="3" t="n">
        <v>7</v>
      </c>
      <c r="Y8" s="3" t="n">
        <v>0</v>
      </c>
      <c r="Z8" s="3" t="n">
        <v>5</v>
      </c>
      <c r="AA8" s="3" t="n">
        <v>6</v>
      </c>
      <c r="AB8" s="3" t="n">
        <v>9</v>
      </c>
      <c r="AC8" s="3" t="n">
        <v>6</v>
      </c>
      <c r="AD8" s="3" t="n">
        <f aca="false">SUM(E8:AC8)</f>
        <v>123</v>
      </c>
      <c r="AE8" s="10"/>
    </row>
    <row r="9" customFormat="false" ht="21.75" hidden="false" customHeight="true" outlineLevel="0" collapsed="false">
      <c r="A9" s="3" t="n">
        <v>8</v>
      </c>
      <c r="B9" s="3" t="s">
        <v>604</v>
      </c>
      <c r="C9" s="4" t="s">
        <v>605</v>
      </c>
      <c r="D9" s="3" t="s">
        <v>606</v>
      </c>
      <c r="E9" s="3" t="n">
        <v>7</v>
      </c>
      <c r="F9" s="3" t="n">
        <v>2</v>
      </c>
      <c r="G9" s="3" t="n">
        <v>10</v>
      </c>
      <c r="H9" s="3" t="n">
        <v>1</v>
      </c>
      <c r="I9" s="3" t="n">
        <v>2</v>
      </c>
      <c r="J9" s="3" t="n">
        <v>10</v>
      </c>
      <c r="K9" s="3" t="n">
        <v>0</v>
      </c>
      <c r="L9" s="3" t="n">
        <v>3</v>
      </c>
      <c r="M9" s="3" t="n">
        <v>2</v>
      </c>
      <c r="N9" s="3" t="n">
        <v>3</v>
      </c>
      <c r="O9" s="3" t="n">
        <v>10</v>
      </c>
      <c r="P9" s="3" t="n">
        <v>0</v>
      </c>
      <c r="Q9" s="3" t="n">
        <v>3</v>
      </c>
      <c r="R9" s="3" t="n">
        <v>5</v>
      </c>
      <c r="S9" s="3" t="n">
        <v>6</v>
      </c>
      <c r="T9" s="3" t="n">
        <v>6</v>
      </c>
      <c r="U9" s="3" t="n">
        <v>6</v>
      </c>
      <c r="V9" s="3" t="n">
        <v>10</v>
      </c>
      <c r="W9" s="3" t="n">
        <v>9</v>
      </c>
      <c r="X9" s="3" t="n">
        <v>2</v>
      </c>
      <c r="Y9" s="3" t="n">
        <v>10</v>
      </c>
      <c r="Z9" s="3" t="n">
        <v>10</v>
      </c>
      <c r="AA9" s="3" t="n">
        <v>6</v>
      </c>
      <c r="AB9" s="3" t="n">
        <v>9</v>
      </c>
      <c r="AC9" s="3" t="n">
        <v>0</v>
      </c>
      <c r="AD9" s="3" t="n">
        <f aca="false">SUM(E9:AC9)</f>
        <v>132</v>
      </c>
      <c r="AE9" s="10"/>
    </row>
    <row r="10" customFormat="false" ht="21.75" hidden="false" customHeight="true" outlineLevel="0" collapsed="false">
      <c r="A10" s="3" t="n">
        <v>9</v>
      </c>
      <c r="B10" s="3" t="s">
        <v>607</v>
      </c>
      <c r="C10" s="4" t="s">
        <v>608</v>
      </c>
      <c r="D10" s="3" t="s">
        <v>609</v>
      </c>
      <c r="E10" s="3" t="n">
        <v>4</v>
      </c>
      <c r="F10" s="3" t="n">
        <v>2</v>
      </c>
      <c r="G10" s="3" t="n">
        <v>7</v>
      </c>
      <c r="H10" s="3" t="n">
        <v>9</v>
      </c>
      <c r="I10" s="3" t="n">
        <v>2</v>
      </c>
      <c r="J10" s="3" t="n">
        <v>6</v>
      </c>
      <c r="K10" s="3" t="n">
        <v>8</v>
      </c>
      <c r="L10" s="3" t="n">
        <v>3</v>
      </c>
      <c r="M10" s="3" t="n">
        <v>2</v>
      </c>
      <c r="N10" s="3" t="n">
        <v>9</v>
      </c>
      <c r="O10" s="3" t="n">
        <v>5</v>
      </c>
      <c r="P10" s="3" t="n">
        <v>0</v>
      </c>
      <c r="Q10" s="3" t="n">
        <v>2</v>
      </c>
      <c r="R10" s="3" t="n">
        <v>2</v>
      </c>
      <c r="S10" s="3" t="n">
        <v>6</v>
      </c>
      <c r="T10" s="3" t="n">
        <v>6</v>
      </c>
      <c r="U10" s="3" t="n">
        <v>5</v>
      </c>
      <c r="V10" s="3" t="n">
        <v>9</v>
      </c>
      <c r="W10" s="3" t="n">
        <v>8</v>
      </c>
      <c r="X10" s="3" t="n">
        <v>8</v>
      </c>
      <c r="Y10" s="3" t="n">
        <v>9</v>
      </c>
      <c r="Z10" s="3" t="n">
        <v>3</v>
      </c>
      <c r="AA10" s="3" t="n">
        <v>5</v>
      </c>
      <c r="AB10" s="3" t="n">
        <v>0</v>
      </c>
      <c r="AC10" s="3" t="n">
        <v>3</v>
      </c>
      <c r="AD10" s="3" t="n">
        <f aca="false">SUM(E10:AC10)</f>
        <v>123</v>
      </c>
      <c r="AE10" s="10"/>
    </row>
    <row r="11" customFormat="false" ht="21.75" hidden="false" customHeight="true" outlineLevel="0" collapsed="false">
      <c r="A11" s="3" t="n">
        <v>10</v>
      </c>
      <c r="B11" s="3" t="s">
        <v>610</v>
      </c>
      <c r="C11" s="4" t="s">
        <v>611</v>
      </c>
      <c r="D11" s="3" t="s">
        <v>612</v>
      </c>
      <c r="E11" s="3" t="n">
        <v>0</v>
      </c>
      <c r="F11" s="3" t="n">
        <v>2</v>
      </c>
      <c r="G11" s="3" t="n">
        <v>5</v>
      </c>
      <c r="H11" s="3" t="n">
        <v>6</v>
      </c>
      <c r="I11" s="3" t="n">
        <v>1</v>
      </c>
      <c r="J11" s="3" t="n">
        <v>10</v>
      </c>
      <c r="K11" s="3" t="n">
        <v>10</v>
      </c>
      <c r="L11" s="3" t="n">
        <v>7</v>
      </c>
      <c r="M11" s="3" t="n">
        <v>2</v>
      </c>
      <c r="N11" s="3" t="n">
        <v>10</v>
      </c>
      <c r="O11" s="3" t="n">
        <v>8</v>
      </c>
      <c r="P11" s="3" t="n">
        <v>0</v>
      </c>
      <c r="Q11" s="3" t="n">
        <v>5</v>
      </c>
      <c r="R11" s="3" t="n">
        <v>3</v>
      </c>
      <c r="S11" s="3" t="n">
        <v>7</v>
      </c>
      <c r="T11" s="3" t="n">
        <v>1</v>
      </c>
      <c r="U11" s="3" t="n">
        <v>1</v>
      </c>
      <c r="V11" s="3" t="n">
        <v>3</v>
      </c>
      <c r="W11" s="3" t="n">
        <v>4</v>
      </c>
      <c r="X11" s="3" t="n">
        <v>6</v>
      </c>
      <c r="Y11" s="3" t="n">
        <v>2</v>
      </c>
      <c r="Z11" s="3" t="n">
        <v>6</v>
      </c>
      <c r="AA11" s="3" t="n">
        <v>1</v>
      </c>
      <c r="AB11" s="3" t="n">
        <v>3</v>
      </c>
      <c r="AC11" s="3" t="n">
        <v>2</v>
      </c>
      <c r="AD11" s="3" t="n">
        <f aca="false">SUM(E11:AC11)</f>
        <v>105</v>
      </c>
      <c r="AE11" s="10"/>
    </row>
    <row r="12" customFormat="false" ht="21.75" hidden="false" customHeight="true" outlineLevel="0" collapsed="false">
      <c r="A12" s="3" t="n">
        <v>11</v>
      </c>
      <c r="B12" s="3" t="s">
        <v>613</v>
      </c>
      <c r="C12" s="4" t="s">
        <v>614</v>
      </c>
      <c r="D12" s="3" t="s">
        <v>615</v>
      </c>
      <c r="E12" s="3" t="n">
        <v>6</v>
      </c>
      <c r="F12" s="3" t="n">
        <v>2</v>
      </c>
      <c r="G12" s="3" t="n">
        <v>3</v>
      </c>
      <c r="H12" s="3" t="n">
        <v>2</v>
      </c>
      <c r="I12" s="3" t="n">
        <v>1</v>
      </c>
      <c r="J12" s="3" t="n">
        <v>1</v>
      </c>
      <c r="K12" s="3" t="n">
        <v>7</v>
      </c>
      <c r="L12" s="3" t="n">
        <v>0</v>
      </c>
      <c r="M12" s="3" t="n">
        <v>2</v>
      </c>
      <c r="N12" s="3" t="n">
        <v>0</v>
      </c>
      <c r="O12" s="3" t="n">
        <v>7</v>
      </c>
      <c r="P12" s="3" t="n">
        <v>2</v>
      </c>
      <c r="Q12" s="3" t="n">
        <v>2</v>
      </c>
      <c r="R12" s="3" t="n">
        <v>9</v>
      </c>
      <c r="S12" s="3" t="n">
        <v>7</v>
      </c>
      <c r="T12" s="3" t="n">
        <v>8</v>
      </c>
      <c r="U12" s="3" t="n">
        <v>5</v>
      </c>
      <c r="V12" s="3" t="n">
        <v>10</v>
      </c>
      <c r="W12" s="3" t="n">
        <v>1</v>
      </c>
      <c r="X12" s="3" t="n">
        <v>9</v>
      </c>
      <c r="Y12" s="3" t="n">
        <v>2</v>
      </c>
      <c r="Z12" s="3" t="n">
        <v>8</v>
      </c>
      <c r="AA12" s="3" t="n">
        <v>2</v>
      </c>
      <c r="AB12" s="3" t="n">
        <v>1</v>
      </c>
      <c r="AC12" s="3" t="n">
        <v>0</v>
      </c>
      <c r="AD12" s="3" t="n">
        <f aca="false">SUM(E12:AC12)</f>
        <v>97</v>
      </c>
      <c r="AE12" s="10"/>
    </row>
    <row r="13" customFormat="false" ht="21.75" hidden="false" customHeight="true" outlineLevel="0" collapsed="false">
      <c r="A13" s="3" t="n">
        <v>12</v>
      </c>
      <c r="B13" s="3" t="s">
        <v>616</v>
      </c>
      <c r="C13" s="4" t="s">
        <v>617</v>
      </c>
      <c r="D13" s="3" t="s">
        <v>618</v>
      </c>
      <c r="E13" s="3" t="n">
        <v>2</v>
      </c>
      <c r="F13" s="3" t="n">
        <v>2</v>
      </c>
      <c r="G13" s="3" t="n">
        <v>3</v>
      </c>
      <c r="H13" s="3" t="n">
        <v>10</v>
      </c>
      <c r="I13" s="3" t="n">
        <v>2</v>
      </c>
      <c r="J13" s="3" t="n">
        <v>4</v>
      </c>
      <c r="K13" s="3" t="n">
        <v>0</v>
      </c>
      <c r="L13" s="3" t="n">
        <v>10</v>
      </c>
      <c r="M13" s="3" t="n">
        <v>2</v>
      </c>
      <c r="N13" s="3" t="n">
        <v>0</v>
      </c>
      <c r="O13" s="3" t="n">
        <v>1</v>
      </c>
      <c r="P13" s="3" t="n">
        <v>7</v>
      </c>
      <c r="Q13" s="3" t="n">
        <v>2</v>
      </c>
      <c r="R13" s="3" t="n">
        <v>2</v>
      </c>
      <c r="S13" s="3" t="n">
        <v>1</v>
      </c>
      <c r="T13" s="3" t="n">
        <v>3</v>
      </c>
      <c r="U13" s="3" t="n">
        <v>1</v>
      </c>
      <c r="V13" s="3" t="n">
        <v>1</v>
      </c>
      <c r="W13" s="3" t="n">
        <v>2</v>
      </c>
      <c r="X13" s="3" t="n">
        <v>9</v>
      </c>
      <c r="Y13" s="3" t="n">
        <v>2</v>
      </c>
      <c r="Z13" s="3" t="n">
        <v>0</v>
      </c>
      <c r="AA13" s="3" t="n">
        <v>5</v>
      </c>
      <c r="AB13" s="3" t="n">
        <v>1</v>
      </c>
      <c r="AC13" s="3" t="n">
        <v>6</v>
      </c>
      <c r="AD13" s="3" t="n">
        <f aca="false">SUM(E13:AC13)</f>
        <v>78</v>
      </c>
      <c r="AE13" s="10"/>
    </row>
    <row r="14" customFormat="false" ht="21.75" hidden="false" customHeight="true" outlineLevel="0" collapsed="false">
      <c r="A14" s="3" t="n">
        <v>13</v>
      </c>
      <c r="B14" s="3" t="s">
        <v>619</v>
      </c>
      <c r="C14" s="4" t="s">
        <v>620</v>
      </c>
      <c r="D14" s="3" t="s">
        <v>621</v>
      </c>
      <c r="E14" s="3" t="n">
        <v>2</v>
      </c>
      <c r="F14" s="3" t="n">
        <v>2</v>
      </c>
      <c r="G14" s="3" t="n">
        <v>6</v>
      </c>
      <c r="H14" s="3" t="n">
        <v>3</v>
      </c>
      <c r="I14" s="3" t="n">
        <v>2</v>
      </c>
      <c r="J14" s="3" t="n">
        <v>6</v>
      </c>
      <c r="K14" s="3" t="n">
        <v>6</v>
      </c>
      <c r="L14" s="3" t="n">
        <v>4</v>
      </c>
      <c r="M14" s="3" t="n">
        <v>2</v>
      </c>
      <c r="N14" s="3" t="n">
        <v>2</v>
      </c>
      <c r="O14" s="3" t="n">
        <v>6</v>
      </c>
      <c r="P14" s="3" t="n">
        <v>3</v>
      </c>
      <c r="Q14" s="3" t="n">
        <v>2</v>
      </c>
      <c r="R14" s="3" t="n">
        <v>9</v>
      </c>
      <c r="S14" s="3" t="n">
        <v>4</v>
      </c>
      <c r="T14" s="3" t="n">
        <v>3</v>
      </c>
      <c r="U14" s="3" t="n">
        <v>0</v>
      </c>
      <c r="V14" s="3" t="n">
        <v>10</v>
      </c>
      <c r="W14" s="3" t="n">
        <v>2</v>
      </c>
      <c r="X14" s="3" t="n">
        <v>8</v>
      </c>
      <c r="Y14" s="3" t="n">
        <v>4</v>
      </c>
      <c r="Z14" s="3" t="n">
        <v>1</v>
      </c>
      <c r="AA14" s="3" t="n">
        <v>3</v>
      </c>
      <c r="AB14" s="3" t="n">
        <v>7</v>
      </c>
      <c r="AC14" s="3" t="n">
        <v>3</v>
      </c>
      <c r="AD14" s="3" t="n">
        <f aca="false">SUM(E14:AC14)</f>
        <v>100</v>
      </c>
      <c r="AE14" s="10"/>
    </row>
    <row r="15" customFormat="false" ht="21.75" hidden="false" customHeight="true" outlineLevel="0" collapsed="false">
      <c r="A15" s="3" t="n">
        <v>14</v>
      </c>
      <c r="B15" s="3" t="s">
        <v>622</v>
      </c>
      <c r="C15" s="4" t="s">
        <v>623</v>
      </c>
      <c r="D15" s="3" t="s">
        <v>624</v>
      </c>
      <c r="E15" s="3" t="n">
        <v>9</v>
      </c>
      <c r="F15" s="3" t="n">
        <v>2</v>
      </c>
      <c r="G15" s="3" t="n">
        <v>7</v>
      </c>
      <c r="H15" s="3" t="n">
        <v>8</v>
      </c>
      <c r="I15" s="3" t="n">
        <v>7</v>
      </c>
      <c r="J15" s="3" t="n">
        <v>10</v>
      </c>
      <c r="K15" s="3" t="n">
        <v>10</v>
      </c>
      <c r="L15" s="3" t="n">
        <v>7</v>
      </c>
      <c r="M15" s="3" t="n">
        <v>2</v>
      </c>
      <c r="N15" s="3" t="n">
        <v>1</v>
      </c>
      <c r="O15" s="3" t="n">
        <v>0</v>
      </c>
      <c r="P15" s="3" t="n">
        <v>6</v>
      </c>
      <c r="Q15" s="3" t="n">
        <v>2</v>
      </c>
      <c r="R15" s="3" t="n">
        <v>1</v>
      </c>
      <c r="S15" s="3" t="n">
        <v>4</v>
      </c>
      <c r="T15" s="3" t="n">
        <v>5</v>
      </c>
      <c r="U15" s="3" t="n">
        <v>10</v>
      </c>
      <c r="V15" s="3" t="n">
        <v>1</v>
      </c>
      <c r="W15" s="3" t="n">
        <v>1</v>
      </c>
      <c r="X15" s="3" t="n">
        <v>5</v>
      </c>
      <c r="Y15" s="3" t="n">
        <v>0</v>
      </c>
      <c r="Z15" s="3" t="n">
        <v>5</v>
      </c>
      <c r="AA15" s="3" t="n">
        <v>6</v>
      </c>
      <c r="AB15" s="3" t="n">
        <v>9</v>
      </c>
      <c r="AC15" s="3" t="n">
        <v>5</v>
      </c>
      <c r="AD15" s="3" t="n">
        <f aca="false">SUM(E15:AC15)</f>
        <v>123</v>
      </c>
      <c r="AE15" s="10"/>
    </row>
    <row r="16" customFormat="false" ht="21.75" hidden="false" customHeight="true" outlineLevel="0" collapsed="false">
      <c r="A16" s="3" t="n">
        <v>15</v>
      </c>
      <c r="B16" s="3" t="s">
        <v>625</v>
      </c>
      <c r="C16" s="4" t="s">
        <v>626</v>
      </c>
      <c r="D16" s="3" t="s">
        <v>627</v>
      </c>
      <c r="E16" s="3" t="n">
        <v>2</v>
      </c>
      <c r="F16" s="3" t="n">
        <v>2</v>
      </c>
      <c r="G16" s="3" t="n">
        <v>9</v>
      </c>
      <c r="H16" s="3" t="n">
        <v>5</v>
      </c>
      <c r="I16" s="3" t="n">
        <v>2</v>
      </c>
      <c r="J16" s="3" t="n">
        <v>7</v>
      </c>
      <c r="K16" s="3" t="n">
        <v>6</v>
      </c>
      <c r="L16" s="3" t="n">
        <v>6</v>
      </c>
      <c r="M16" s="3" t="n">
        <v>5</v>
      </c>
      <c r="N16" s="3" t="n">
        <v>9</v>
      </c>
      <c r="O16" s="3" t="n">
        <v>8</v>
      </c>
      <c r="P16" s="3" t="n">
        <v>2</v>
      </c>
      <c r="Q16" s="3" t="n">
        <v>2</v>
      </c>
      <c r="R16" s="3" t="n">
        <v>7</v>
      </c>
      <c r="S16" s="3" t="n">
        <v>9</v>
      </c>
      <c r="T16" s="3" t="n">
        <v>6</v>
      </c>
      <c r="U16" s="3" t="n">
        <v>1</v>
      </c>
      <c r="V16" s="3" t="n">
        <v>2</v>
      </c>
      <c r="W16" s="3" t="n">
        <v>2</v>
      </c>
      <c r="X16" s="3" t="n">
        <v>2</v>
      </c>
      <c r="Y16" s="3" t="n">
        <v>8</v>
      </c>
      <c r="Z16" s="3" t="n">
        <v>2</v>
      </c>
      <c r="AA16" s="3" t="n">
        <v>7</v>
      </c>
      <c r="AB16" s="3" t="n">
        <v>6</v>
      </c>
      <c r="AC16" s="3" t="n">
        <v>10</v>
      </c>
      <c r="AD16" s="3" t="n">
        <f aca="false">SUM(E16:AC16)</f>
        <v>127</v>
      </c>
      <c r="AE16" s="10"/>
    </row>
    <row r="17" customFormat="false" ht="21.75" hidden="false" customHeight="true" outlineLevel="0" collapsed="false">
      <c r="A17" s="3" t="n">
        <v>16</v>
      </c>
      <c r="B17" s="3" t="s">
        <v>628</v>
      </c>
      <c r="C17" s="4" t="s">
        <v>629</v>
      </c>
      <c r="D17" s="3" t="s">
        <v>630</v>
      </c>
      <c r="E17" s="3" t="n">
        <v>2</v>
      </c>
      <c r="F17" s="3" t="n">
        <v>7</v>
      </c>
      <c r="G17" s="3" t="n">
        <v>0</v>
      </c>
      <c r="H17" s="3" t="n">
        <v>7</v>
      </c>
      <c r="I17" s="3" t="n">
        <v>7</v>
      </c>
      <c r="J17" s="3" t="n">
        <v>9</v>
      </c>
      <c r="K17" s="3" t="n">
        <v>7</v>
      </c>
      <c r="L17" s="3" t="n">
        <v>5</v>
      </c>
      <c r="M17" s="3" t="n">
        <v>2</v>
      </c>
      <c r="N17" s="3" t="n">
        <v>4</v>
      </c>
      <c r="O17" s="3" t="n">
        <v>6</v>
      </c>
      <c r="P17" s="3" t="n">
        <v>5</v>
      </c>
      <c r="Q17" s="3" t="n">
        <v>9</v>
      </c>
      <c r="R17" s="3" t="n">
        <v>2</v>
      </c>
      <c r="S17" s="3" t="n">
        <v>7</v>
      </c>
      <c r="T17" s="3" t="n">
        <v>0</v>
      </c>
      <c r="U17" s="3" t="n">
        <v>8</v>
      </c>
      <c r="V17" s="3" t="n">
        <v>0</v>
      </c>
      <c r="W17" s="3" t="n">
        <v>5</v>
      </c>
      <c r="X17" s="3" t="n">
        <v>1</v>
      </c>
      <c r="Y17" s="3" t="n">
        <v>5</v>
      </c>
      <c r="Z17" s="3" t="n">
        <v>3</v>
      </c>
      <c r="AA17" s="3" t="n">
        <v>0</v>
      </c>
      <c r="AB17" s="3" t="n">
        <v>0</v>
      </c>
      <c r="AC17" s="3" t="n">
        <v>1</v>
      </c>
      <c r="AD17" s="3" t="n">
        <f aca="false">SUM(E17:AC17)</f>
        <v>102</v>
      </c>
      <c r="AE17" s="10"/>
    </row>
    <row r="18" customFormat="false" ht="21.75" hidden="false" customHeight="true" outlineLevel="0" collapsed="false">
      <c r="A18" s="3" t="n">
        <v>17</v>
      </c>
      <c r="B18" s="3" t="s">
        <v>631</v>
      </c>
      <c r="C18" s="4" t="s">
        <v>632</v>
      </c>
      <c r="D18" s="3" t="s">
        <v>633</v>
      </c>
      <c r="E18" s="3" t="n">
        <v>9</v>
      </c>
      <c r="F18" s="3" t="n">
        <v>9</v>
      </c>
      <c r="G18" s="3" t="n">
        <v>5</v>
      </c>
      <c r="H18" s="3" t="n">
        <v>2</v>
      </c>
      <c r="I18" s="3" t="n">
        <v>2</v>
      </c>
      <c r="J18" s="3" t="n">
        <v>0</v>
      </c>
      <c r="K18" s="3" t="n">
        <v>6</v>
      </c>
      <c r="L18" s="3" t="n">
        <v>4</v>
      </c>
      <c r="M18" s="3" t="n">
        <v>2</v>
      </c>
      <c r="N18" s="3" t="n">
        <v>8</v>
      </c>
      <c r="O18" s="3" t="n">
        <v>1</v>
      </c>
      <c r="P18" s="3" t="n">
        <v>0</v>
      </c>
      <c r="Q18" s="3" t="n">
        <v>2</v>
      </c>
      <c r="R18" s="3" t="n">
        <v>6</v>
      </c>
      <c r="S18" s="3" t="n">
        <v>5</v>
      </c>
      <c r="T18" s="3" t="n">
        <v>4</v>
      </c>
      <c r="U18" s="3" t="n">
        <v>8</v>
      </c>
      <c r="V18" s="3" t="n">
        <v>10</v>
      </c>
      <c r="W18" s="3" t="n">
        <v>5</v>
      </c>
      <c r="X18" s="3" t="n">
        <v>5</v>
      </c>
      <c r="Y18" s="3" t="n">
        <v>7</v>
      </c>
      <c r="Z18" s="3" t="n">
        <v>6</v>
      </c>
      <c r="AA18" s="3" t="n">
        <v>9</v>
      </c>
      <c r="AB18" s="3" t="n">
        <v>1</v>
      </c>
      <c r="AC18" s="3" t="n">
        <v>0</v>
      </c>
      <c r="AD18" s="3" t="n">
        <f aca="false">SUM(E18:AC18)</f>
        <v>116</v>
      </c>
      <c r="AE18" s="10"/>
    </row>
    <row r="19" customFormat="false" ht="21.75" hidden="false" customHeight="true" outlineLevel="0" collapsed="false">
      <c r="A19" s="3" t="n">
        <v>18</v>
      </c>
      <c r="B19" s="3" t="s">
        <v>634</v>
      </c>
      <c r="C19" s="4" t="s">
        <v>635</v>
      </c>
      <c r="D19" s="3" t="s">
        <v>636</v>
      </c>
      <c r="E19" s="3" t="n">
        <v>4</v>
      </c>
      <c r="F19" s="3" t="n">
        <v>4</v>
      </c>
      <c r="G19" s="3" t="n">
        <v>6</v>
      </c>
      <c r="H19" s="3" t="n">
        <v>6</v>
      </c>
      <c r="I19" s="3" t="n">
        <v>3</v>
      </c>
      <c r="J19" s="3" t="n">
        <v>1</v>
      </c>
      <c r="K19" s="3" t="n">
        <v>9</v>
      </c>
      <c r="L19" s="3" t="n">
        <v>4</v>
      </c>
      <c r="M19" s="3" t="n">
        <v>0</v>
      </c>
      <c r="N19" s="3" t="n">
        <v>8</v>
      </c>
      <c r="O19" s="3" t="n">
        <v>4</v>
      </c>
      <c r="P19" s="3" t="n">
        <v>1</v>
      </c>
      <c r="Q19" s="3" t="n">
        <v>2</v>
      </c>
      <c r="R19" s="3" t="n">
        <v>5</v>
      </c>
      <c r="S19" s="3" t="n">
        <v>9</v>
      </c>
      <c r="T19" s="3" t="n">
        <v>10</v>
      </c>
      <c r="U19" s="3" t="n">
        <v>1</v>
      </c>
      <c r="V19" s="3" t="n">
        <v>5</v>
      </c>
      <c r="W19" s="3" t="n">
        <v>5</v>
      </c>
      <c r="X19" s="3" t="n">
        <v>4</v>
      </c>
      <c r="Y19" s="3" t="n">
        <v>7</v>
      </c>
      <c r="Z19" s="3" t="n">
        <v>10</v>
      </c>
      <c r="AA19" s="3" t="n">
        <v>6</v>
      </c>
      <c r="AB19" s="3" t="n">
        <v>7</v>
      </c>
      <c r="AC19" s="3" t="n">
        <v>1</v>
      </c>
      <c r="AD19" s="3" t="n">
        <f aca="false">SUM(E19:AC19)</f>
        <v>122</v>
      </c>
      <c r="AE19" s="10"/>
    </row>
    <row r="20" customFormat="false" ht="21.75" hidden="false" customHeight="true" outlineLevel="0" collapsed="false">
      <c r="A20" s="3" t="n">
        <v>19</v>
      </c>
      <c r="B20" s="3" t="s">
        <v>637</v>
      </c>
      <c r="C20" s="4" t="s">
        <v>638</v>
      </c>
      <c r="D20" s="3" t="s">
        <v>639</v>
      </c>
      <c r="E20" s="3" t="n">
        <v>7</v>
      </c>
      <c r="F20" s="3" t="n">
        <v>7</v>
      </c>
      <c r="G20" s="3" t="n">
        <v>2</v>
      </c>
      <c r="H20" s="3" t="n">
        <v>3</v>
      </c>
      <c r="I20" s="3" t="n">
        <v>2</v>
      </c>
      <c r="J20" s="3" t="n">
        <v>0</v>
      </c>
      <c r="K20" s="3" t="n">
        <v>8</v>
      </c>
      <c r="L20" s="3" t="n">
        <v>3</v>
      </c>
      <c r="M20" s="3" t="n">
        <v>2</v>
      </c>
      <c r="N20" s="3" t="n">
        <v>0</v>
      </c>
      <c r="O20" s="3" t="n">
        <v>7</v>
      </c>
      <c r="P20" s="3" t="n">
        <v>9</v>
      </c>
      <c r="Q20" s="3" t="n">
        <v>2</v>
      </c>
      <c r="R20" s="3" t="n">
        <v>6</v>
      </c>
      <c r="S20" s="3" t="n">
        <v>7</v>
      </c>
      <c r="T20" s="3" t="n">
        <v>5</v>
      </c>
      <c r="U20" s="3" t="n">
        <v>1</v>
      </c>
      <c r="V20" s="3" t="n">
        <v>2</v>
      </c>
      <c r="W20" s="3" t="n">
        <v>9</v>
      </c>
      <c r="X20" s="3" t="n">
        <v>5</v>
      </c>
      <c r="Y20" s="3" t="n">
        <v>1</v>
      </c>
      <c r="Z20" s="3" t="n">
        <v>3</v>
      </c>
      <c r="AA20" s="3" t="n">
        <v>9</v>
      </c>
      <c r="AB20" s="3" t="n">
        <v>3</v>
      </c>
      <c r="AC20" s="3" t="n">
        <v>5</v>
      </c>
      <c r="AD20" s="3" t="n">
        <f aca="false">SUM(E20:AC20)</f>
        <v>108</v>
      </c>
      <c r="AE20" s="10"/>
    </row>
    <row r="21" customFormat="false" ht="21.75" hidden="false" customHeight="true" outlineLevel="0" collapsed="false">
      <c r="A21" s="3" t="n">
        <v>20</v>
      </c>
      <c r="B21" s="3" t="s">
        <v>640</v>
      </c>
      <c r="C21" s="4" t="s">
        <v>641</v>
      </c>
      <c r="D21" s="3" t="s">
        <v>642</v>
      </c>
      <c r="E21" s="3" t="n">
        <v>7</v>
      </c>
      <c r="F21" s="3" t="n">
        <v>2</v>
      </c>
      <c r="G21" s="3" t="n">
        <v>0</v>
      </c>
      <c r="H21" s="3" t="n">
        <v>0</v>
      </c>
      <c r="I21" s="3" t="n">
        <v>2</v>
      </c>
      <c r="J21" s="3" t="n">
        <v>6</v>
      </c>
      <c r="K21" s="3" t="n">
        <v>2</v>
      </c>
      <c r="L21" s="3" t="n">
        <v>0</v>
      </c>
      <c r="M21" s="3" t="n">
        <v>2</v>
      </c>
      <c r="N21" s="3" t="n">
        <v>7</v>
      </c>
      <c r="O21" s="3" t="n">
        <v>4</v>
      </c>
      <c r="P21" s="3" t="n">
        <v>6</v>
      </c>
      <c r="Q21" s="3" t="n">
        <v>2</v>
      </c>
      <c r="R21" s="3" t="n">
        <v>2</v>
      </c>
      <c r="S21" s="3" t="n">
        <v>7</v>
      </c>
      <c r="T21" s="3" t="n">
        <v>10</v>
      </c>
      <c r="U21" s="3" t="n">
        <v>2</v>
      </c>
      <c r="V21" s="3" t="n">
        <v>8</v>
      </c>
      <c r="W21" s="3" t="n">
        <v>7</v>
      </c>
      <c r="X21" s="3" t="n">
        <v>3</v>
      </c>
      <c r="Y21" s="3" t="n">
        <v>3</v>
      </c>
      <c r="Z21" s="3" t="n">
        <v>0</v>
      </c>
      <c r="AA21" s="3" t="n">
        <v>4</v>
      </c>
      <c r="AB21" s="3" t="n">
        <v>6</v>
      </c>
      <c r="AC21" s="3" t="n">
        <v>9</v>
      </c>
      <c r="AD21" s="3" t="n">
        <f aca="false">SUM(E21:AC21)</f>
        <v>101</v>
      </c>
      <c r="AE21" s="10"/>
    </row>
    <row r="22" customFormat="false" ht="21.75" hidden="false" customHeight="true" outlineLevel="0" collapsed="false">
      <c r="A22" s="3" t="n">
        <v>21</v>
      </c>
      <c r="B22" s="3" t="s">
        <v>643</v>
      </c>
      <c r="C22" s="4" t="s">
        <v>644</v>
      </c>
      <c r="D22" s="3" t="s">
        <v>645</v>
      </c>
      <c r="E22" s="3" t="n">
        <v>8</v>
      </c>
      <c r="F22" s="3" t="n">
        <v>1</v>
      </c>
      <c r="G22" s="3" t="n">
        <v>4</v>
      </c>
      <c r="H22" s="3" t="n">
        <v>0</v>
      </c>
      <c r="I22" s="3" t="n">
        <v>2</v>
      </c>
      <c r="J22" s="3" t="n">
        <v>10</v>
      </c>
      <c r="K22" s="3" t="n">
        <v>2</v>
      </c>
      <c r="L22" s="3" t="n">
        <v>2</v>
      </c>
      <c r="M22" s="3" t="n">
        <v>2</v>
      </c>
      <c r="N22" s="3" t="n">
        <v>6</v>
      </c>
      <c r="O22" s="3" t="n">
        <v>10</v>
      </c>
      <c r="P22" s="3" t="n">
        <v>8</v>
      </c>
      <c r="Q22" s="3" t="n">
        <v>2</v>
      </c>
      <c r="R22" s="3" t="n">
        <v>10</v>
      </c>
      <c r="S22" s="3" t="n">
        <v>6</v>
      </c>
      <c r="T22" s="3" t="n">
        <v>3</v>
      </c>
      <c r="U22" s="3" t="n">
        <v>1</v>
      </c>
      <c r="V22" s="3" t="n">
        <v>5</v>
      </c>
      <c r="W22" s="3" t="n">
        <v>7</v>
      </c>
      <c r="X22" s="3" t="n">
        <v>7</v>
      </c>
      <c r="Y22" s="3" t="n">
        <v>7</v>
      </c>
      <c r="Z22" s="3" t="n">
        <v>0</v>
      </c>
      <c r="AA22" s="3" t="n">
        <v>3</v>
      </c>
      <c r="AB22" s="3" t="n">
        <v>8</v>
      </c>
      <c r="AC22" s="3" t="n">
        <v>1</v>
      </c>
      <c r="AD22" s="3" t="n">
        <f aca="false">SUM(E22:AC22)</f>
        <v>115</v>
      </c>
      <c r="AE22" s="10"/>
    </row>
    <row r="23" customFormat="false" ht="21.75" hidden="false" customHeight="true" outlineLevel="0" collapsed="false">
      <c r="A23" s="3" t="n">
        <v>22</v>
      </c>
      <c r="B23" s="3" t="s">
        <v>646</v>
      </c>
      <c r="C23" s="4" t="s">
        <v>647</v>
      </c>
      <c r="D23" s="3" t="s">
        <v>648</v>
      </c>
      <c r="E23" s="3" t="n">
        <v>2</v>
      </c>
      <c r="F23" s="3" t="n">
        <v>2</v>
      </c>
      <c r="G23" s="3" t="n">
        <v>0</v>
      </c>
      <c r="H23" s="3" t="n">
        <v>5</v>
      </c>
      <c r="I23" s="3" t="n">
        <v>2</v>
      </c>
      <c r="J23" s="3" t="n">
        <v>8</v>
      </c>
      <c r="K23" s="3" t="n">
        <v>3</v>
      </c>
      <c r="L23" s="3" t="n">
        <v>8</v>
      </c>
      <c r="M23" s="3" t="n">
        <v>2</v>
      </c>
      <c r="N23" s="3" t="n">
        <v>2</v>
      </c>
      <c r="O23" s="3" t="n">
        <v>8</v>
      </c>
      <c r="P23" s="3" t="n">
        <v>2</v>
      </c>
      <c r="Q23" s="3" t="n">
        <v>2</v>
      </c>
      <c r="R23" s="3" t="n">
        <v>0</v>
      </c>
      <c r="S23" s="3" t="n">
        <v>5</v>
      </c>
      <c r="T23" s="3" t="n">
        <v>6</v>
      </c>
      <c r="U23" s="3" t="n">
        <v>9</v>
      </c>
      <c r="V23" s="3" t="n">
        <v>2</v>
      </c>
      <c r="W23" s="3" t="n">
        <v>0</v>
      </c>
      <c r="X23" s="3" t="n">
        <v>2</v>
      </c>
      <c r="Y23" s="3" t="n">
        <v>5</v>
      </c>
      <c r="Z23" s="3" t="n">
        <v>10</v>
      </c>
      <c r="AA23" s="3" t="n">
        <v>4</v>
      </c>
      <c r="AB23" s="3" t="n">
        <v>5</v>
      </c>
      <c r="AC23" s="3" t="n">
        <v>8</v>
      </c>
      <c r="AD23" s="3" t="n">
        <f aca="false">SUM(E23:AC23)</f>
        <v>102</v>
      </c>
      <c r="AE23" s="10"/>
    </row>
    <row r="24" customFormat="false" ht="21.75" hidden="false" customHeight="true" outlineLevel="0" collapsed="false">
      <c r="A24" s="3" t="n">
        <v>23</v>
      </c>
      <c r="B24" s="3" t="s">
        <v>649</v>
      </c>
      <c r="C24" s="4" t="s">
        <v>650</v>
      </c>
      <c r="D24" s="3" t="s">
        <v>651</v>
      </c>
      <c r="E24" s="3" t="n">
        <v>2</v>
      </c>
      <c r="F24" s="3" t="n">
        <v>2</v>
      </c>
      <c r="G24" s="3" t="n">
        <v>8</v>
      </c>
      <c r="H24" s="3" t="n">
        <v>5</v>
      </c>
      <c r="I24" s="3" t="n">
        <v>6</v>
      </c>
      <c r="J24" s="3" t="n">
        <v>7</v>
      </c>
      <c r="K24" s="3" t="n">
        <v>7</v>
      </c>
      <c r="L24" s="3" t="n">
        <v>9</v>
      </c>
      <c r="M24" s="3" t="n">
        <v>2</v>
      </c>
      <c r="N24" s="3" t="n">
        <v>7</v>
      </c>
      <c r="O24" s="3" t="n">
        <v>6</v>
      </c>
      <c r="P24" s="3" t="n">
        <v>1</v>
      </c>
      <c r="Q24" s="3" t="n">
        <v>2</v>
      </c>
      <c r="R24" s="3" t="n">
        <v>9</v>
      </c>
      <c r="S24" s="3" t="n">
        <v>4</v>
      </c>
      <c r="T24" s="3" t="n">
        <v>2</v>
      </c>
      <c r="U24" s="3" t="n">
        <v>10</v>
      </c>
      <c r="V24" s="3" t="n">
        <v>10</v>
      </c>
      <c r="W24" s="3" t="n">
        <v>2</v>
      </c>
      <c r="X24" s="3" t="n">
        <v>7</v>
      </c>
      <c r="Y24" s="3" t="n">
        <v>2</v>
      </c>
      <c r="Z24" s="3" t="n">
        <v>4</v>
      </c>
      <c r="AA24" s="3" t="n">
        <v>4</v>
      </c>
      <c r="AB24" s="3" t="n">
        <v>5</v>
      </c>
      <c r="AC24" s="3" t="n">
        <v>4</v>
      </c>
      <c r="AD24" s="3" t="n">
        <f aca="false">SUM(E24:AC24)</f>
        <v>127</v>
      </c>
      <c r="AE24" s="10"/>
    </row>
    <row r="25" customFormat="false" ht="21.75" hidden="false" customHeight="true" outlineLevel="0" collapsed="false">
      <c r="A25" s="3" t="n">
        <v>24</v>
      </c>
      <c r="B25" s="3" t="s">
        <v>652</v>
      </c>
      <c r="C25" s="4" t="s">
        <v>653</v>
      </c>
      <c r="D25" s="3" t="s">
        <v>654</v>
      </c>
      <c r="E25" s="3" t="n">
        <v>5</v>
      </c>
      <c r="F25" s="3" t="n">
        <v>2</v>
      </c>
      <c r="G25" s="3" t="n">
        <v>9</v>
      </c>
      <c r="H25" s="3" t="n">
        <v>10</v>
      </c>
      <c r="I25" s="3" t="n">
        <v>2</v>
      </c>
      <c r="J25" s="3" t="n">
        <v>0</v>
      </c>
      <c r="K25" s="3" t="n">
        <v>4</v>
      </c>
      <c r="L25" s="3" t="n">
        <v>9</v>
      </c>
      <c r="M25" s="3" t="n">
        <v>2</v>
      </c>
      <c r="N25" s="3" t="n">
        <v>0</v>
      </c>
      <c r="O25" s="3" t="n">
        <v>7</v>
      </c>
      <c r="P25" s="3" t="n">
        <v>6</v>
      </c>
      <c r="Q25" s="3" t="n">
        <v>9</v>
      </c>
      <c r="R25" s="3" t="n">
        <v>2</v>
      </c>
      <c r="S25" s="3" t="n">
        <v>4</v>
      </c>
      <c r="T25" s="3" t="n">
        <v>6</v>
      </c>
      <c r="U25" s="3" t="n">
        <v>1</v>
      </c>
      <c r="V25" s="3" t="n">
        <v>10</v>
      </c>
      <c r="W25" s="3" t="n">
        <v>2</v>
      </c>
      <c r="X25" s="3" t="n">
        <v>9</v>
      </c>
      <c r="Y25" s="3" t="n">
        <v>9</v>
      </c>
      <c r="Z25" s="3" t="n">
        <v>4</v>
      </c>
      <c r="AA25" s="3" t="n">
        <v>9</v>
      </c>
      <c r="AB25" s="3" t="n">
        <v>4</v>
      </c>
      <c r="AC25" s="3" t="n">
        <v>7</v>
      </c>
      <c r="AD25" s="3" t="n">
        <f aca="false">SUM(E25:AC25)</f>
        <v>132</v>
      </c>
      <c r="AE25" s="10"/>
    </row>
    <row r="26" customFormat="false" ht="21.75" hidden="false" customHeight="true" outlineLevel="0" collapsed="false">
      <c r="A26" s="3" t="n">
        <v>25</v>
      </c>
      <c r="B26" s="3" t="s">
        <v>655</v>
      </c>
      <c r="C26" s="4" t="s">
        <v>656</v>
      </c>
      <c r="D26" s="3" t="s">
        <v>657</v>
      </c>
      <c r="E26" s="3" t="n">
        <v>0</v>
      </c>
      <c r="F26" s="3" t="n">
        <v>1</v>
      </c>
      <c r="G26" s="3" t="n">
        <v>2</v>
      </c>
      <c r="H26" s="3" t="n">
        <v>6</v>
      </c>
      <c r="I26" s="3" t="n">
        <v>3</v>
      </c>
      <c r="J26" s="3" t="n">
        <v>4</v>
      </c>
      <c r="K26" s="3" t="n">
        <v>8</v>
      </c>
      <c r="L26" s="3" t="n">
        <v>5</v>
      </c>
      <c r="M26" s="3" t="n">
        <v>5</v>
      </c>
      <c r="N26" s="3" t="n">
        <v>6</v>
      </c>
      <c r="O26" s="3" t="n">
        <v>3</v>
      </c>
      <c r="P26" s="3" t="n">
        <v>6</v>
      </c>
      <c r="Q26" s="3" t="n">
        <v>0</v>
      </c>
      <c r="R26" s="3" t="n">
        <v>8</v>
      </c>
      <c r="S26" s="3" t="n">
        <v>9</v>
      </c>
      <c r="T26" s="3" t="n">
        <v>5</v>
      </c>
      <c r="U26" s="3" t="n">
        <v>9</v>
      </c>
      <c r="V26" s="3" t="n">
        <v>4</v>
      </c>
      <c r="W26" s="3" t="n">
        <v>5</v>
      </c>
      <c r="X26" s="3" t="n">
        <v>10</v>
      </c>
      <c r="Y26" s="3" t="n">
        <v>5</v>
      </c>
      <c r="Z26" s="3" t="n">
        <v>6</v>
      </c>
      <c r="AA26" s="3" t="n">
        <v>0</v>
      </c>
      <c r="AB26" s="3" t="n">
        <v>6</v>
      </c>
      <c r="AC26" s="3" t="n">
        <v>1</v>
      </c>
      <c r="AD26" s="3" t="n">
        <f aca="false">SUM(E26:AC26)</f>
        <v>117</v>
      </c>
      <c r="AE26" s="10"/>
    </row>
    <row r="27" customFormat="false" ht="21.75" hidden="false" customHeight="true" outlineLevel="0" collapsed="false">
      <c r="A27" s="3" t="n">
        <v>26</v>
      </c>
      <c r="B27" s="3" t="s">
        <v>658</v>
      </c>
      <c r="C27" s="4" t="s">
        <v>659</v>
      </c>
      <c r="D27" s="3" t="s">
        <v>660</v>
      </c>
      <c r="E27" s="3" t="n">
        <v>7</v>
      </c>
      <c r="F27" s="3" t="n">
        <v>0</v>
      </c>
      <c r="G27" s="3" t="n">
        <v>9</v>
      </c>
      <c r="H27" s="3" t="n">
        <v>9</v>
      </c>
      <c r="I27" s="3" t="n">
        <v>0</v>
      </c>
      <c r="J27" s="3" t="n">
        <v>0</v>
      </c>
      <c r="K27" s="3" t="n">
        <v>9</v>
      </c>
      <c r="L27" s="3" t="n">
        <v>0</v>
      </c>
      <c r="M27" s="3" t="n">
        <v>2</v>
      </c>
      <c r="N27" s="3" t="n">
        <v>5</v>
      </c>
      <c r="O27" s="3" t="n">
        <v>1</v>
      </c>
      <c r="P27" s="3" t="n">
        <v>5</v>
      </c>
      <c r="Q27" s="3" t="n">
        <v>3</v>
      </c>
      <c r="R27" s="3" t="n">
        <v>10</v>
      </c>
      <c r="S27" s="3" t="n">
        <v>4</v>
      </c>
      <c r="T27" s="3" t="n">
        <v>3</v>
      </c>
      <c r="U27" s="3" t="n">
        <v>1</v>
      </c>
      <c r="V27" s="3" t="n">
        <v>4</v>
      </c>
      <c r="W27" s="3" t="n">
        <v>9</v>
      </c>
      <c r="X27" s="3" t="n">
        <v>4</v>
      </c>
      <c r="Y27" s="3" t="n">
        <v>3</v>
      </c>
      <c r="Z27" s="3" t="n">
        <v>7</v>
      </c>
      <c r="AA27" s="3" t="n">
        <v>6</v>
      </c>
      <c r="AB27" s="3" t="n">
        <v>1</v>
      </c>
      <c r="AC27" s="3" t="n">
        <v>0</v>
      </c>
      <c r="AD27" s="3" t="n">
        <f aca="false">SUM(E27:AC27)</f>
        <v>102</v>
      </c>
      <c r="AE27" s="10"/>
    </row>
    <row r="28" customFormat="false" ht="21.75" hidden="false" customHeight="true" outlineLevel="0" collapsed="false">
      <c r="A28" s="3" t="n">
        <v>27</v>
      </c>
      <c r="B28" s="3" t="s">
        <v>661</v>
      </c>
      <c r="C28" s="4" t="s">
        <v>662</v>
      </c>
      <c r="D28" s="3" t="s">
        <v>663</v>
      </c>
      <c r="E28" s="3" t="n">
        <v>1</v>
      </c>
      <c r="F28" s="3" t="n">
        <v>2</v>
      </c>
      <c r="G28" s="3" t="n">
        <v>6</v>
      </c>
      <c r="H28" s="3" t="n">
        <v>3</v>
      </c>
      <c r="I28" s="3" t="n">
        <v>2</v>
      </c>
      <c r="J28" s="3" t="n">
        <v>5</v>
      </c>
      <c r="K28" s="3" t="n">
        <v>10</v>
      </c>
      <c r="L28" s="3" t="n">
        <v>5</v>
      </c>
      <c r="M28" s="3" t="n">
        <v>2</v>
      </c>
      <c r="N28" s="3" t="n">
        <v>10</v>
      </c>
      <c r="O28" s="3" t="n">
        <v>4</v>
      </c>
      <c r="P28" s="3" t="n">
        <v>2</v>
      </c>
      <c r="Q28" s="3" t="n">
        <v>2</v>
      </c>
      <c r="R28" s="3" t="n">
        <v>6</v>
      </c>
      <c r="S28" s="3" t="n">
        <v>8</v>
      </c>
      <c r="T28" s="3" t="n">
        <v>6</v>
      </c>
      <c r="U28" s="3" t="n">
        <v>2</v>
      </c>
      <c r="V28" s="3" t="n">
        <v>5</v>
      </c>
      <c r="W28" s="3" t="n">
        <v>2</v>
      </c>
      <c r="X28" s="3" t="n">
        <v>3</v>
      </c>
      <c r="Y28" s="3" t="n">
        <v>5</v>
      </c>
      <c r="Z28" s="3" t="n">
        <v>10</v>
      </c>
      <c r="AA28" s="3" t="n">
        <v>5</v>
      </c>
      <c r="AB28" s="3" t="n">
        <v>9</v>
      </c>
      <c r="AC28" s="3" t="n">
        <v>10</v>
      </c>
      <c r="AD28" s="3" t="n">
        <f aca="false">SUM(E28:AC28)</f>
        <v>125</v>
      </c>
      <c r="AE28" s="10"/>
    </row>
    <row r="29" customFormat="false" ht="21.75" hidden="false" customHeight="true" outlineLevel="0" collapsed="false">
      <c r="A29" s="3" t="n">
        <v>28</v>
      </c>
      <c r="B29" s="3" t="s">
        <v>664</v>
      </c>
      <c r="C29" s="4" t="s">
        <v>665</v>
      </c>
      <c r="D29" s="3" t="s">
        <v>666</v>
      </c>
      <c r="E29" s="3" t="n">
        <v>3</v>
      </c>
      <c r="F29" s="3" t="n">
        <v>2</v>
      </c>
      <c r="G29" s="3" t="n">
        <v>1</v>
      </c>
      <c r="H29" s="3" t="n">
        <v>5</v>
      </c>
      <c r="I29" s="3" t="n">
        <v>2</v>
      </c>
      <c r="J29" s="3" t="n">
        <v>7</v>
      </c>
      <c r="K29" s="3" t="n">
        <v>0</v>
      </c>
      <c r="L29" s="3" t="n">
        <v>2</v>
      </c>
      <c r="M29" s="3" t="n">
        <v>2</v>
      </c>
      <c r="N29" s="3" t="n">
        <v>3</v>
      </c>
      <c r="O29" s="3" t="n">
        <v>9</v>
      </c>
      <c r="P29" s="3" t="n">
        <v>6</v>
      </c>
      <c r="Q29" s="3" t="n">
        <v>2</v>
      </c>
      <c r="R29" s="3" t="n">
        <v>8</v>
      </c>
      <c r="S29" s="3" t="n">
        <v>5</v>
      </c>
      <c r="T29" s="3" t="n">
        <v>7</v>
      </c>
      <c r="U29" s="3" t="n">
        <v>2</v>
      </c>
      <c r="V29" s="3" t="n">
        <v>3</v>
      </c>
      <c r="W29" s="3" t="n">
        <v>2</v>
      </c>
      <c r="X29" s="3" t="n">
        <v>3</v>
      </c>
      <c r="Y29" s="3" t="n">
        <v>3</v>
      </c>
      <c r="Z29" s="3" t="n">
        <v>4</v>
      </c>
      <c r="AA29" s="3" t="n">
        <v>6</v>
      </c>
      <c r="AB29" s="3" t="n">
        <v>9</v>
      </c>
      <c r="AC29" s="3" t="n">
        <v>0</v>
      </c>
      <c r="AD29" s="3" t="n">
        <f aca="false">SUM(E29:AC29)</f>
        <v>96</v>
      </c>
      <c r="AE29" s="10"/>
    </row>
    <row r="30" customFormat="false" ht="21.75" hidden="false" customHeight="true" outlineLevel="0" collapsed="false">
      <c r="A30" s="3" t="n">
        <v>29</v>
      </c>
      <c r="B30" s="3" t="s">
        <v>667</v>
      </c>
      <c r="C30" s="4" t="s">
        <v>668</v>
      </c>
      <c r="D30" s="3" t="s">
        <v>669</v>
      </c>
      <c r="E30" s="3" t="n">
        <v>4</v>
      </c>
      <c r="F30" s="3" t="n">
        <v>5</v>
      </c>
      <c r="G30" s="3" t="n">
        <v>1</v>
      </c>
      <c r="H30" s="3" t="n">
        <v>7</v>
      </c>
      <c r="I30" s="3" t="n">
        <v>4</v>
      </c>
      <c r="J30" s="3" t="n">
        <v>4</v>
      </c>
      <c r="K30" s="3" t="n">
        <v>6</v>
      </c>
      <c r="L30" s="3" t="n">
        <v>1</v>
      </c>
      <c r="M30" s="3" t="n">
        <v>10</v>
      </c>
      <c r="N30" s="3" t="n">
        <v>10</v>
      </c>
      <c r="O30" s="3" t="n">
        <v>3</v>
      </c>
      <c r="P30" s="3" t="n">
        <v>6</v>
      </c>
      <c r="Q30" s="3" t="n">
        <v>6</v>
      </c>
      <c r="R30" s="3" t="n">
        <v>4</v>
      </c>
      <c r="S30" s="3" t="n">
        <v>4</v>
      </c>
      <c r="T30" s="3" t="n">
        <v>3</v>
      </c>
      <c r="U30" s="3" t="n">
        <v>1</v>
      </c>
      <c r="V30" s="3" t="n">
        <v>4</v>
      </c>
      <c r="W30" s="3" t="n">
        <v>10</v>
      </c>
      <c r="X30" s="3" t="n">
        <v>2</v>
      </c>
      <c r="Y30" s="3" t="n">
        <v>0</v>
      </c>
      <c r="Z30" s="3" t="n">
        <v>7</v>
      </c>
      <c r="AA30" s="3" t="n">
        <v>2</v>
      </c>
      <c r="AB30" s="3" t="n">
        <v>8</v>
      </c>
      <c r="AC30" s="3" t="n">
        <v>1</v>
      </c>
      <c r="AD30" s="3" t="n">
        <f aca="false">SUM(E30:AC30)</f>
        <v>113</v>
      </c>
      <c r="AE30" s="10"/>
    </row>
    <row r="31" customFormat="false" ht="21.75" hidden="false" customHeight="true" outlineLevel="0" collapsed="false">
      <c r="A31" s="3" t="n">
        <v>30</v>
      </c>
      <c r="B31" s="3" t="s">
        <v>670</v>
      </c>
      <c r="C31" s="4" t="s">
        <v>671</v>
      </c>
      <c r="D31" s="3" t="s">
        <v>672</v>
      </c>
      <c r="E31" s="3" t="n">
        <v>2</v>
      </c>
      <c r="F31" s="3" t="n">
        <v>2</v>
      </c>
      <c r="G31" s="3" t="n">
        <v>8</v>
      </c>
      <c r="H31" s="3" t="n">
        <v>8</v>
      </c>
      <c r="I31" s="3" t="n">
        <v>2</v>
      </c>
      <c r="J31" s="3" t="n">
        <v>8</v>
      </c>
      <c r="K31" s="3" t="n">
        <v>6</v>
      </c>
      <c r="L31" s="3" t="n">
        <v>1</v>
      </c>
      <c r="M31" s="3" t="n">
        <v>2</v>
      </c>
      <c r="N31" s="3" t="n">
        <v>6</v>
      </c>
      <c r="O31" s="3" t="n">
        <v>5</v>
      </c>
      <c r="P31" s="3" t="n">
        <v>8</v>
      </c>
      <c r="Q31" s="3" t="n">
        <v>6</v>
      </c>
      <c r="R31" s="3" t="n">
        <v>10</v>
      </c>
      <c r="S31" s="3" t="n">
        <v>10</v>
      </c>
      <c r="T31" s="3" t="n">
        <v>6</v>
      </c>
      <c r="U31" s="3" t="n">
        <v>1</v>
      </c>
      <c r="V31" s="3" t="n">
        <v>0</v>
      </c>
      <c r="W31" s="3" t="n">
        <v>3</v>
      </c>
      <c r="X31" s="3" t="n">
        <v>10</v>
      </c>
      <c r="Y31" s="3" t="n">
        <v>8</v>
      </c>
      <c r="Z31" s="3" t="n">
        <v>2</v>
      </c>
      <c r="AA31" s="3" t="n">
        <v>8</v>
      </c>
      <c r="AB31" s="3" t="n">
        <v>4</v>
      </c>
      <c r="AC31" s="3" t="n">
        <v>0</v>
      </c>
      <c r="AD31" s="3" t="n">
        <f aca="false">SUM(E31:AC31)</f>
        <v>126</v>
      </c>
      <c r="AE31" s="10"/>
    </row>
    <row r="32" customFormat="false" ht="21.75" hidden="false" customHeight="true" outlineLevel="0" collapsed="false">
      <c r="A32" s="3" t="n">
        <v>31</v>
      </c>
      <c r="B32" s="3" t="s">
        <v>742</v>
      </c>
      <c r="C32" s="4" t="s">
        <v>743</v>
      </c>
      <c r="D32" s="3" t="s">
        <v>744</v>
      </c>
      <c r="E32" s="3" t="n">
        <v>2</v>
      </c>
      <c r="F32" s="3" t="n">
        <v>8</v>
      </c>
      <c r="G32" s="3" t="n">
        <v>10</v>
      </c>
      <c r="H32" s="3" t="n">
        <v>3</v>
      </c>
      <c r="I32" s="3" t="n">
        <v>2</v>
      </c>
      <c r="J32" s="3" t="n">
        <v>1</v>
      </c>
      <c r="K32" s="3" t="n">
        <v>8</v>
      </c>
      <c r="L32" s="3" t="n">
        <v>8</v>
      </c>
      <c r="M32" s="3" t="n">
        <v>2</v>
      </c>
      <c r="N32" s="3" t="n">
        <v>2</v>
      </c>
      <c r="O32" s="3" t="n">
        <v>8</v>
      </c>
      <c r="P32" s="3" t="n">
        <v>4</v>
      </c>
      <c r="Q32" s="3" t="n">
        <v>2</v>
      </c>
      <c r="R32" s="3" t="n">
        <v>0</v>
      </c>
      <c r="S32" s="3" t="n">
        <v>1</v>
      </c>
      <c r="T32" s="3" t="n">
        <v>9</v>
      </c>
      <c r="U32" s="3" t="n">
        <v>10</v>
      </c>
      <c r="V32" s="3" t="n">
        <v>2</v>
      </c>
      <c r="W32" s="3" t="n">
        <v>3</v>
      </c>
      <c r="X32" s="3" t="n">
        <v>8</v>
      </c>
      <c r="Y32" s="3" t="n">
        <v>8</v>
      </c>
      <c r="Z32" s="3" t="n">
        <v>9</v>
      </c>
      <c r="AA32" s="3" t="n">
        <v>3</v>
      </c>
      <c r="AB32" s="3" t="n">
        <v>3</v>
      </c>
      <c r="AC32" s="3" t="n">
        <v>2</v>
      </c>
      <c r="AD32" s="3" t="n">
        <f aca="false">SUM(E32:AC32)</f>
        <v>118</v>
      </c>
      <c r="AE32" s="10"/>
    </row>
    <row r="33" customFormat="false" ht="21.75" hidden="false" customHeight="true" outlineLevel="0" collapsed="false">
      <c r="A33" s="3" t="n">
        <v>32</v>
      </c>
      <c r="B33" s="3" t="s">
        <v>745</v>
      </c>
      <c r="C33" s="4" t="s">
        <v>746</v>
      </c>
      <c r="D33" s="3" t="s">
        <v>747</v>
      </c>
      <c r="E33" s="3" t="n">
        <v>9</v>
      </c>
      <c r="F33" s="3" t="n">
        <v>0</v>
      </c>
      <c r="G33" s="3" t="n">
        <v>10</v>
      </c>
      <c r="H33" s="3" t="n">
        <v>9</v>
      </c>
      <c r="I33" s="3" t="n">
        <v>8</v>
      </c>
      <c r="J33" s="3" t="n">
        <v>1</v>
      </c>
      <c r="K33" s="3" t="n">
        <v>9</v>
      </c>
      <c r="L33" s="3" t="n">
        <v>0</v>
      </c>
      <c r="M33" s="3" t="n">
        <v>6</v>
      </c>
      <c r="N33" s="3" t="n">
        <v>4</v>
      </c>
      <c r="O33" s="3" t="n">
        <v>1</v>
      </c>
      <c r="P33" s="3" t="n">
        <v>8</v>
      </c>
      <c r="Q33" s="3" t="n">
        <v>2</v>
      </c>
      <c r="R33" s="3" t="n">
        <v>6</v>
      </c>
      <c r="S33" s="3" t="n">
        <v>3</v>
      </c>
      <c r="T33" s="3" t="n">
        <v>1</v>
      </c>
      <c r="U33" s="3" t="n">
        <v>9</v>
      </c>
      <c r="V33" s="3" t="n">
        <v>8</v>
      </c>
      <c r="W33" s="3" t="n">
        <v>2</v>
      </c>
      <c r="X33" s="3" t="n">
        <v>9</v>
      </c>
      <c r="Y33" s="3" t="n">
        <v>7</v>
      </c>
      <c r="Z33" s="3" t="n">
        <v>1</v>
      </c>
      <c r="AA33" s="3" t="n">
        <v>7</v>
      </c>
      <c r="AB33" s="3" t="n">
        <v>3</v>
      </c>
      <c r="AC33" s="3" t="n">
        <v>6</v>
      </c>
      <c r="AD33" s="3" t="n">
        <f aca="false">SUM(E33:AC33)</f>
        <v>129</v>
      </c>
      <c r="AE33" s="10"/>
    </row>
    <row r="34" customFormat="false" ht="21.75" hidden="false" customHeight="true" outlineLevel="0" collapsed="false">
      <c r="A34" s="3" t="n">
        <v>33</v>
      </c>
      <c r="B34" s="3" t="s">
        <v>748</v>
      </c>
      <c r="C34" s="4" t="s">
        <v>749</v>
      </c>
      <c r="D34" s="3" t="s">
        <v>750</v>
      </c>
      <c r="E34" s="3" t="n">
        <v>2</v>
      </c>
      <c r="F34" s="3" t="n">
        <v>7</v>
      </c>
      <c r="G34" s="3" t="n">
        <v>8</v>
      </c>
      <c r="H34" s="3" t="n">
        <v>10</v>
      </c>
      <c r="I34" s="3" t="n">
        <v>2</v>
      </c>
      <c r="J34" s="3" t="n">
        <v>4</v>
      </c>
      <c r="K34" s="3" t="n">
        <v>4</v>
      </c>
      <c r="L34" s="3" t="n">
        <v>10</v>
      </c>
      <c r="M34" s="3" t="n">
        <v>1</v>
      </c>
      <c r="N34" s="3" t="n">
        <v>2</v>
      </c>
      <c r="O34" s="3" t="n">
        <v>7</v>
      </c>
      <c r="P34" s="3" t="n">
        <v>10</v>
      </c>
      <c r="Q34" s="3" t="n">
        <v>2</v>
      </c>
      <c r="R34" s="3" t="n">
        <v>3</v>
      </c>
      <c r="S34" s="3" t="n">
        <v>9</v>
      </c>
      <c r="T34" s="3" t="n">
        <v>2</v>
      </c>
      <c r="U34" s="3" t="n">
        <v>6</v>
      </c>
      <c r="V34" s="3" t="n">
        <v>3</v>
      </c>
      <c r="W34" s="3" t="n">
        <v>2</v>
      </c>
      <c r="X34" s="3" t="n">
        <v>6</v>
      </c>
      <c r="Y34" s="3" t="n">
        <v>0</v>
      </c>
      <c r="Z34" s="3" t="n">
        <v>3</v>
      </c>
      <c r="AA34" s="3" t="n">
        <v>0</v>
      </c>
      <c r="AB34" s="3" t="n">
        <v>8</v>
      </c>
      <c r="AC34" s="3" t="n">
        <v>3</v>
      </c>
      <c r="AD34" s="3" t="n">
        <f aca="false">SUM(E34:AC34)</f>
        <v>114</v>
      </c>
      <c r="AE34" s="10"/>
    </row>
    <row r="35" customFormat="false" ht="21.75" hidden="false" customHeight="true" outlineLevel="0" collapsed="false">
      <c r="A35" s="3"/>
      <c r="B35" s="3"/>
      <c r="C35" s="3"/>
      <c r="D35" s="3"/>
      <c r="E35" s="3" t="n">
        <v>7</v>
      </c>
      <c r="F35" s="3" t="n">
        <v>9</v>
      </c>
      <c r="G35" s="3" t="n">
        <v>7</v>
      </c>
      <c r="H35" s="3" t="n">
        <v>2</v>
      </c>
      <c r="I35" s="3" t="n">
        <v>6</v>
      </c>
      <c r="J35" s="3" t="n">
        <v>5</v>
      </c>
      <c r="K35" s="3" t="n">
        <v>4</v>
      </c>
      <c r="L35" s="3" t="n">
        <v>9</v>
      </c>
      <c r="M35" s="3" t="n">
        <v>5</v>
      </c>
      <c r="N35" s="3" t="n">
        <v>1</v>
      </c>
      <c r="O35" s="3" t="n">
        <v>2</v>
      </c>
      <c r="P35" s="3" t="n">
        <v>1</v>
      </c>
      <c r="Q35" s="3" t="n">
        <v>3</v>
      </c>
      <c r="R35" s="3" t="n">
        <v>9</v>
      </c>
      <c r="S35" s="3" t="n">
        <v>2</v>
      </c>
      <c r="T35" s="3" t="n">
        <v>0</v>
      </c>
      <c r="U35" s="3" t="n">
        <v>6</v>
      </c>
      <c r="V35" s="3" t="n">
        <v>2</v>
      </c>
      <c r="W35" s="3" t="n">
        <v>8</v>
      </c>
      <c r="X35" s="3" t="n">
        <v>6</v>
      </c>
      <c r="Y35" s="3" t="n">
        <v>6</v>
      </c>
      <c r="Z35" s="3" t="n">
        <v>4</v>
      </c>
      <c r="AA35" s="3" t="n">
        <v>4</v>
      </c>
      <c r="AB35" s="3" t="n">
        <v>10</v>
      </c>
      <c r="AC35" s="3" t="n">
        <v>1</v>
      </c>
      <c r="AD35" s="3" t="n">
        <f aca="false">SUM(E35:AC35)</f>
        <v>119</v>
      </c>
      <c r="AE35" s="10"/>
    </row>
    <row r="36" customFormat="false" ht="21.75" hidden="false" customHeight="true" outlineLevel="0" collapsed="false">
      <c r="A36" s="3"/>
      <c r="B36" s="3"/>
      <c r="C36" s="3"/>
      <c r="D36" s="3"/>
      <c r="E36" s="3" t="n">
        <v>9</v>
      </c>
      <c r="F36" s="3" t="n">
        <v>8</v>
      </c>
      <c r="G36" s="3" t="n">
        <v>1</v>
      </c>
      <c r="H36" s="3" t="n">
        <v>10</v>
      </c>
      <c r="I36" s="3" t="n">
        <v>0</v>
      </c>
      <c r="J36" s="3" t="n">
        <v>0</v>
      </c>
      <c r="K36" s="3" t="n">
        <v>8</v>
      </c>
      <c r="L36" s="3" t="n">
        <v>8</v>
      </c>
      <c r="M36" s="3" t="n">
        <v>7</v>
      </c>
      <c r="N36" s="3" t="n">
        <v>7</v>
      </c>
      <c r="O36" s="3" t="n">
        <v>2</v>
      </c>
      <c r="P36" s="3" t="n">
        <v>6</v>
      </c>
      <c r="Q36" s="3" t="n">
        <v>4</v>
      </c>
      <c r="R36" s="3" t="n">
        <v>4</v>
      </c>
      <c r="S36" s="3" t="n">
        <v>0</v>
      </c>
      <c r="T36" s="3" t="n">
        <v>8</v>
      </c>
      <c r="U36" s="3" t="n">
        <v>1</v>
      </c>
      <c r="V36" s="3" t="n">
        <v>2</v>
      </c>
      <c r="W36" s="3" t="n">
        <v>10</v>
      </c>
      <c r="X36" s="3" t="n">
        <v>4</v>
      </c>
      <c r="Y36" s="3" t="n">
        <v>5</v>
      </c>
      <c r="Z36" s="3" t="n">
        <v>4</v>
      </c>
      <c r="AA36" s="3" t="n">
        <v>2</v>
      </c>
      <c r="AB36" s="3" t="n">
        <v>1</v>
      </c>
      <c r="AC36" s="3" t="n">
        <v>4</v>
      </c>
      <c r="AD36" s="3" t="n">
        <v>10</v>
      </c>
      <c r="AE36" s="10"/>
    </row>
    <row r="37" customFormat="false" ht="21.75" hidden="false" customHeight="true" outlineLevel="0" collapsed="false">
      <c r="A37" s="3"/>
      <c r="B37" s="3"/>
      <c r="C37" s="3"/>
      <c r="D37" s="3"/>
      <c r="E37" s="3" t="n">
        <v>10</v>
      </c>
      <c r="F37" s="3" t="n">
        <v>1</v>
      </c>
      <c r="G37" s="3" t="n">
        <v>1</v>
      </c>
      <c r="H37" s="3" t="n">
        <v>3</v>
      </c>
      <c r="I37" s="3" t="n">
        <v>8</v>
      </c>
      <c r="J37" s="3" t="n">
        <v>2</v>
      </c>
      <c r="K37" s="3" t="n">
        <v>0</v>
      </c>
      <c r="L37" s="3" t="n">
        <v>9</v>
      </c>
      <c r="M37" s="3" t="n">
        <v>4</v>
      </c>
      <c r="N37" s="3" t="n">
        <v>2</v>
      </c>
      <c r="O37" s="3" t="n">
        <v>4</v>
      </c>
      <c r="P37" s="3" t="n">
        <v>5</v>
      </c>
      <c r="Q37" s="3" t="n">
        <v>7</v>
      </c>
      <c r="R37" s="3" t="n">
        <v>9</v>
      </c>
      <c r="S37" s="3" t="n">
        <v>7</v>
      </c>
      <c r="T37" s="3" t="n">
        <v>7</v>
      </c>
      <c r="U37" s="3" t="n">
        <v>7</v>
      </c>
      <c r="V37" s="3" t="n">
        <v>5</v>
      </c>
      <c r="W37" s="3" t="n">
        <v>0</v>
      </c>
      <c r="X37" s="3" t="n">
        <v>3</v>
      </c>
      <c r="Y37" s="3" t="n">
        <v>5</v>
      </c>
      <c r="Z37" s="3" t="n">
        <v>1</v>
      </c>
      <c r="AA37" s="3" t="n">
        <v>9</v>
      </c>
      <c r="AB37" s="3" t="n">
        <v>10</v>
      </c>
      <c r="AC37" s="3" t="n">
        <v>8</v>
      </c>
      <c r="AD37" s="3" t="n">
        <v>6</v>
      </c>
    </row>
  </sheetData>
  <autoFilter ref="A1:AD37"/>
  <conditionalFormatting sqref="B1:D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2" activeCellId="0" sqref="E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customFormat="false" ht="21.75" hidden="false" customHeight="true" outlineLevel="0" collapsed="false">
      <c r="A2" s="3" t="n">
        <v>1</v>
      </c>
      <c r="B2" s="3" t="s">
        <v>7</v>
      </c>
      <c r="C2" s="4" t="s">
        <v>8</v>
      </c>
      <c r="D2" s="3" t="s">
        <v>9</v>
      </c>
      <c r="E2" s="3" t="n">
        <f aca="false">IF(OR(COUNTIF('Attendance 10 FEMALES'!$D$2:$D$39,D2)=0,COUNTIF('Participation 10 FEMALES'!$D$2:$D$37,D2)=0),"CHECK ID",IFERROR(VLOOKUP(D2,'Attendance 10 FEMALES'!$D$2:$AE$39,28,FALSE())+VLOOKUP(D2,'Participation 10 FEMALES'!$D$2:$AD$37,27,FALSE()),"CHECK ID"))</f>
        <v>216</v>
      </c>
    </row>
    <row r="3" customFormat="false" ht="21.75" hidden="false" customHeight="true" outlineLevel="0" collapsed="false">
      <c r="A3" s="3" t="n">
        <v>2</v>
      </c>
      <c r="B3" s="3" t="s">
        <v>12</v>
      </c>
      <c r="C3" s="4" t="s">
        <v>13</v>
      </c>
      <c r="D3" s="3" t="s">
        <v>14</v>
      </c>
      <c r="E3" s="3" t="n">
        <f aca="false">IF(OR(COUNTIF('Attendance 10 FEMALES'!$D$2:$D$39,D3)=0,COUNTIF('Participation 10 FEMALES'!$D$2:$D$37,D3)=0),"CHECK ID",IFERROR(VLOOKUP(D3,'Attendance 10 FEMALES'!$D$2:$AE$39,28,FALSE())+VLOOKUP(D3,'Participation 10 FEMALES'!$D$2:$AD$37,27,FALSE()),"CHECK ID"))</f>
        <v>203</v>
      </c>
    </row>
    <row r="4" customFormat="false" ht="21.75" hidden="false" customHeight="true" outlineLevel="0" collapsed="false">
      <c r="A4" s="3" t="n">
        <v>3</v>
      </c>
      <c r="B4" s="3" t="s">
        <v>15</v>
      </c>
      <c r="C4" s="4" t="s">
        <v>16</v>
      </c>
      <c r="D4" s="3" t="s">
        <v>17</v>
      </c>
      <c r="E4" s="3" t="n">
        <f aca="false">IF(OR(COUNTIF('Attendance 10 FEMALES'!$D$2:$D$39,D4)=0,COUNTIF('Participation 10 FEMALES'!$D$2:$D$37,D4)=0),"CHECK ID",IFERROR(VLOOKUP(D4,'Attendance 10 FEMALES'!$D$2:$AE$39,28,FALSE())+VLOOKUP(D4,'Participation 10 FEMALES'!$D$2:$AD$37,27,FALSE()),"CHECK ID"))</f>
        <v>220</v>
      </c>
    </row>
    <row r="5" customFormat="false" ht="21.75" hidden="false" customHeight="true" outlineLevel="0" collapsed="false">
      <c r="A5" s="3" t="n">
        <v>4</v>
      </c>
      <c r="B5" s="3" t="s">
        <v>18</v>
      </c>
      <c r="C5" s="4" t="s">
        <v>19</v>
      </c>
      <c r="D5" s="3" t="s">
        <v>20</v>
      </c>
      <c r="E5" s="3" t="n">
        <f aca="false">IF(OR(COUNTIF('Attendance 10 FEMALES'!$D$2:$D$39,D5)=0,COUNTIF('Participation 10 FEMALES'!$D$2:$D$37,D5)=0),"CHECK ID",IFERROR(VLOOKUP(D5,'Attendance 10 FEMALES'!$D$2:$AE$39,28,FALSE())+VLOOKUP(D5,'Participation 10 FEMALES'!$D$2:$AD$37,27,FALSE()),"CHECK ID"))</f>
        <v>224</v>
      </c>
    </row>
    <row r="6" customFormat="false" ht="21.75" hidden="false" customHeight="true" outlineLevel="0" collapsed="false">
      <c r="A6" s="3" t="n">
        <v>5</v>
      </c>
      <c r="B6" s="3" t="s">
        <v>21</v>
      </c>
      <c r="C6" s="4" t="s">
        <v>22</v>
      </c>
      <c r="D6" s="3" t="s">
        <v>23</v>
      </c>
      <c r="E6" s="3" t="n">
        <f aca="false">IF(OR(COUNTIF('Attendance 10 FEMALES'!$D$2:$D$39,D6)=0,COUNTIF('Participation 10 FEMALES'!$D$2:$D$37,D6)=0),"CHECK ID",IFERROR(VLOOKUP(D6,'Attendance 10 FEMALES'!$D$2:$AE$39,28,FALSE())+VLOOKUP(D6,'Participation 10 FEMALES'!$D$2:$AD$37,27,FALSE()),"CHECK ID"))</f>
        <v>186</v>
      </c>
    </row>
    <row r="7" customFormat="false" ht="21.75" hidden="false" customHeight="true" outlineLevel="0" collapsed="false">
      <c r="A7" s="3" t="n">
        <v>6</v>
      </c>
      <c r="B7" s="3" t="s">
        <v>24</v>
      </c>
      <c r="C7" s="4" t="s">
        <v>25</v>
      </c>
      <c r="D7" s="3" t="s">
        <v>26</v>
      </c>
      <c r="E7" s="3" t="n">
        <f aca="false">IF(OR(COUNTIF('Attendance 10 FEMALES'!$D$2:$D$39,D7)=0,COUNTIF('Participation 10 FEMALES'!$D$2:$D$37,D7)=0),"CHECK ID",IFERROR(VLOOKUP(D7,'Attendance 10 FEMALES'!$D$2:$AE$39,28,FALSE())+VLOOKUP(D7,'Participation 10 FEMALES'!$D$2:$AD$37,27,FALSE()),"CHECK ID"))</f>
        <v>207</v>
      </c>
    </row>
    <row r="8" customFormat="false" ht="21.75" hidden="false" customHeight="true" outlineLevel="0" collapsed="false">
      <c r="A8" s="3" t="n">
        <v>7</v>
      </c>
      <c r="B8" s="3" t="s">
        <v>27</v>
      </c>
      <c r="C8" s="4" t="s">
        <v>28</v>
      </c>
      <c r="D8" s="3" t="s">
        <v>29</v>
      </c>
      <c r="E8" s="3" t="n">
        <f aca="false">IF(OR(COUNTIF('Attendance 10 FEMALES'!$D$2:$D$39,D8)=0,COUNTIF('Participation 10 FEMALES'!$D$2:$D$37,D8)=0),"CHECK ID",IFERROR(VLOOKUP(D8,'Attendance 10 FEMALES'!$D$2:$AE$39,28,FALSE())+VLOOKUP(D8,'Participation 10 FEMALES'!$D$2:$AD$37,27,FALSE()),"CHECK ID"))</f>
        <v>188</v>
      </c>
    </row>
    <row r="9" customFormat="false" ht="21.75" hidden="false" customHeight="true" outlineLevel="0" collapsed="false">
      <c r="A9" s="3" t="n">
        <v>8</v>
      </c>
      <c r="B9" s="3" t="s">
        <v>30</v>
      </c>
      <c r="C9" s="4" t="s">
        <v>31</v>
      </c>
      <c r="D9" s="3" t="s">
        <v>32</v>
      </c>
      <c r="E9" s="3" t="n">
        <f aca="false">IF(OR(COUNTIF('Attendance 10 FEMALES'!$D$2:$D$39,D9)=0,COUNTIF('Participation 10 FEMALES'!$D$2:$D$37,D9)=0),"CHECK ID",IFERROR(VLOOKUP(D9,'Attendance 10 FEMALES'!$D$2:$AE$39,28,FALSE())+VLOOKUP(D9,'Participation 10 FEMALES'!$D$2:$AD$37,27,FALSE()),"CHECK ID"))</f>
        <v>213</v>
      </c>
    </row>
    <row r="10" customFormat="false" ht="21.75" hidden="false" customHeight="true" outlineLevel="0" collapsed="false">
      <c r="A10" s="3" t="n">
        <v>9</v>
      </c>
      <c r="B10" s="3" t="s">
        <v>34</v>
      </c>
      <c r="C10" s="4" t="s">
        <v>35</v>
      </c>
      <c r="D10" s="3" t="s">
        <v>36</v>
      </c>
      <c r="E10" s="3" t="n">
        <f aca="false">IF(OR(COUNTIF('Attendance 10 FEMALES'!$D$2:$D$39,D10)=0,COUNTIF('Participation 10 FEMALES'!$D$2:$D$37,D10)=0),"CHECK ID",IFERROR(VLOOKUP(D10,'Attendance 10 FEMALES'!$D$2:$AE$39,28,FALSE())+VLOOKUP(D10,'Participation 10 FEMALES'!$D$2:$AD$37,27,FALSE()),"CHECK ID"))</f>
        <v>176</v>
      </c>
    </row>
    <row r="11" customFormat="false" ht="21.75" hidden="false" customHeight="true" outlineLevel="0" collapsed="false">
      <c r="A11" s="3" t="n">
        <v>10</v>
      </c>
      <c r="B11" s="3" t="s">
        <v>37</v>
      </c>
      <c r="C11" s="4" t="s">
        <v>38</v>
      </c>
      <c r="D11" s="3" t="s">
        <v>39</v>
      </c>
      <c r="E11" s="3" t="n">
        <f aca="false">IF(OR(COUNTIF('Attendance 10 FEMALES'!$D$2:$D$39,D11)=0,COUNTIF('Participation 10 FEMALES'!$D$2:$D$37,D11)=0),"CHECK ID",IFERROR(VLOOKUP(D11,'Attendance 10 FEMALES'!$D$2:$AE$39,28,FALSE())+VLOOKUP(D11,'Participation 10 FEMALES'!$D$2:$AD$37,27,FALSE()),"CHECK ID"))</f>
        <v>180</v>
      </c>
    </row>
    <row r="12" customFormat="false" ht="21.75" hidden="false" customHeight="true" outlineLevel="0" collapsed="false">
      <c r="A12" s="3" t="n">
        <v>11</v>
      </c>
      <c r="B12" s="3" t="s">
        <v>40</v>
      </c>
      <c r="C12" s="4" t="s">
        <v>41</v>
      </c>
      <c r="D12" s="3" t="s">
        <v>42</v>
      </c>
      <c r="E12" s="3" t="n">
        <f aca="false">IF(OR(COUNTIF('Attendance 10 FEMALES'!$D$2:$D$39,D12)=0,COUNTIF('Participation 10 FEMALES'!$D$2:$D$37,D12)=0),"CHECK ID",IFERROR(VLOOKUP(D12,'Attendance 10 FEMALES'!$D$2:$AE$39,28,FALSE())+VLOOKUP(D12,'Participation 10 FEMALES'!$D$2:$AD$37,27,FALSE()),"CHECK ID"))</f>
        <v>222</v>
      </c>
    </row>
    <row r="13" customFormat="false" ht="21.75" hidden="false" customHeight="true" outlineLevel="0" collapsed="false">
      <c r="A13" s="3" t="n">
        <v>12</v>
      </c>
      <c r="B13" s="3" t="s">
        <v>43</v>
      </c>
      <c r="C13" s="4" t="s">
        <v>44</v>
      </c>
      <c r="D13" s="3" t="s">
        <v>45</v>
      </c>
      <c r="E13" s="3" t="n">
        <f aca="false">IF(OR(COUNTIF('Attendance 10 FEMALES'!$D$2:$D$39,D13)=0,COUNTIF('Participation 10 FEMALES'!$D$2:$D$37,D13)=0),"CHECK ID",IFERROR(VLOOKUP(D13,'Attendance 10 FEMALES'!$D$2:$AE$39,28,FALSE())+VLOOKUP(D13,'Participation 10 FEMALES'!$D$2:$AD$37,27,FALSE()),"CHECK ID"))</f>
        <v>197</v>
      </c>
    </row>
    <row r="14" customFormat="false" ht="21.75" hidden="false" customHeight="true" outlineLevel="0" collapsed="false">
      <c r="A14" s="3" t="n">
        <v>13</v>
      </c>
      <c r="B14" s="3" t="s">
        <v>46</v>
      </c>
      <c r="C14" s="4" t="s">
        <v>47</v>
      </c>
      <c r="D14" s="3" t="s">
        <v>48</v>
      </c>
      <c r="E14" s="3" t="n">
        <f aca="false">IF(OR(COUNTIF('Attendance 10 FEMALES'!$D$2:$D$39,D14)=0,COUNTIF('Participation 10 FEMALES'!$D$2:$D$37,D14)=0),"CHECK ID",IFERROR(VLOOKUP(D14,'Attendance 10 FEMALES'!$D$2:$AE$39,28,FALSE())+VLOOKUP(D14,'Participation 10 FEMALES'!$D$2:$AD$37,27,FALSE()),"CHECK ID"))</f>
        <v>161</v>
      </c>
    </row>
    <row r="15" customFormat="false" ht="21.75" hidden="false" customHeight="true" outlineLevel="0" collapsed="false">
      <c r="A15" s="3" t="n">
        <v>14</v>
      </c>
      <c r="B15" s="3" t="s">
        <v>49</v>
      </c>
      <c r="C15" s="4" t="s">
        <v>50</v>
      </c>
      <c r="D15" s="3" t="s">
        <v>51</v>
      </c>
      <c r="E15" s="3" t="n">
        <f aca="false">IF(OR(COUNTIF('Attendance 10 FEMALES'!$D$2:$D$39,D15)=0,COUNTIF('Participation 10 FEMALES'!$D$2:$D$37,D15)=0),"CHECK ID",IFERROR(VLOOKUP(D15,'Attendance 10 FEMALES'!$D$2:$AE$39,28,FALSE())+VLOOKUP(D15,'Participation 10 FEMALES'!$D$2:$AD$37,27,FALSE()),"CHECK ID"))</f>
        <v>182</v>
      </c>
    </row>
    <row r="16" customFormat="false" ht="21.75" hidden="false" customHeight="true" outlineLevel="0" collapsed="false">
      <c r="A16" s="3" t="n">
        <v>15</v>
      </c>
      <c r="B16" s="3" t="s">
        <v>52</v>
      </c>
      <c r="C16" s="4" t="s">
        <v>53</v>
      </c>
      <c r="D16" s="3" t="s">
        <v>54</v>
      </c>
      <c r="E16" s="3" t="n">
        <f aca="false">IF(OR(COUNTIF('Attendance 10 FEMALES'!$D$2:$D$39,D16)=0,COUNTIF('Participation 10 FEMALES'!$D$2:$D$37,D16)=0),"CHECK ID",IFERROR(VLOOKUP(D16,'Attendance 10 FEMALES'!$D$2:$AE$39,28,FALSE())+VLOOKUP(D16,'Participation 10 FEMALES'!$D$2:$AD$37,27,FALSE()),"CHECK ID"))</f>
        <v>184</v>
      </c>
    </row>
    <row r="17" customFormat="false" ht="21.75" hidden="false" customHeight="true" outlineLevel="0" collapsed="false">
      <c r="A17" s="3" t="n">
        <v>16</v>
      </c>
      <c r="B17" s="3" t="s">
        <v>55</v>
      </c>
      <c r="C17" s="4" t="s">
        <v>56</v>
      </c>
      <c r="D17" s="3" t="s">
        <v>57</v>
      </c>
      <c r="E17" s="3" t="n">
        <f aca="false">IF(OR(COUNTIF('Attendance 10 FEMALES'!$D$2:$D$39,D17)=0,COUNTIF('Participation 10 FEMALES'!$D$2:$D$37,D17)=0),"CHECK ID",IFERROR(VLOOKUP(D17,'Attendance 10 FEMALES'!$D$2:$AE$39,28,FALSE())+VLOOKUP(D17,'Participation 10 FEMALES'!$D$2:$AD$37,27,FALSE()),"CHECK ID"))</f>
        <v>201</v>
      </c>
    </row>
    <row r="18" customFormat="false" ht="21.75" hidden="false" customHeight="true" outlineLevel="0" collapsed="false">
      <c r="A18" s="3" t="n">
        <v>17</v>
      </c>
      <c r="B18" s="3" t="s">
        <v>58</v>
      </c>
      <c r="C18" s="4" t="s">
        <v>59</v>
      </c>
      <c r="D18" s="3" t="s">
        <v>60</v>
      </c>
      <c r="E18" s="3" t="n">
        <f aca="false">IF(OR(COUNTIF('Attendance 10 FEMALES'!$D$2:$D$39,D18)=0,COUNTIF('Participation 10 FEMALES'!$D$2:$D$37,D18)=0),"CHECK ID",IFERROR(VLOOKUP(D18,'Attendance 10 FEMALES'!$D$2:$AE$39,28,FALSE())+VLOOKUP(D18,'Participation 10 FEMALES'!$D$2:$AD$37,27,FALSE()),"CHECK ID"))</f>
        <v>184</v>
      </c>
    </row>
    <row r="19" customFormat="false" ht="21.75" hidden="false" customHeight="true" outlineLevel="0" collapsed="false">
      <c r="A19" s="3" t="n">
        <v>18</v>
      </c>
      <c r="B19" s="3" t="s">
        <v>61</v>
      </c>
      <c r="C19" s="4" t="s">
        <v>62</v>
      </c>
      <c r="D19" s="3" t="s">
        <v>63</v>
      </c>
      <c r="E19" s="3" t="n">
        <f aca="false">IF(OR(COUNTIF('Attendance 10 FEMALES'!$D$2:$D$39,D19)=0,COUNTIF('Participation 10 FEMALES'!$D$2:$D$37,D19)=0),"CHECK ID",IFERROR(VLOOKUP(D19,'Attendance 10 FEMALES'!$D$2:$AE$39,28,FALSE())+VLOOKUP(D19,'Participation 10 FEMALES'!$D$2:$AD$37,27,FALSE()),"CHECK ID"))</f>
        <v>217</v>
      </c>
    </row>
    <row r="20" customFormat="false" ht="21.75" hidden="false" customHeight="true" outlineLevel="0" collapsed="false">
      <c r="A20" s="3" t="n">
        <v>19</v>
      </c>
      <c r="B20" s="3" t="s">
        <v>64</v>
      </c>
      <c r="C20" s="4" t="s">
        <v>65</v>
      </c>
      <c r="D20" s="3" t="s">
        <v>66</v>
      </c>
      <c r="E20" s="3" t="n">
        <f aca="false">IF(OR(COUNTIF('Attendance 10 FEMALES'!$D$2:$D$39,D20)=0,COUNTIF('Participation 10 FEMALES'!$D$2:$D$37,D20)=0),"CHECK ID",IFERROR(VLOOKUP(D20,'Attendance 10 FEMALES'!$D$2:$AE$39,28,FALSE())+VLOOKUP(D20,'Participation 10 FEMALES'!$D$2:$AD$37,27,FALSE()),"CHECK ID"))</f>
        <v>133</v>
      </c>
    </row>
    <row r="21" customFormat="false" ht="21.75" hidden="false" customHeight="true" outlineLevel="0" collapsed="false">
      <c r="A21" s="3" t="n">
        <v>20</v>
      </c>
      <c r="B21" s="3" t="s">
        <v>67</v>
      </c>
      <c r="C21" s="4" t="s">
        <v>68</v>
      </c>
      <c r="D21" s="3" t="s">
        <v>69</v>
      </c>
      <c r="E21" s="3" t="n">
        <f aca="false">IF(OR(COUNTIF('Attendance 10 FEMALES'!$D$2:$D$39,D21)=0,COUNTIF('Participation 10 FEMALES'!$D$2:$D$37,D21)=0),"CHECK ID",IFERROR(VLOOKUP(D21,'Attendance 10 FEMALES'!$D$2:$AE$39,28,FALSE())+VLOOKUP(D21,'Participation 10 FEMALES'!$D$2:$AD$37,27,FALSE()),"CHECK ID"))</f>
        <v>146</v>
      </c>
    </row>
    <row r="22" customFormat="false" ht="21.75" hidden="false" customHeight="true" outlineLevel="0" collapsed="false">
      <c r="A22" s="3" t="n">
        <v>21</v>
      </c>
      <c r="B22" s="3" t="s">
        <v>70</v>
      </c>
      <c r="C22" s="4" t="s">
        <v>71</v>
      </c>
      <c r="D22" s="3" t="s">
        <v>72</v>
      </c>
      <c r="E22" s="3" t="n">
        <f aca="false">IF(OR(COUNTIF('Attendance 10 FEMALES'!$D$2:$D$39,D22)=0,COUNTIF('Participation 10 FEMALES'!$D$2:$D$37,D22)=0),"CHECK ID",IFERROR(VLOOKUP(D22,'Attendance 10 FEMALES'!$D$2:$AE$39,28,FALSE())+VLOOKUP(D22,'Participation 10 FEMALES'!$D$2:$AD$37,27,FALSE()),"CHECK ID"))</f>
        <v>184</v>
      </c>
    </row>
    <row r="23" customFormat="false" ht="21.75" hidden="false" customHeight="true" outlineLevel="0" collapsed="false">
      <c r="A23" s="3" t="n">
        <v>22</v>
      </c>
      <c r="B23" s="3" t="s">
        <v>73</v>
      </c>
      <c r="C23" s="4" t="s">
        <v>74</v>
      </c>
      <c r="D23" s="3" t="s">
        <v>75</v>
      </c>
      <c r="E23" s="3" t="n">
        <f aca="false">IF(OR(COUNTIF('Attendance 10 FEMALES'!$D$2:$D$39,D23)=0,COUNTIF('Participation 10 FEMALES'!$D$2:$D$37,D23)=0),"CHECK ID",IFERROR(VLOOKUP(D23,'Attendance 10 FEMALES'!$D$2:$AE$39,28,FALSE())+VLOOKUP(D23,'Participation 10 FEMALES'!$D$2:$AD$37,27,FALSE()),"CHECK ID"))</f>
        <v>49</v>
      </c>
    </row>
    <row r="24" customFormat="false" ht="21.75" hidden="false" customHeight="true" outlineLevel="0" collapsed="false">
      <c r="A24" s="3" t="n">
        <v>23</v>
      </c>
      <c r="B24" s="3" t="s">
        <v>76</v>
      </c>
      <c r="C24" s="4" t="s">
        <v>77</v>
      </c>
      <c r="D24" s="3" t="s">
        <v>78</v>
      </c>
      <c r="E24" s="3" t="n">
        <f aca="false">IF(OR(COUNTIF('Attendance 10 FEMALES'!$D$2:$D$39,D24)=0,COUNTIF('Participation 10 FEMALES'!$D$2:$D$37,D24)=0),"CHECK ID",IFERROR(VLOOKUP(D24,'Attendance 10 FEMALES'!$D$2:$AE$39,28,FALSE())+VLOOKUP(D24,'Participation 10 FEMALES'!$D$2:$AD$37,27,FALSE()),"CHECK ID"))</f>
        <v>161</v>
      </c>
    </row>
    <row r="25" customFormat="false" ht="21.75" hidden="false" customHeight="true" outlineLevel="0" collapsed="false">
      <c r="A25" s="3" t="n">
        <v>24</v>
      </c>
      <c r="B25" s="3" t="s">
        <v>79</v>
      </c>
      <c r="C25" s="4" t="s">
        <v>80</v>
      </c>
      <c r="D25" s="3" t="s">
        <v>81</v>
      </c>
      <c r="E25" s="3" t="n">
        <f aca="false">IF(OR(COUNTIF('Attendance 10 FEMALES'!$D$2:$D$39,D25)=0,COUNTIF('Participation 10 FEMALES'!$D$2:$D$37,D25)=0),"CHECK ID",IFERROR(VLOOKUP(D25,'Attendance 10 FEMALES'!$D$2:$AE$39,28,FALSE())+VLOOKUP(D25,'Participation 10 FEMALES'!$D$2:$AD$37,27,FALSE()),"CHECK ID"))</f>
        <v>218</v>
      </c>
    </row>
    <row r="26" customFormat="false" ht="21.75" hidden="false" customHeight="true" outlineLevel="0" collapsed="false">
      <c r="A26" s="3" t="n">
        <v>25</v>
      </c>
      <c r="B26" s="3" t="s">
        <v>82</v>
      </c>
      <c r="C26" s="4" t="s">
        <v>83</v>
      </c>
      <c r="D26" s="3" t="s">
        <v>84</v>
      </c>
      <c r="E26" s="3" t="n">
        <f aca="false">IF(OR(COUNTIF('Attendance 10 FEMALES'!$D$2:$D$39,D26)=0,COUNTIF('Participation 10 FEMALES'!$D$2:$D$37,D26)=0),"CHECK ID",IFERROR(VLOOKUP(D26,'Attendance 10 FEMALES'!$D$2:$AE$39,28,FALSE())+VLOOKUP(D26,'Participation 10 FEMALES'!$D$2:$AD$37,27,FALSE()),"CHECK ID"))</f>
        <v>213</v>
      </c>
    </row>
    <row r="27" customFormat="false" ht="21.75" hidden="false" customHeight="true" outlineLevel="0" collapsed="false">
      <c r="A27" s="3" t="n">
        <v>26</v>
      </c>
      <c r="B27" s="3" t="s">
        <v>85</v>
      </c>
      <c r="C27" s="4" t="s">
        <v>86</v>
      </c>
      <c r="D27" s="3" t="s">
        <v>87</v>
      </c>
      <c r="E27" s="3" t="n">
        <f aca="false">IF(OR(COUNTIF('Attendance 10 FEMALES'!$D$2:$D$39,D27)=0,COUNTIF('Participation 10 FEMALES'!$D$2:$D$37,D27)=0),"CHECK ID",IFERROR(VLOOKUP(D27,'Attendance 10 FEMALES'!$D$2:$AE$39,28,FALSE())+VLOOKUP(D27,'Participation 10 FEMALES'!$D$2:$AD$37,27,FALSE()),"CHECK ID"))</f>
        <v>197</v>
      </c>
    </row>
    <row r="28" customFormat="false" ht="21.75" hidden="false" customHeight="true" outlineLevel="0" collapsed="false">
      <c r="A28" s="3" t="n">
        <v>27</v>
      </c>
      <c r="B28" s="3" t="s">
        <v>88</v>
      </c>
      <c r="C28" s="4" t="s">
        <v>89</v>
      </c>
      <c r="D28" s="3" t="s">
        <v>90</v>
      </c>
      <c r="E28" s="3" t="n">
        <f aca="false">IF(OR(COUNTIF('Attendance 10 FEMALES'!$D$2:$D$39,D28)=0,COUNTIF('Participation 10 FEMALES'!$D$2:$D$37,D28)=0),"CHECK ID",IFERROR(VLOOKUP(D28,'Attendance 10 FEMALES'!$D$2:$AE$39,28,FALSE())+VLOOKUP(D28,'Participation 10 FEMALES'!$D$2:$AD$37,27,FALSE()),"CHECK ID"))</f>
        <v>120</v>
      </c>
    </row>
    <row r="29" customFormat="false" ht="21.75" hidden="false" customHeight="true" outlineLevel="0" collapsed="false">
      <c r="A29" s="3" t="n">
        <v>28</v>
      </c>
      <c r="B29" s="3" t="s">
        <v>91</v>
      </c>
      <c r="C29" s="4" t="s">
        <v>92</v>
      </c>
      <c r="D29" s="3" t="s">
        <v>93</v>
      </c>
      <c r="E29" s="3" t="n">
        <f aca="false">IF(OR(COUNTIF('Attendance 10 FEMALES'!$D$2:$D$39,D29)=0,COUNTIF('Participation 10 FEMALES'!$D$2:$D$37,D29)=0),"CHECK ID",IFERROR(VLOOKUP(D29,'Attendance 10 FEMALES'!$D$2:$AE$39,28,FALSE())+VLOOKUP(D29,'Participation 10 FEMALES'!$D$2:$AD$37,27,FALSE()),"CHECK ID"))</f>
        <v>176</v>
      </c>
    </row>
    <row r="30" customFormat="false" ht="21.75" hidden="false" customHeight="true" outlineLevel="0" collapsed="false">
      <c r="A30" s="3" t="n">
        <v>29</v>
      </c>
      <c r="B30" s="3" t="s">
        <v>94</v>
      </c>
      <c r="C30" s="4" t="s">
        <v>95</v>
      </c>
      <c r="D30" s="3" t="s">
        <v>96</v>
      </c>
      <c r="E30" s="3" t="n">
        <f aca="false">IF(OR(COUNTIF('Attendance 10 FEMALES'!$D$2:$D$39,D30)=0,COUNTIF('Participation 10 FEMALES'!$D$2:$D$37,D30)=0),"CHECK ID",IFERROR(VLOOKUP(D30,'Attendance 10 FEMALES'!$D$2:$AE$39,28,FALSE())+VLOOKUP(D30,'Participation 10 FEMALES'!$D$2:$AD$37,27,FALSE()),"CHECK ID"))</f>
        <v>142</v>
      </c>
    </row>
    <row r="31" customFormat="false" ht="21.75" hidden="false" customHeight="true" outlineLevel="0" collapsed="false">
      <c r="A31" s="3" t="n">
        <v>30</v>
      </c>
      <c r="B31" s="3" t="s">
        <v>97</v>
      </c>
      <c r="C31" s="4" t="s">
        <v>98</v>
      </c>
      <c r="D31" s="3" t="s">
        <v>99</v>
      </c>
      <c r="E31" s="3" t="n">
        <f aca="false">IF(OR(COUNTIF('Attendance 10 FEMALES'!$D$2:$D$39,D31)=0,COUNTIF('Participation 10 FEMALES'!$D$2:$D$37,D31)=0),"CHECK ID",IFERROR(VLOOKUP(D31,'Attendance 10 FEMALES'!$D$2:$AE$39,28,FALSE())+VLOOKUP(D31,'Participation 10 FEMALES'!$D$2:$AD$37,27,FALSE()),"CHECK ID"))</f>
        <v>179</v>
      </c>
    </row>
    <row r="32" customFormat="false" ht="21.75" hidden="false" customHeight="true" outlineLevel="0" collapsed="false">
      <c r="A32" s="3" t="n">
        <v>31</v>
      </c>
      <c r="B32" s="3" t="s">
        <v>100</v>
      </c>
      <c r="C32" s="4" t="s">
        <v>101</v>
      </c>
      <c r="D32" s="3" t="s">
        <v>102</v>
      </c>
      <c r="E32" s="3" t="n">
        <f aca="false">IF(OR(COUNTIF('Attendance 10 FEMALES'!$D$2:$D$39,D32)=0,COUNTIF('Participation 10 FEMALES'!$D$2:$D$37,D32)=0),"CHECK ID",IFERROR(VLOOKUP(D32,'Attendance 10 FEMALES'!$D$2:$AE$39,28,FALSE())+VLOOKUP(D32,'Participation 10 FEMALES'!$D$2:$AD$37,27,FALSE()),"CHECK ID"))</f>
        <v>163</v>
      </c>
    </row>
    <row r="33" customFormat="false" ht="21.75" hidden="false" customHeight="true" outlineLevel="0" collapsed="false">
      <c r="A33" s="3" t="n">
        <v>32</v>
      </c>
      <c r="B33" s="3" t="s">
        <v>103</v>
      </c>
      <c r="C33" s="4" t="s">
        <v>104</v>
      </c>
      <c r="D33" s="3" t="s">
        <v>105</v>
      </c>
      <c r="E33" s="3" t="n">
        <f aca="false">IF(OR(COUNTIF('Attendance 10 FEMALES'!$D$2:$D$39,D33)=0,COUNTIF('Participation 10 FEMALES'!$D$2:$D$37,D33)=0),"CHECK ID",IFERROR(VLOOKUP(D33,'Attendance 10 FEMALES'!$D$2:$AE$39,28,FALSE())+VLOOKUP(D33,'Participation 10 FEMALES'!$D$2:$AD$37,27,FALSE()),"CHECK ID"))</f>
        <v>214</v>
      </c>
    </row>
    <row r="34" customFormat="false" ht="21.75" hidden="false" customHeight="true" outlineLevel="0" collapsed="false">
      <c r="A34" s="3" t="n">
        <v>33</v>
      </c>
      <c r="B34" s="3" t="s">
        <v>106</v>
      </c>
      <c r="C34" s="4" t="s">
        <v>107</v>
      </c>
      <c r="D34" s="3" t="s">
        <v>108</v>
      </c>
      <c r="E34" s="3" t="n">
        <f aca="false">IF(OR(COUNTIF('Attendance 10 FEMALES'!$D$2:$D$39,D34)=0,COUNTIF('Participation 10 FEMALES'!$D$2:$D$37,D34)=0),"CHECK ID",IFERROR(VLOOKUP(D34,'Attendance 10 FEMALES'!$D$2:$AE$39,28,FALSE())+VLOOKUP(D34,'Participation 10 FEMALES'!$D$2:$AD$37,27,FALSE()),"CHECK ID"))</f>
        <v>142</v>
      </c>
    </row>
    <row r="35" customFormat="false" ht="21.75" hidden="false" customHeight="true" outlineLevel="0" collapsed="false">
      <c r="A35" s="3" t="n">
        <v>34</v>
      </c>
      <c r="B35" s="3" t="s">
        <v>109</v>
      </c>
      <c r="C35" s="4" t="s">
        <v>110</v>
      </c>
      <c r="D35" s="3" t="s">
        <v>111</v>
      </c>
      <c r="E35" s="3" t="n">
        <f aca="false">IF(OR(COUNTIF('Attendance 10 FEMALES'!$D$2:$D$39,D35)=0,COUNTIF('Participation 10 FEMALES'!$D$2:$D$37,D35)=0),"CHECK ID",IFERROR(VLOOKUP(D35,'Attendance 10 FEMALES'!$D$2:$AE$39,28,FALSE())+VLOOKUP(D35,'Participation 10 FEMALES'!$D$2:$AD$37,27,FALSE()),"CHECK ID"))</f>
        <v>108</v>
      </c>
    </row>
    <row r="36" customFormat="false" ht="21.75" hidden="false" customHeight="true" outlineLevel="0" collapsed="false">
      <c r="A36" s="3" t="n">
        <v>35</v>
      </c>
      <c r="B36" s="3" t="s">
        <v>112</v>
      </c>
      <c r="C36" s="4" t="s">
        <v>113</v>
      </c>
      <c r="D36" s="3" t="s">
        <v>114</v>
      </c>
      <c r="E36" s="3" t="n">
        <f aca="false">IF(OR(COUNTIF('Attendance 10 FEMALES'!$D$2:$D$39,D36)=0,COUNTIF('Participation 10 FEMALES'!$D$2:$D$37,D36)=0),"CHECK ID",IFERROR(VLOOKUP(D36,'Attendance 10 FEMALES'!$D$2:$AE$39,28,FALSE())+VLOOKUP(D36,'Participation 10 FEMALES'!$D$2:$AD$37,27,FALSE()),"CHECK ID"))</f>
        <v>217</v>
      </c>
    </row>
  </sheetData>
  <autoFilter ref="A1:E36"/>
  <conditionalFormatting sqref="B1:E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dataValidations count="1">
    <dataValidation allowBlank="true" errorStyle="stop" operator="between" showDropDown="false" showErrorMessage="true" showInputMessage="true" sqref="B1:D1" type="list">
      <formula1>$B$1:$AG$1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G8" activeCellId="0" sqref="G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customFormat="false" ht="21.75" hidden="false" customHeight="true" outlineLevel="0" collapsed="false">
      <c r="A2" s="3" t="n">
        <v>1</v>
      </c>
      <c r="B2" s="3" t="s">
        <v>128</v>
      </c>
      <c r="C2" s="4" t="s">
        <v>129</v>
      </c>
      <c r="D2" s="3" t="s">
        <v>130</v>
      </c>
      <c r="E2" s="3" t="n">
        <f aca="false">IF(OR(COUNTIF('Attendance 11 FEMALES'!$D$2:$D$41,D2)=0,COUNTIF('Participation 11 FEMALES'!$D$2:$D$40,D2)=0),"CHECK ID",IFERROR(VLOOKUP(D2,'Attendance 11 FEMALES'!$D$2:$AE$41,28,FALSE())+VLOOKUP(D2,'Participation 11 FEMALES'!$D$2:$AD$40,27,FALSE()),"CHECK ID"))</f>
        <v>148</v>
      </c>
    </row>
    <row r="3" customFormat="false" ht="21.75" hidden="false" customHeight="true" outlineLevel="0" collapsed="false">
      <c r="A3" s="3" t="n">
        <v>2</v>
      </c>
      <c r="B3" s="3" t="s">
        <v>131</v>
      </c>
      <c r="C3" s="4" t="s">
        <v>132</v>
      </c>
      <c r="D3" s="3" t="s">
        <v>133</v>
      </c>
      <c r="E3" s="3" t="n">
        <f aca="false">IF(OR(COUNTIF('Attendance 11 FEMALES'!$D$2:$D$41,D3)=0,COUNTIF('Participation 11 FEMALES'!$D$2:$D$40,D3)=0),"CHECK ID",IFERROR(VLOOKUP(D3,'Attendance 11 FEMALES'!$D$2:$AE$41,28,FALSE())+VLOOKUP(D3,'Participation 11 FEMALES'!$D$2:$AD$40,27,FALSE()),"CHECK ID"))</f>
        <v>220</v>
      </c>
    </row>
    <row r="4" customFormat="false" ht="21.75" hidden="false" customHeight="true" outlineLevel="0" collapsed="false">
      <c r="A4" s="3" t="n">
        <v>3</v>
      </c>
      <c r="B4" s="3" t="s">
        <v>134</v>
      </c>
      <c r="C4" s="4" t="s">
        <v>135</v>
      </c>
      <c r="D4" s="3" t="s">
        <v>136</v>
      </c>
      <c r="E4" s="3" t="n">
        <f aca="false">IF(OR(COUNTIF('Attendance 11 FEMALES'!$D$2:$D$41,D4)=0,COUNTIF('Participation 11 FEMALES'!$D$2:$D$40,D4)=0),"CHECK ID",IFERROR(VLOOKUP(D4,'Attendance 11 FEMALES'!$D$2:$AE$41,28,FALSE())+VLOOKUP(D4,'Participation 11 FEMALES'!$D$2:$AD$40,27,FALSE()),"CHECK ID"))</f>
        <v>144</v>
      </c>
    </row>
    <row r="5" customFormat="false" ht="21.75" hidden="false" customHeight="true" outlineLevel="0" collapsed="false">
      <c r="A5" s="3" t="n">
        <v>4</v>
      </c>
      <c r="B5" s="3" t="s">
        <v>137</v>
      </c>
      <c r="C5" s="4" t="s">
        <v>138</v>
      </c>
      <c r="D5" s="3" t="s">
        <v>139</v>
      </c>
      <c r="E5" s="3" t="n">
        <f aca="false">IF(OR(COUNTIF('Attendance 11 FEMALES'!$D$2:$D$41,D5)=0,COUNTIF('Participation 11 FEMALES'!$D$2:$D$40,D5)=0),"CHECK ID",IFERROR(VLOOKUP(D5,'Attendance 11 FEMALES'!$D$2:$AE$41,28,FALSE())+VLOOKUP(D5,'Participation 11 FEMALES'!$D$2:$AD$40,27,FALSE()),"CHECK ID"))</f>
        <v>175</v>
      </c>
    </row>
    <row r="6" customFormat="false" ht="21.75" hidden="false" customHeight="true" outlineLevel="0" collapsed="false">
      <c r="A6" s="3" t="n">
        <v>5</v>
      </c>
      <c r="B6" s="3" t="s">
        <v>140</v>
      </c>
      <c r="C6" s="4" t="s">
        <v>141</v>
      </c>
      <c r="D6" s="3" t="s">
        <v>142</v>
      </c>
      <c r="E6" s="3" t="n">
        <f aca="false">IF(OR(COUNTIF('Attendance 11 FEMALES'!$D$2:$D$41,D6)=0,COUNTIF('Participation 11 FEMALES'!$D$2:$D$40,D6)=0),"CHECK ID",IFERROR(VLOOKUP(D6,'Attendance 11 FEMALES'!$D$2:$AE$41,28,FALSE())+VLOOKUP(D6,'Participation 11 FEMALES'!$D$2:$AD$40,27,FALSE()),"CHECK ID"))</f>
        <v>143</v>
      </c>
    </row>
    <row r="7" customFormat="false" ht="21.75" hidden="false" customHeight="true" outlineLevel="0" collapsed="false">
      <c r="A7" s="3" t="n">
        <v>6</v>
      </c>
      <c r="B7" s="3" t="s">
        <v>143</v>
      </c>
      <c r="C7" s="4" t="s">
        <v>144</v>
      </c>
      <c r="D7" s="3" t="s">
        <v>145</v>
      </c>
      <c r="E7" s="3" t="n">
        <f aca="false">IF(OR(COUNTIF('Attendance 11 FEMALES'!$D$2:$D$41,D7)=0,COUNTIF('Participation 11 FEMALES'!$D$2:$D$40,D7)=0),"CHECK ID",IFERROR(VLOOKUP(D7,'Attendance 11 FEMALES'!$D$2:$AE$41,28,FALSE())+VLOOKUP(D7,'Participation 11 FEMALES'!$D$2:$AD$40,27,FALSE()),"CHECK ID"))</f>
        <v>179</v>
      </c>
    </row>
    <row r="8" customFormat="false" ht="21.75" hidden="false" customHeight="true" outlineLevel="0" collapsed="false">
      <c r="A8" s="3" t="n">
        <v>7</v>
      </c>
      <c r="B8" s="3" t="s">
        <v>146</v>
      </c>
      <c r="C8" s="4" t="s">
        <v>147</v>
      </c>
      <c r="D8" s="3" t="s">
        <v>148</v>
      </c>
      <c r="E8" s="3" t="n">
        <f aca="false">IF(OR(COUNTIF('Attendance 11 FEMALES'!$D$2:$D$41,D8)=0,COUNTIF('Participation 11 FEMALES'!$D$2:$D$40,D8)=0),"CHECK ID",IFERROR(VLOOKUP(D8,'Attendance 11 FEMALES'!$D$2:$AE$41,28,FALSE())+VLOOKUP(D8,'Participation 11 FEMALES'!$D$2:$AD$40,27,FALSE()),"CHECK ID"))</f>
        <v>204</v>
      </c>
    </row>
    <row r="9" customFormat="false" ht="21.75" hidden="false" customHeight="true" outlineLevel="0" collapsed="false">
      <c r="A9" s="3" t="n">
        <v>8</v>
      </c>
      <c r="B9" s="3" t="s">
        <v>149</v>
      </c>
      <c r="C9" s="4" t="s">
        <v>150</v>
      </c>
      <c r="D9" s="3" t="s">
        <v>151</v>
      </c>
      <c r="E9" s="3" t="n">
        <f aca="false">IF(OR(COUNTIF('Attendance 11 FEMALES'!$D$2:$D$41,D9)=0,COUNTIF('Participation 11 FEMALES'!$D$2:$D$40,D9)=0),"CHECK ID",IFERROR(VLOOKUP(D9,'Attendance 11 FEMALES'!$D$2:$AE$41,28,FALSE())+VLOOKUP(D9,'Participation 11 FEMALES'!$D$2:$AD$40,27,FALSE()),"CHECK ID"))</f>
        <v>125</v>
      </c>
    </row>
    <row r="10" customFormat="false" ht="21.75" hidden="false" customHeight="true" outlineLevel="0" collapsed="false">
      <c r="A10" s="3" t="n">
        <v>9</v>
      </c>
      <c r="B10" s="3" t="s">
        <v>152</v>
      </c>
      <c r="C10" s="4" t="s">
        <v>153</v>
      </c>
      <c r="D10" s="3" t="s">
        <v>154</v>
      </c>
      <c r="E10" s="3" t="n">
        <f aca="false">IF(OR(COUNTIF('Attendance 11 FEMALES'!$D$2:$D$41,D10)=0,COUNTIF('Participation 11 FEMALES'!$D$2:$D$40,D10)=0),"CHECK ID",IFERROR(VLOOKUP(D10,'Attendance 11 FEMALES'!$D$2:$AE$41,28,FALSE())+VLOOKUP(D10,'Participation 11 FEMALES'!$D$2:$AD$40,27,FALSE()),"CHECK ID"))</f>
        <v>176</v>
      </c>
    </row>
    <row r="11" customFormat="false" ht="21.75" hidden="false" customHeight="true" outlineLevel="0" collapsed="false">
      <c r="A11" s="3" t="n">
        <v>10</v>
      </c>
      <c r="B11" s="3" t="s">
        <v>155</v>
      </c>
      <c r="C11" s="4" t="s">
        <v>156</v>
      </c>
      <c r="D11" s="3" t="s">
        <v>157</v>
      </c>
      <c r="E11" s="3" t="n">
        <f aca="false">IF(OR(COUNTIF('Attendance 11 FEMALES'!$D$2:$D$41,D11)=0,COUNTIF('Participation 11 FEMALES'!$D$2:$D$40,D11)=0),"CHECK ID",IFERROR(VLOOKUP(D11,'Attendance 11 FEMALES'!$D$2:$AE$41,28,FALSE())+VLOOKUP(D11,'Participation 11 FEMALES'!$D$2:$AD$40,27,FALSE()),"CHECK ID"))</f>
        <v>150</v>
      </c>
    </row>
    <row r="12" customFormat="false" ht="21.75" hidden="false" customHeight="true" outlineLevel="0" collapsed="false">
      <c r="A12" s="3" t="n">
        <v>11</v>
      </c>
      <c r="B12" s="3" t="s">
        <v>158</v>
      </c>
      <c r="C12" s="4" t="s">
        <v>159</v>
      </c>
      <c r="D12" s="3" t="s">
        <v>160</v>
      </c>
      <c r="E12" s="3" t="n">
        <f aca="false">IF(OR(COUNTIF('Attendance 11 FEMALES'!$D$2:$D$41,D12)=0,COUNTIF('Participation 11 FEMALES'!$D$2:$D$40,D12)=0),"CHECK ID",IFERROR(VLOOKUP(D12,'Attendance 11 FEMALES'!$D$2:$AE$41,28,FALSE())+VLOOKUP(D12,'Participation 11 FEMALES'!$D$2:$AD$40,27,FALSE()),"CHECK ID"))</f>
        <v>66</v>
      </c>
    </row>
    <row r="13" customFormat="false" ht="21.75" hidden="false" customHeight="true" outlineLevel="0" collapsed="false">
      <c r="A13" s="3" t="n">
        <v>12</v>
      </c>
      <c r="B13" s="3" t="s">
        <v>161</v>
      </c>
      <c r="C13" s="4" t="s">
        <v>162</v>
      </c>
      <c r="D13" s="3" t="s">
        <v>163</v>
      </c>
      <c r="E13" s="3" t="n">
        <f aca="false">IF(OR(COUNTIF('Attendance 11 FEMALES'!$D$2:$D$41,D13)=0,COUNTIF('Participation 11 FEMALES'!$D$2:$D$40,D13)=0),"CHECK ID",IFERROR(VLOOKUP(D13,'Attendance 11 FEMALES'!$D$2:$AE$41,28,FALSE())+VLOOKUP(D13,'Participation 11 FEMALES'!$D$2:$AD$40,27,FALSE()),"CHECK ID"))</f>
        <v>152</v>
      </c>
    </row>
    <row r="14" customFormat="false" ht="21.75" hidden="false" customHeight="true" outlineLevel="0" collapsed="false">
      <c r="A14" s="3" t="n">
        <v>13</v>
      </c>
      <c r="B14" s="3" t="s">
        <v>164</v>
      </c>
      <c r="C14" s="4" t="s">
        <v>165</v>
      </c>
      <c r="D14" s="3" t="s">
        <v>166</v>
      </c>
      <c r="E14" s="3" t="n">
        <f aca="false">IF(OR(COUNTIF('Attendance 11 FEMALES'!$D$2:$D$41,D14)=0,COUNTIF('Participation 11 FEMALES'!$D$2:$D$40,D14)=0),"CHECK ID",IFERROR(VLOOKUP(D14,'Attendance 11 FEMALES'!$D$2:$AE$41,28,FALSE())+VLOOKUP(D14,'Participation 11 FEMALES'!$D$2:$AD$40,27,FALSE()),"CHECK ID"))</f>
        <v>100</v>
      </c>
    </row>
    <row r="15" customFormat="false" ht="21.75" hidden="false" customHeight="true" outlineLevel="0" collapsed="false">
      <c r="A15" s="3" t="n">
        <v>14</v>
      </c>
      <c r="B15" s="3" t="s">
        <v>167</v>
      </c>
      <c r="C15" s="4" t="s">
        <v>168</v>
      </c>
      <c r="D15" s="3" t="s">
        <v>169</v>
      </c>
      <c r="E15" s="3" t="n">
        <f aca="false">IF(OR(COUNTIF('Attendance 11 FEMALES'!$D$2:$D$41,D15)=0,COUNTIF('Participation 11 FEMALES'!$D$2:$D$40,D15)=0),"CHECK ID",IFERROR(VLOOKUP(D15,'Attendance 11 FEMALES'!$D$2:$AE$41,28,FALSE())+VLOOKUP(D15,'Participation 11 FEMALES'!$D$2:$AD$40,27,FALSE()),"CHECK ID"))</f>
        <v>93</v>
      </c>
    </row>
    <row r="16" customFormat="false" ht="21.75" hidden="false" customHeight="true" outlineLevel="0" collapsed="false">
      <c r="A16" s="3" t="n">
        <v>15</v>
      </c>
      <c r="B16" s="3" t="s">
        <v>170</v>
      </c>
      <c r="C16" s="4" t="s">
        <v>171</v>
      </c>
      <c r="D16" s="3" t="s">
        <v>172</v>
      </c>
      <c r="E16" s="3" t="n">
        <f aca="false">IF(OR(COUNTIF('Attendance 11 FEMALES'!$D$2:$D$41,D16)=0,COUNTIF('Participation 11 FEMALES'!$D$2:$D$40,D16)=0),"CHECK ID",IFERROR(VLOOKUP(D16,'Attendance 11 FEMALES'!$D$2:$AE$41,28,FALSE())+VLOOKUP(D16,'Participation 11 FEMALES'!$D$2:$AD$40,27,FALSE()),"CHECK ID"))</f>
        <v>160</v>
      </c>
    </row>
    <row r="17" customFormat="false" ht="21.75" hidden="false" customHeight="true" outlineLevel="0" collapsed="false">
      <c r="A17" s="3" t="n">
        <v>16</v>
      </c>
      <c r="B17" s="3" t="s">
        <v>173</v>
      </c>
      <c r="C17" s="4" t="s">
        <v>174</v>
      </c>
      <c r="D17" s="3" t="s">
        <v>175</v>
      </c>
      <c r="E17" s="3" t="n">
        <f aca="false">IF(OR(COUNTIF('Attendance 11 FEMALES'!$D$2:$D$41,D17)=0,COUNTIF('Participation 11 FEMALES'!$D$2:$D$40,D17)=0),"CHECK ID",IFERROR(VLOOKUP(D17,'Attendance 11 FEMALES'!$D$2:$AE$41,28,FALSE())+VLOOKUP(D17,'Participation 11 FEMALES'!$D$2:$AD$40,27,FALSE()),"CHECK ID"))</f>
        <v>48</v>
      </c>
    </row>
    <row r="18" customFormat="false" ht="21.75" hidden="false" customHeight="true" outlineLevel="0" collapsed="false">
      <c r="A18" s="3" t="n">
        <v>17</v>
      </c>
      <c r="B18" s="3" t="s">
        <v>176</v>
      </c>
      <c r="C18" s="4" t="s">
        <v>177</v>
      </c>
      <c r="D18" s="3" t="s">
        <v>178</v>
      </c>
      <c r="E18" s="3" t="n">
        <f aca="false">IF(OR(COUNTIF('Attendance 11 FEMALES'!$D$2:$D$41,D18)=0,COUNTIF('Participation 11 FEMALES'!$D$2:$D$40,D18)=0),"CHECK ID",IFERROR(VLOOKUP(D18,'Attendance 11 FEMALES'!$D$2:$AE$41,28,FALSE())+VLOOKUP(D18,'Participation 11 FEMALES'!$D$2:$AD$40,27,FALSE()),"CHECK ID"))</f>
        <v>176</v>
      </c>
    </row>
    <row r="19" customFormat="false" ht="21.75" hidden="false" customHeight="true" outlineLevel="0" collapsed="false">
      <c r="A19" s="3" t="n">
        <v>18</v>
      </c>
      <c r="B19" s="3" t="s">
        <v>179</v>
      </c>
      <c r="C19" s="4" t="s">
        <v>180</v>
      </c>
      <c r="D19" s="3" t="s">
        <v>181</v>
      </c>
      <c r="E19" s="3" t="n">
        <f aca="false">IF(OR(COUNTIF('Attendance 11 FEMALES'!$D$2:$D$41,D19)=0,COUNTIF('Participation 11 FEMALES'!$D$2:$D$40,D19)=0),"CHECK ID",IFERROR(VLOOKUP(D19,'Attendance 11 FEMALES'!$D$2:$AE$41,28,FALSE())+VLOOKUP(D19,'Participation 11 FEMALES'!$D$2:$AD$40,27,FALSE()),"CHECK ID"))</f>
        <v>100</v>
      </c>
    </row>
    <row r="20" customFormat="false" ht="21.75" hidden="false" customHeight="true" outlineLevel="0" collapsed="false">
      <c r="A20" s="3" t="n">
        <v>19</v>
      </c>
      <c r="B20" s="3" t="s">
        <v>182</v>
      </c>
      <c r="C20" s="4" t="s">
        <v>183</v>
      </c>
      <c r="D20" s="3" t="s">
        <v>184</v>
      </c>
      <c r="E20" s="3" t="n">
        <f aca="false">IF(OR(COUNTIF('Attendance 11 FEMALES'!$D$2:$D$41,D20)=0,COUNTIF('Participation 11 FEMALES'!$D$2:$D$40,D20)=0),"CHECK ID",IFERROR(VLOOKUP(D20,'Attendance 11 FEMALES'!$D$2:$AE$41,28,FALSE())+VLOOKUP(D20,'Participation 11 FEMALES'!$D$2:$AD$40,27,FALSE()),"CHECK ID"))</f>
        <v>185</v>
      </c>
    </row>
    <row r="21" customFormat="false" ht="21.75" hidden="false" customHeight="true" outlineLevel="0" collapsed="false">
      <c r="A21" s="3" t="n">
        <v>20</v>
      </c>
      <c r="B21" s="3" t="s">
        <v>185</v>
      </c>
      <c r="C21" s="4" t="s">
        <v>186</v>
      </c>
      <c r="D21" s="3" t="s">
        <v>187</v>
      </c>
      <c r="E21" s="3" t="n">
        <f aca="false">IF(OR(COUNTIF('Attendance 11 FEMALES'!$D$2:$D$41,D21)=0,COUNTIF('Participation 11 FEMALES'!$D$2:$D$40,D21)=0),"CHECK ID",IFERROR(VLOOKUP(D21,'Attendance 11 FEMALES'!$D$2:$AE$41,28,FALSE())+VLOOKUP(D21,'Participation 11 FEMALES'!$D$2:$AD$40,27,FALSE()),"CHECK ID"))</f>
        <v>251</v>
      </c>
    </row>
    <row r="22" customFormat="false" ht="21.75" hidden="false" customHeight="true" outlineLevel="0" collapsed="false">
      <c r="A22" s="3" t="n">
        <v>21</v>
      </c>
      <c r="B22" s="3" t="s">
        <v>188</v>
      </c>
      <c r="C22" s="4" t="s">
        <v>189</v>
      </c>
      <c r="D22" s="3" t="s">
        <v>190</v>
      </c>
      <c r="E22" s="3" t="n">
        <f aca="false">IF(OR(COUNTIF('Attendance 11 FEMALES'!$D$2:$D$41,D22)=0,COUNTIF('Participation 11 FEMALES'!$D$2:$D$40,D22)=0),"CHECK ID",IFERROR(VLOOKUP(D22,'Attendance 11 FEMALES'!$D$2:$AE$41,28,FALSE())+VLOOKUP(D22,'Participation 11 FEMALES'!$D$2:$AD$40,27,FALSE()),"CHECK ID"))</f>
        <v>111</v>
      </c>
    </row>
    <row r="23" customFormat="false" ht="21.75" hidden="false" customHeight="true" outlineLevel="0" collapsed="false">
      <c r="A23" s="3" t="n">
        <v>22</v>
      </c>
      <c r="B23" s="3" t="s">
        <v>191</v>
      </c>
      <c r="C23" s="4" t="s">
        <v>192</v>
      </c>
      <c r="D23" s="3" t="s">
        <v>193</v>
      </c>
      <c r="E23" s="3" t="n">
        <f aca="false">IF(OR(COUNTIF('Attendance 11 FEMALES'!$D$2:$D$41,D23)=0,COUNTIF('Participation 11 FEMALES'!$D$2:$D$40,D23)=0),"CHECK ID",IFERROR(VLOOKUP(D23,'Attendance 11 FEMALES'!$D$2:$AE$41,28,FALSE())+VLOOKUP(D23,'Participation 11 FEMALES'!$D$2:$AD$40,27,FALSE()),"CHECK ID"))</f>
        <v>117</v>
      </c>
    </row>
    <row r="24" customFormat="false" ht="21.75" hidden="false" customHeight="true" outlineLevel="0" collapsed="false">
      <c r="A24" s="3" t="n">
        <v>23</v>
      </c>
      <c r="B24" s="3" t="s">
        <v>194</v>
      </c>
      <c r="C24" s="4" t="s">
        <v>195</v>
      </c>
      <c r="D24" s="3" t="s">
        <v>196</v>
      </c>
      <c r="E24" s="3" t="n">
        <f aca="false">IF(OR(COUNTIF('Attendance 11 FEMALES'!$D$2:$D$41,D24)=0,COUNTIF('Participation 11 FEMALES'!$D$2:$D$40,D24)=0),"CHECK ID",IFERROR(VLOOKUP(D24,'Attendance 11 FEMALES'!$D$2:$AE$41,28,FALSE())+VLOOKUP(D24,'Participation 11 FEMALES'!$D$2:$AD$40,27,FALSE()),"CHECK ID"))</f>
        <v>109</v>
      </c>
    </row>
    <row r="25" customFormat="false" ht="21.75" hidden="false" customHeight="true" outlineLevel="0" collapsed="false">
      <c r="A25" s="3" t="n">
        <v>24</v>
      </c>
      <c r="B25" s="3" t="s">
        <v>197</v>
      </c>
      <c r="C25" s="4" t="s">
        <v>198</v>
      </c>
      <c r="D25" s="3" t="s">
        <v>199</v>
      </c>
      <c r="E25" s="3" t="n">
        <f aca="false">IF(OR(COUNTIF('Attendance 11 FEMALES'!$D$2:$D$41,D25)=0,COUNTIF('Participation 11 FEMALES'!$D$2:$D$40,D25)=0),"CHECK ID",IFERROR(VLOOKUP(D25,'Attendance 11 FEMALES'!$D$2:$AE$41,28,FALSE())+VLOOKUP(D25,'Participation 11 FEMALES'!$D$2:$AD$40,27,FALSE()),"CHECK ID"))</f>
        <v>194</v>
      </c>
    </row>
    <row r="26" customFormat="false" ht="21.75" hidden="false" customHeight="true" outlineLevel="0" collapsed="false">
      <c r="A26" s="3" t="n">
        <v>25</v>
      </c>
      <c r="B26" s="3" t="s">
        <v>200</v>
      </c>
      <c r="C26" s="4" t="s">
        <v>201</v>
      </c>
      <c r="D26" s="3" t="s">
        <v>202</v>
      </c>
      <c r="E26" s="3" t="n">
        <f aca="false">IF(OR(COUNTIF('Attendance 11 FEMALES'!$D$2:$D$41,D26)=0,COUNTIF('Participation 11 FEMALES'!$D$2:$D$40,D26)=0),"CHECK ID",IFERROR(VLOOKUP(D26,'Attendance 11 FEMALES'!$D$2:$AE$41,28,FALSE())+VLOOKUP(D26,'Participation 11 FEMALES'!$D$2:$AD$40,27,FALSE()),"CHECK ID"))</f>
        <v>129</v>
      </c>
    </row>
    <row r="27" customFormat="false" ht="21.75" hidden="false" customHeight="true" outlineLevel="0" collapsed="false">
      <c r="A27" s="3" t="n">
        <v>26</v>
      </c>
      <c r="B27" s="3" t="s">
        <v>203</v>
      </c>
      <c r="C27" s="4" t="s">
        <v>204</v>
      </c>
      <c r="D27" s="3" t="s">
        <v>205</v>
      </c>
      <c r="E27" s="3" t="n">
        <f aca="false">IF(OR(COUNTIF('Attendance 11 FEMALES'!$D$2:$D$41,D27)=0,COUNTIF('Participation 11 FEMALES'!$D$2:$D$40,D27)=0),"CHECK ID",IFERROR(VLOOKUP(D27,'Attendance 11 FEMALES'!$D$2:$AE$41,28,FALSE())+VLOOKUP(D27,'Participation 11 FEMALES'!$D$2:$AD$40,27,FALSE()),"CHECK ID"))</f>
        <v>175</v>
      </c>
    </row>
    <row r="28" customFormat="false" ht="21.75" hidden="false" customHeight="true" outlineLevel="0" collapsed="false">
      <c r="A28" s="3" t="n">
        <v>27</v>
      </c>
      <c r="B28" s="3" t="s">
        <v>206</v>
      </c>
      <c r="C28" s="4" t="s">
        <v>207</v>
      </c>
      <c r="D28" s="3" t="s">
        <v>208</v>
      </c>
      <c r="E28" s="3" t="n">
        <f aca="false">IF(OR(COUNTIF('Attendance 11 FEMALES'!$D$2:$D$41,D28)=0,COUNTIF('Participation 11 FEMALES'!$D$2:$D$40,D28)=0),"CHECK ID",IFERROR(VLOOKUP(D28,'Attendance 11 FEMALES'!$D$2:$AE$41,28,FALSE())+VLOOKUP(D28,'Participation 11 FEMALES'!$D$2:$AD$40,27,FALSE()),"CHECK ID"))</f>
        <v>121</v>
      </c>
    </row>
    <row r="29" customFormat="false" ht="21.75" hidden="false" customHeight="true" outlineLevel="0" collapsed="false">
      <c r="A29" s="3" t="n">
        <v>28</v>
      </c>
      <c r="B29" s="3" t="s">
        <v>209</v>
      </c>
      <c r="C29" s="4" t="s">
        <v>210</v>
      </c>
      <c r="D29" s="3" t="s">
        <v>211</v>
      </c>
      <c r="E29" s="3" t="n">
        <f aca="false">IF(OR(COUNTIF('Attendance 11 FEMALES'!$D$2:$D$41,D29)=0,COUNTIF('Participation 11 FEMALES'!$D$2:$D$40,D29)=0),"CHECK ID",IFERROR(VLOOKUP(D29,'Attendance 11 FEMALES'!$D$2:$AE$41,28,FALSE())+VLOOKUP(D29,'Participation 11 FEMALES'!$D$2:$AD$40,27,FALSE()),"CHECK ID"))</f>
        <v>153</v>
      </c>
    </row>
    <row r="30" customFormat="false" ht="21.75" hidden="false" customHeight="true" outlineLevel="0" collapsed="false">
      <c r="A30" s="3" t="n">
        <v>29</v>
      </c>
      <c r="B30" s="3" t="s">
        <v>212</v>
      </c>
      <c r="C30" s="4" t="s">
        <v>213</v>
      </c>
      <c r="D30" s="3" t="s">
        <v>214</v>
      </c>
      <c r="E30" s="3" t="n">
        <f aca="false">IF(OR(COUNTIF('Attendance 11 FEMALES'!$D$2:$D$41,D30)=0,COUNTIF('Participation 11 FEMALES'!$D$2:$D$40,D30)=0),"CHECK ID",IFERROR(VLOOKUP(D30,'Attendance 11 FEMALES'!$D$2:$AE$41,28,FALSE())+VLOOKUP(D30,'Participation 11 FEMALES'!$D$2:$AD$40,27,FALSE()),"CHECK ID"))</f>
        <v>187</v>
      </c>
    </row>
    <row r="31" customFormat="false" ht="21.75" hidden="false" customHeight="true" outlineLevel="0" collapsed="false">
      <c r="A31" s="3" t="n">
        <v>30</v>
      </c>
      <c r="B31" s="3" t="s">
        <v>215</v>
      </c>
      <c r="C31" s="4" t="s">
        <v>216</v>
      </c>
      <c r="D31" s="3" t="s">
        <v>217</v>
      </c>
      <c r="E31" s="3" t="n">
        <f aca="false">IF(OR(COUNTIF('Attendance 11 FEMALES'!$D$2:$D$41,D31)=0,COUNTIF('Participation 11 FEMALES'!$D$2:$D$40,D31)=0),"CHECK ID",IFERROR(VLOOKUP(D31,'Attendance 11 FEMALES'!$D$2:$AE$41,28,FALSE())+VLOOKUP(D31,'Participation 11 FEMALES'!$D$2:$AD$40,27,FALSE()),"CHECK ID"))</f>
        <v>152</v>
      </c>
    </row>
    <row r="32" customFormat="false" ht="21.75" hidden="false" customHeight="true" outlineLevel="0" collapsed="false">
      <c r="A32" s="3" t="n">
        <v>31</v>
      </c>
      <c r="B32" s="3" t="s">
        <v>218</v>
      </c>
      <c r="C32" s="4" t="s">
        <v>219</v>
      </c>
      <c r="D32" s="3" t="s">
        <v>220</v>
      </c>
      <c r="E32" s="3" t="n">
        <f aca="false">IF(OR(COUNTIF('Attendance 11 FEMALES'!$D$2:$D$41,D32)=0,COUNTIF('Participation 11 FEMALES'!$D$2:$D$40,D32)=0),"CHECK ID",IFERROR(VLOOKUP(D32,'Attendance 11 FEMALES'!$D$2:$AE$41,28,FALSE())+VLOOKUP(D32,'Participation 11 FEMALES'!$D$2:$AD$40,27,FALSE()),"CHECK ID"))</f>
        <v>172</v>
      </c>
    </row>
    <row r="33" customFormat="false" ht="21.75" hidden="false" customHeight="true" outlineLevel="0" collapsed="false">
      <c r="A33" s="3" t="n">
        <v>32</v>
      </c>
      <c r="B33" s="3" t="s">
        <v>221</v>
      </c>
      <c r="C33" s="4" t="s">
        <v>222</v>
      </c>
      <c r="D33" s="3" t="s">
        <v>223</v>
      </c>
      <c r="E33" s="3" t="n">
        <f aca="false">IF(OR(COUNTIF('Attendance 11 FEMALES'!$D$2:$D$41,D33)=0,COUNTIF('Participation 11 FEMALES'!$D$2:$D$40,D33)=0),"CHECK ID",IFERROR(VLOOKUP(D33,'Attendance 11 FEMALES'!$D$2:$AE$41,28,FALSE())+VLOOKUP(D33,'Participation 11 FEMALES'!$D$2:$AD$40,27,FALSE()),"CHECK ID"))</f>
        <v>152</v>
      </c>
    </row>
    <row r="34" customFormat="false" ht="21.75" hidden="false" customHeight="true" outlineLevel="0" collapsed="false">
      <c r="A34" s="3" t="n">
        <v>33</v>
      </c>
      <c r="B34" s="3" t="s">
        <v>224</v>
      </c>
      <c r="C34" s="4" t="s">
        <v>225</v>
      </c>
      <c r="D34" s="3" t="s">
        <v>226</v>
      </c>
      <c r="E34" s="3" t="n">
        <f aca="false">IF(OR(COUNTIF('Attendance 11 FEMALES'!$D$2:$D$41,D34)=0,COUNTIF('Participation 11 FEMALES'!$D$2:$D$40,D34)=0),"CHECK ID",IFERROR(VLOOKUP(D34,'Attendance 11 FEMALES'!$D$2:$AE$41,28,FALSE())+VLOOKUP(D34,'Participation 11 FEMALES'!$D$2:$AD$40,27,FALSE()),"CHECK ID"))</f>
        <v>240</v>
      </c>
    </row>
    <row r="35" customFormat="false" ht="21.75" hidden="false" customHeight="true" outlineLevel="0" collapsed="false">
      <c r="A35" s="3" t="n">
        <v>34</v>
      </c>
      <c r="B35" s="3" t="s">
        <v>227</v>
      </c>
      <c r="C35" s="4" t="s">
        <v>228</v>
      </c>
      <c r="D35" s="3" t="s">
        <v>229</v>
      </c>
      <c r="E35" s="3" t="n">
        <f aca="false">IF(OR(COUNTIF('Attendance 11 FEMALES'!$D$2:$D$41,D35)=0,COUNTIF('Participation 11 FEMALES'!$D$2:$D$40,D35)=0),"CHECK ID",IFERROR(VLOOKUP(D35,'Attendance 11 FEMALES'!$D$2:$AE$41,28,FALSE())+VLOOKUP(D35,'Participation 11 FEMALES'!$D$2:$AD$40,27,FALSE()),"CHECK ID"))</f>
        <v>207</v>
      </c>
    </row>
    <row r="36" customFormat="false" ht="21.75" hidden="false" customHeight="true" outlineLevel="0" collapsed="false">
      <c r="A36" s="3" t="n">
        <v>35</v>
      </c>
      <c r="B36" s="3" t="s">
        <v>230</v>
      </c>
      <c r="C36" s="4" t="s">
        <v>231</v>
      </c>
      <c r="D36" s="3" t="s">
        <v>232</v>
      </c>
      <c r="E36" s="3" t="n">
        <f aca="false">IF(OR(COUNTIF('Attendance 11 FEMALES'!$D$2:$D$41,D36)=0,COUNTIF('Participation 11 FEMALES'!$D$2:$D$40,D36)=0),"CHECK ID",IFERROR(VLOOKUP(D36,'Attendance 11 FEMALES'!$D$2:$AE$41,28,FALSE())+VLOOKUP(D36,'Participation 11 FEMALES'!$D$2:$AD$40,27,FALSE()),"CHECK ID"))</f>
        <v>80</v>
      </c>
    </row>
    <row r="37" customFormat="false" ht="21.75" hidden="false" customHeight="true" outlineLevel="0" collapsed="false">
      <c r="A37" s="3" t="n">
        <v>36</v>
      </c>
      <c r="B37" s="3" t="s">
        <v>233</v>
      </c>
      <c r="C37" s="4" t="s">
        <v>234</v>
      </c>
      <c r="D37" s="3" t="s">
        <v>235</v>
      </c>
      <c r="E37" s="3" t="n">
        <f aca="false">IF(OR(COUNTIF('Attendance 11 FEMALES'!$D$2:$D$41,D37)=0,COUNTIF('Participation 11 FEMALES'!$D$2:$D$40,D37)=0),"CHECK ID",IFERROR(VLOOKUP(D37,'Attendance 11 FEMALES'!$D$2:$AE$41,28,FALSE())+VLOOKUP(D37,'Participation 11 FEMALES'!$D$2:$AD$40,27,FALSE()),"CHECK ID"))</f>
        <v>220</v>
      </c>
    </row>
    <row r="38" customFormat="false" ht="21.75" hidden="false" customHeight="true" outlineLevel="0" collapsed="false">
      <c r="A38" s="3" t="n">
        <v>37</v>
      </c>
      <c r="B38" s="3" t="s">
        <v>236</v>
      </c>
      <c r="C38" s="4" t="s">
        <v>237</v>
      </c>
      <c r="D38" s="3" t="s">
        <v>238</v>
      </c>
      <c r="E38" s="3" t="n">
        <f aca="false">IF(OR(COUNTIF('Attendance 11 FEMALES'!$D$2:$D$41,D38)=0,COUNTIF('Participation 11 FEMALES'!$D$2:$D$40,D38)=0),"CHECK ID",IFERROR(VLOOKUP(D38,'Attendance 11 FEMALES'!$D$2:$AE$41,28,FALSE())+VLOOKUP(D38,'Participation 11 FEMALES'!$D$2:$AD$40,27,FALSE()),"CHECK ID"))</f>
        <v>207</v>
      </c>
    </row>
    <row r="39" customFormat="false" ht="21.75" hidden="false" customHeight="true" outlineLevel="0" collapsed="false">
      <c r="A39" s="3" t="n">
        <v>38</v>
      </c>
      <c r="B39" s="3" t="s">
        <v>239</v>
      </c>
      <c r="C39" s="4" t="s">
        <v>240</v>
      </c>
      <c r="D39" s="3" t="s">
        <v>241</v>
      </c>
      <c r="E39" s="3" t="n">
        <f aca="false">IF(OR(COUNTIF('Attendance 11 FEMALES'!$D$2:$D$41,D39)=0,COUNTIF('Participation 11 FEMALES'!$D$2:$D$40,D39)=0),"CHECK ID",IFERROR(VLOOKUP(D39,'Attendance 11 FEMALES'!$D$2:$AE$41,28,FALSE())+VLOOKUP(D39,'Participation 11 FEMALES'!$D$2:$AD$40,27,FALSE()),"CHECK ID"))</f>
        <v>113</v>
      </c>
    </row>
    <row r="40" customFormat="false" ht="21.75" hidden="false" customHeight="true" outlineLevel="0" collapsed="false">
      <c r="A40" s="3" t="n">
        <v>39</v>
      </c>
      <c r="B40" s="3" t="s">
        <v>242</v>
      </c>
      <c r="C40" s="4" t="s">
        <v>243</v>
      </c>
      <c r="D40" s="3" t="s">
        <v>244</v>
      </c>
      <c r="E40" s="3" t="n">
        <f aca="false">IF(OR(COUNTIF('Attendance 11 FEMALES'!$D$2:$D$41,D40)=0,COUNTIF('Participation 11 FEMALES'!$D$2:$D$40,D40)=0),"CHECK ID",IFERROR(VLOOKUP(D40,'Attendance 11 FEMALES'!$D$2:$AE$41,28,FALSE())+VLOOKUP(D40,'Participation 11 FEMALES'!$D$2:$AD$40,27,FALSE()),"CHECK ID"))</f>
        <v>180</v>
      </c>
    </row>
  </sheetData>
  <autoFilter ref="A1:E40"/>
  <conditionalFormatting sqref="B1:D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2" activeCellId="0" sqref="E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customFormat="false" ht="21.75" hidden="false" customHeight="true" outlineLevel="0" collapsed="false">
      <c r="A2" s="3" t="n">
        <v>1</v>
      </c>
      <c r="B2" s="3" t="s">
        <v>249</v>
      </c>
      <c r="C2" s="4" t="s">
        <v>250</v>
      </c>
      <c r="D2" s="3" t="s">
        <v>251</v>
      </c>
      <c r="E2" s="3" t="n">
        <f aca="false">IF(OR(COUNTIF('Attendance 12 FEMALES'!$D$2:$D$36,D2)=0,COUNTIF('Participation 12 FEMALES'!$D$2:$D$37,D2)=0),"CHECK ID",IFERROR(VLOOKUP(D2,'Attendance 12 FEMALES'!$D$2:$AE$36,28,FALSE())+VLOOKUP(D2,'Participation 12 FEMALES'!$D$2:$AD$37,27,FALSE()),"CHECK ID"))</f>
        <v>167</v>
      </c>
    </row>
    <row r="3" customFormat="false" ht="21.75" hidden="false" customHeight="true" outlineLevel="0" collapsed="false">
      <c r="A3" s="3" t="n">
        <v>2</v>
      </c>
      <c r="B3" s="3" t="s">
        <v>252</v>
      </c>
      <c r="C3" s="4" t="s">
        <v>253</v>
      </c>
      <c r="D3" s="3" t="s">
        <v>254</v>
      </c>
      <c r="E3" s="3" t="n">
        <f aca="false">IF(OR(COUNTIF('Attendance 12 FEMALES'!$D$2:$D$36,D3)=0,COUNTIF('Participation 12 FEMALES'!$D$2:$D$37,D3)=0),"CHECK ID",IFERROR(VLOOKUP(D3,'Attendance 12 FEMALES'!$D$2:$AE$36,28,FALSE())+VLOOKUP(D3,'Participation 12 FEMALES'!$D$2:$AD$37,27,FALSE()),"CHECK ID"))</f>
        <v>196</v>
      </c>
    </row>
    <row r="4" customFormat="false" ht="21.75" hidden="false" customHeight="true" outlineLevel="0" collapsed="false">
      <c r="A4" s="3" t="n">
        <v>3</v>
      </c>
      <c r="B4" s="3" t="s">
        <v>255</v>
      </c>
      <c r="C4" s="4" t="s">
        <v>256</v>
      </c>
      <c r="D4" s="3" t="s">
        <v>257</v>
      </c>
      <c r="E4" s="3" t="n">
        <f aca="false">IF(OR(COUNTIF('Attendance 12 FEMALES'!$D$2:$D$36,D4)=0,COUNTIF('Participation 12 FEMALES'!$D$2:$D$37,D4)=0),"CHECK ID",IFERROR(VLOOKUP(D4,'Attendance 12 FEMALES'!$D$2:$AE$36,28,FALSE())+VLOOKUP(D4,'Participation 12 FEMALES'!$D$2:$AD$37,27,FALSE()),"CHECK ID"))</f>
        <v>213</v>
      </c>
    </row>
    <row r="5" customFormat="false" ht="21.75" hidden="false" customHeight="true" outlineLevel="0" collapsed="false">
      <c r="A5" s="3" t="n">
        <v>4</v>
      </c>
      <c r="B5" s="3" t="s">
        <v>258</v>
      </c>
      <c r="C5" s="4" t="s">
        <v>259</v>
      </c>
      <c r="D5" s="3" t="s">
        <v>260</v>
      </c>
      <c r="E5" s="3" t="n">
        <f aca="false">IF(OR(COUNTIF('Attendance 12 FEMALES'!$D$2:$D$36,D5)=0,COUNTIF('Participation 12 FEMALES'!$D$2:$D$37,D5)=0),"CHECK ID",IFERROR(VLOOKUP(D5,'Attendance 12 FEMALES'!$D$2:$AE$36,28,FALSE())+VLOOKUP(D5,'Participation 12 FEMALES'!$D$2:$AD$37,27,FALSE()),"CHECK ID"))</f>
        <v>217</v>
      </c>
    </row>
    <row r="6" customFormat="false" ht="21.75" hidden="false" customHeight="true" outlineLevel="0" collapsed="false">
      <c r="A6" s="3" t="n">
        <v>5</v>
      </c>
      <c r="B6" s="3" t="s">
        <v>261</v>
      </c>
      <c r="C6" s="4" t="s">
        <v>262</v>
      </c>
      <c r="D6" s="3" t="s">
        <v>263</v>
      </c>
      <c r="E6" s="3" t="n">
        <f aca="false">IF(OR(COUNTIF('Attendance 12 FEMALES'!$D$2:$D$36,D6)=0,COUNTIF('Participation 12 FEMALES'!$D$2:$D$37,D6)=0),"CHECK ID",IFERROR(VLOOKUP(D6,'Attendance 12 FEMALES'!$D$2:$AE$36,28,FALSE())+VLOOKUP(D6,'Participation 12 FEMALES'!$D$2:$AD$37,27,FALSE()),"CHECK ID"))</f>
        <v>166</v>
      </c>
    </row>
    <row r="7" customFormat="false" ht="21.75" hidden="false" customHeight="true" outlineLevel="0" collapsed="false">
      <c r="A7" s="3" t="n">
        <v>6</v>
      </c>
      <c r="B7" s="3" t="s">
        <v>264</v>
      </c>
      <c r="C7" s="4" t="s">
        <v>265</v>
      </c>
      <c r="D7" s="3" t="s">
        <v>266</v>
      </c>
      <c r="E7" s="3" t="n">
        <f aca="false">IF(OR(COUNTIF('Attendance 12 FEMALES'!$D$2:$D$36,D7)=0,COUNTIF('Participation 12 FEMALES'!$D$2:$D$37,D7)=0),"CHECK ID",IFERROR(VLOOKUP(D7,'Attendance 12 FEMALES'!$D$2:$AE$36,28,FALSE())+VLOOKUP(D7,'Participation 12 FEMALES'!$D$2:$AD$37,27,FALSE()),"CHECK ID"))</f>
        <v>95</v>
      </c>
    </row>
    <row r="8" customFormat="false" ht="21.75" hidden="false" customHeight="true" outlineLevel="0" collapsed="false">
      <c r="A8" s="3" t="n">
        <v>7</v>
      </c>
      <c r="B8" s="3" t="s">
        <v>267</v>
      </c>
      <c r="C8" s="4" t="s">
        <v>268</v>
      </c>
      <c r="D8" s="3" t="s">
        <v>269</v>
      </c>
      <c r="E8" s="3" t="n">
        <f aca="false">IF(OR(COUNTIF('Attendance 12 FEMALES'!$D$2:$D$36,D8)=0,COUNTIF('Participation 12 FEMALES'!$D$2:$D$37,D8)=0),"CHECK ID",IFERROR(VLOOKUP(D8,'Attendance 12 FEMALES'!$D$2:$AE$36,28,FALSE())+VLOOKUP(D8,'Participation 12 FEMALES'!$D$2:$AD$37,27,FALSE()),"CHECK ID"))</f>
        <v>128</v>
      </c>
    </row>
    <row r="9" customFormat="false" ht="21.75" hidden="false" customHeight="true" outlineLevel="0" collapsed="false">
      <c r="A9" s="3" t="n">
        <v>8</v>
      </c>
      <c r="B9" s="3" t="s">
        <v>270</v>
      </c>
      <c r="C9" s="4" t="s">
        <v>271</v>
      </c>
      <c r="D9" s="3" t="s">
        <v>272</v>
      </c>
      <c r="E9" s="3" t="n">
        <f aca="false">IF(OR(COUNTIF('Attendance 12 FEMALES'!$D$2:$D$36,D9)=0,COUNTIF('Participation 12 FEMALES'!$D$2:$D$37,D9)=0),"CHECK ID",IFERROR(VLOOKUP(D9,'Attendance 12 FEMALES'!$D$2:$AE$36,28,FALSE())+VLOOKUP(D9,'Participation 12 FEMALES'!$D$2:$AD$37,27,FALSE()),"CHECK ID"))</f>
        <v>217</v>
      </c>
    </row>
    <row r="10" customFormat="false" ht="21.75" hidden="false" customHeight="true" outlineLevel="0" collapsed="false">
      <c r="A10" s="3" t="n">
        <v>9</v>
      </c>
      <c r="B10" s="3" t="s">
        <v>273</v>
      </c>
      <c r="C10" s="4" t="s">
        <v>274</v>
      </c>
      <c r="D10" s="3" t="s">
        <v>275</v>
      </c>
      <c r="E10" s="3" t="n">
        <f aca="false">IF(OR(COUNTIF('Attendance 12 FEMALES'!$D$2:$D$36,D10)=0,COUNTIF('Participation 12 FEMALES'!$D$2:$D$37,D10)=0),"CHECK ID",IFERROR(VLOOKUP(D10,'Attendance 12 FEMALES'!$D$2:$AE$36,28,FALSE())+VLOOKUP(D10,'Participation 12 FEMALES'!$D$2:$AD$37,27,FALSE()),"CHECK ID"))</f>
        <v>135</v>
      </c>
    </row>
    <row r="11" customFormat="false" ht="21.75" hidden="false" customHeight="true" outlineLevel="0" collapsed="false">
      <c r="A11" s="3" t="n">
        <v>10</v>
      </c>
      <c r="B11" s="3" t="s">
        <v>276</v>
      </c>
      <c r="C11" s="4" t="s">
        <v>277</v>
      </c>
      <c r="D11" s="3" t="s">
        <v>278</v>
      </c>
      <c r="E11" s="3" t="n">
        <f aca="false">IF(OR(COUNTIF('Attendance 12 FEMALES'!$D$2:$D$36,D11)=0,COUNTIF('Participation 12 FEMALES'!$D$2:$D$37,D11)=0),"CHECK ID",IFERROR(VLOOKUP(D11,'Attendance 12 FEMALES'!$D$2:$AE$36,28,FALSE())+VLOOKUP(D11,'Participation 12 FEMALES'!$D$2:$AD$37,27,FALSE()),"CHECK ID"))</f>
        <v>164</v>
      </c>
    </row>
    <row r="12" customFormat="false" ht="21.75" hidden="false" customHeight="true" outlineLevel="0" collapsed="false">
      <c r="A12" s="3" t="n">
        <v>11</v>
      </c>
      <c r="B12" s="3" t="s">
        <v>279</v>
      </c>
      <c r="C12" s="4" t="s">
        <v>280</v>
      </c>
      <c r="D12" s="3" t="s">
        <v>281</v>
      </c>
      <c r="E12" s="3" t="n">
        <f aca="false">IF(OR(COUNTIF('Attendance 12 FEMALES'!$D$2:$D$36,D12)=0,COUNTIF('Participation 12 FEMALES'!$D$2:$D$37,D12)=0),"CHECK ID",IFERROR(VLOOKUP(D12,'Attendance 12 FEMALES'!$D$2:$AE$36,28,FALSE())+VLOOKUP(D12,'Participation 12 FEMALES'!$D$2:$AD$37,27,FALSE()),"CHECK ID"))</f>
        <v>182</v>
      </c>
    </row>
    <row r="13" customFormat="false" ht="21.75" hidden="false" customHeight="true" outlineLevel="0" collapsed="false">
      <c r="A13" s="3" t="n">
        <v>12</v>
      </c>
      <c r="B13" s="3" t="s">
        <v>282</v>
      </c>
      <c r="C13" s="4" t="s">
        <v>283</v>
      </c>
      <c r="D13" s="3" t="s">
        <v>284</v>
      </c>
      <c r="E13" s="3" t="n">
        <f aca="false">IF(OR(COUNTIF('Attendance 12 FEMALES'!$D$2:$D$36,D13)=0,COUNTIF('Participation 12 FEMALES'!$D$2:$D$37,D13)=0),"CHECK ID",IFERROR(VLOOKUP(D13,'Attendance 12 FEMALES'!$D$2:$AE$36,28,FALSE())+VLOOKUP(D13,'Participation 12 FEMALES'!$D$2:$AD$37,27,FALSE()),"CHECK ID"))</f>
        <v>194</v>
      </c>
    </row>
    <row r="14" customFormat="false" ht="21.75" hidden="false" customHeight="true" outlineLevel="0" collapsed="false">
      <c r="A14" s="3" t="n">
        <v>13</v>
      </c>
      <c r="B14" s="3" t="s">
        <v>285</v>
      </c>
      <c r="C14" s="4" t="s">
        <v>286</v>
      </c>
      <c r="D14" s="3" t="s">
        <v>287</v>
      </c>
      <c r="E14" s="3" t="n">
        <f aca="false">IF(OR(COUNTIF('Attendance 12 FEMALES'!$D$2:$D$36,D14)=0,COUNTIF('Participation 12 FEMALES'!$D$2:$D$37,D14)=0),"CHECK ID",IFERROR(VLOOKUP(D14,'Attendance 12 FEMALES'!$D$2:$AE$36,28,FALSE())+VLOOKUP(D14,'Participation 12 FEMALES'!$D$2:$AD$37,27,FALSE()),"CHECK ID"))</f>
        <v>84</v>
      </c>
    </row>
    <row r="15" customFormat="false" ht="21.75" hidden="false" customHeight="true" outlineLevel="0" collapsed="false">
      <c r="A15" s="3" t="n">
        <v>14</v>
      </c>
      <c r="B15" s="3" t="s">
        <v>288</v>
      </c>
      <c r="C15" s="4" t="s">
        <v>289</v>
      </c>
      <c r="D15" s="3" t="s">
        <v>290</v>
      </c>
      <c r="E15" s="3" t="n">
        <f aca="false">IF(OR(COUNTIF('Attendance 12 FEMALES'!$D$2:$D$36,D15)=0,COUNTIF('Participation 12 FEMALES'!$D$2:$D$37,D15)=0),"CHECK ID",IFERROR(VLOOKUP(D15,'Attendance 12 FEMALES'!$D$2:$AE$36,28,FALSE())+VLOOKUP(D15,'Participation 12 FEMALES'!$D$2:$AD$37,27,FALSE()),"CHECK ID"))</f>
        <v>118</v>
      </c>
    </row>
    <row r="16" customFormat="false" ht="21.75" hidden="false" customHeight="true" outlineLevel="0" collapsed="false">
      <c r="A16" s="3" t="n">
        <v>15</v>
      </c>
      <c r="B16" s="3" t="s">
        <v>291</v>
      </c>
      <c r="C16" s="4" t="s">
        <v>292</v>
      </c>
      <c r="D16" s="3" t="s">
        <v>293</v>
      </c>
      <c r="E16" s="3" t="n">
        <f aca="false">IF(OR(COUNTIF('Attendance 12 FEMALES'!$D$2:$D$36,D16)=0,COUNTIF('Participation 12 FEMALES'!$D$2:$D$37,D16)=0),"CHECK ID",IFERROR(VLOOKUP(D16,'Attendance 12 FEMALES'!$D$2:$AE$36,28,FALSE())+VLOOKUP(D16,'Participation 12 FEMALES'!$D$2:$AD$37,27,FALSE()),"CHECK ID"))</f>
        <v>167</v>
      </c>
    </row>
    <row r="17" customFormat="false" ht="21.75" hidden="false" customHeight="true" outlineLevel="0" collapsed="false">
      <c r="A17" s="3" t="n">
        <v>16</v>
      </c>
      <c r="B17" s="3" t="s">
        <v>294</v>
      </c>
      <c r="C17" s="4" t="s">
        <v>295</v>
      </c>
      <c r="D17" s="3" t="s">
        <v>296</v>
      </c>
      <c r="E17" s="3" t="n">
        <f aca="false">IF(OR(COUNTIF('Attendance 12 FEMALES'!$D$2:$D$36,D17)=0,COUNTIF('Participation 12 FEMALES'!$D$2:$D$37,D17)=0),"CHECK ID",IFERROR(VLOOKUP(D17,'Attendance 12 FEMALES'!$D$2:$AE$36,28,FALSE())+VLOOKUP(D17,'Participation 12 FEMALES'!$D$2:$AD$37,27,FALSE()),"CHECK ID"))</f>
        <v>215</v>
      </c>
    </row>
    <row r="18" customFormat="false" ht="21.75" hidden="false" customHeight="true" outlineLevel="0" collapsed="false">
      <c r="A18" s="3" t="n">
        <v>17</v>
      </c>
      <c r="B18" s="3" t="s">
        <v>297</v>
      </c>
      <c r="C18" s="4" t="s">
        <v>298</v>
      </c>
      <c r="D18" s="3" t="s">
        <v>299</v>
      </c>
      <c r="E18" s="3" t="n">
        <f aca="false">IF(OR(COUNTIF('Attendance 12 FEMALES'!$D$2:$D$36,D18)=0,COUNTIF('Participation 12 FEMALES'!$D$2:$D$37,D18)=0),"CHECK ID",IFERROR(VLOOKUP(D18,'Attendance 12 FEMALES'!$D$2:$AE$36,28,FALSE())+VLOOKUP(D18,'Participation 12 FEMALES'!$D$2:$AD$37,27,FALSE()),"CHECK ID"))</f>
        <v>165</v>
      </c>
    </row>
    <row r="19" customFormat="false" ht="21.75" hidden="false" customHeight="true" outlineLevel="0" collapsed="false">
      <c r="A19" s="3" t="n">
        <v>18</v>
      </c>
      <c r="B19" s="3" t="s">
        <v>300</v>
      </c>
      <c r="C19" s="4" t="s">
        <v>301</v>
      </c>
      <c r="D19" s="3" t="s">
        <v>302</v>
      </c>
      <c r="E19" s="3" t="n">
        <f aca="false">IF(OR(COUNTIF('Attendance 12 FEMALES'!$D$2:$D$36,D19)=0,COUNTIF('Participation 12 FEMALES'!$D$2:$D$37,D19)=0),"CHECK ID",IFERROR(VLOOKUP(D19,'Attendance 12 FEMALES'!$D$2:$AE$36,28,FALSE())+VLOOKUP(D19,'Participation 12 FEMALES'!$D$2:$AD$37,27,FALSE()),"CHECK ID"))</f>
        <v>7</v>
      </c>
    </row>
    <row r="20" customFormat="false" ht="21.75" hidden="false" customHeight="true" outlineLevel="0" collapsed="false">
      <c r="A20" s="3" t="n">
        <v>19</v>
      </c>
      <c r="B20" s="3" t="s">
        <v>303</v>
      </c>
      <c r="C20" s="4" t="s">
        <v>304</v>
      </c>
      <c r="D20" s="3" t="s">
        <v>305</v>
      </c>
      <c r="E20" s="3" t="n">
        <f aca="false">IF(OR(COUNTIF('Attendance 12 FEMALES'!$D$2:$D$36,D20)=0,COUNTIF('Participation 12 FEMALES'!$D$2:$D$37,D20)=0),"CHECK ID",IFERROR(VLOOKUP(D20,'Attendance 12 FEMALES'!$D$2:$AE$36,28,FALSE())+VLOOKUP(D20,'Participation 12 FEMALES'!$D$2:$AD$37,27,FALSE()),"CHECK ID"))</f>
        <v>115</v>
      </c>
    </row>
    <row r="21" customFormat="false" ht="21.75" hidden="false" customHeight="true" outlineLevel="0" collapsed="false">
      <c r="A21" s="3" t="n">
        <v>20</v>
      </c>
      <c r="B21" s="3" t="s">
        <v>306</v>
      </c>
      <c r="C21" s="4" t="s">
        <v>307</v>
      </c>
      <c r="D21" s="3" t="s">
        <v>308</v>
      </c>
      <c r="E21" s="3" t="n">
        <f aca="false">IF(OR(COUNTIF('Attendance 12 FEMALES'!$D$2:$D$36,D21)=0,COUNTIF('Participation 12 FEMALES'!$D$2:$D$37,D21)=0),"CHECK ID",IFERROR(VLOOKUP(D21,'Attendance 12 FEMALES'!$D$2:$AE$36,28,FALSE())+VLOOKUP(D21,'Participation 12 FEMALES'!$D$2:$AD$37,27,FALSE()),"CHECK ID"))</f>
        <v>137</v>
      </c>
    </row>
    <row r="22" customFormat="false" ht="21.75" hidden="false" customHeight="true" outlineLevel="0" collapsed="false">
      <c r="A22" s="3" t="n">
        <v>21</v>
      </c>
      <c r="B22" s="3" t="s">
        <v>309</v>
      </c>
      <c r="C22" s="4" t="s">
        <v>310</v>
      </c>
      <c r="D22" s="3" t="s">
        <v>311</v>
      </c>
      <c r="E22" s="3" t="n">
        <f aca="false">IF(OR(COUNTIF('Attendance 12 FEMALES'!$D$2:$D$36,D22)=0,COUNTIF('Participation 12 FEMALES'!$D$2:$D$37,D22)=0),"CHECK ID",IFERROR(VLOOKUP(D22,'Attendance 12 FEMALES'!$D$2:$AE$36,28,FALSE())+VLOOKUP(D22,'Participation 12 FEMALES'!$D$2:$AD$37,27,FALSE()),"CHECK ID"))</f>
        <v>181</v>
      </c>
    </row>
    <row r="23" customFormat="false" ht="21.75" hidden="false" customHeight="true" outlineLevel="0" collapsed="false">
      <c r="A23" s="3" t="n">
        <v>22</v>
      </c>
      <c r="B23" s="3" t="s">
        <v>312</v>
      </c>
      <c r="C23" s="4" t="s">
        <v>313</v>
      </c>
      <c r="D23" s="3" t="s">
        <v>314</v>
      </c>
      <c r="E23" s="3" t="n">
        <f aca="false">IF(OR(COUNTIF('Attendance 12 FEMALES'!$D$2:$D$36,D23)=0,COUNTIF('Participation 12 FEMALES'!$D$2:$D$37,D23)=0),"CHECK ID",IFERROR(VLOOKUP(D23,'Attendance 12 FEMALES'!$D$2:$AE$36,28,FALSE())+VLOOKUP(D23,'Participation 12 FEMALES'!$D$2:$AD$37,27,FALSE()),"CHECK ID"))</f>
        <v>146</v>
      </c>
    </row>
    <row r="24" customFormat="false" ht="21.75" hidden="false" customHeight="true" outlineLevel="0" collapsed="false">
      <c r="A24" s="3" t="n">
        <v>23</v>
      </c>
      <c r="B24" s="3" t="s">
        <v>315</v>
      </c>
      <c r="C24" s="4" t="s">
        <v>316</v>
      </c>
      <c r="D24" s="3" t="s">
        <v>317</v>
      </c>
      <c r="E24" s="3" t="n">
        <f aca="false">IF(OR(COUNTIF('Attendance 12 FEMALES'!$D$2:$D$36,D24)=0,COUNTIF('Participation 12 FEMALES'!$D$2:$D$37,D24)=0),"CHECK ID",IFERROR(VLOOKUP(D24,'Attendance 12 FEMALES'!$D$2:$AE$36,28,FALSE())+VLOOKUP(D24,'Participation 12 FEMALES'!$D$2:$AD$37,27,FALSE()),"CHECK ID"))</f>
        <v>201</v>
      </c>
    </row>
    <row r="25" customFormat="false" ht="21.75" hidden="false" customHeight="true" outlineLevel="0" collapsed="false">
      <c r="A25" s="3" t="n">
        <v>24</v>
      </c>
      <c r="B25" s="3" t="s">
        <v>318</v>
      </c>
      <c r="C25" s="4" t="s">
        <v>319</v>
      </c>
      <c r="D25" s="3" t="s">
        <v>320</v>
      </c>
      <c r="E25" s="3" t="n">
        <f aca="false">IF(OR(COUNTIF('Attendance 12 FEMALES'!$D$2:$D$36,D25)=0,COUNTIF('Participation 12 FEMALES'!$D$2:$D$37,D25)=0),"CHECK ID",IFERROR(VLOOKUP(D25,'Attendance 12 FEMALES'!$D$2:$AE$36,28,FALSE())+VLOOKUP(D25,'Participation 12 FEMALES'!$D$2:$AD$37,27,FALSE()),"CHECK ID"))</f>
        <v>69</v>
      </c>
    </row>
    <row r="26" customFormat="false" ht="21.75" hidden="false" customHeight="true" outlineLevel="0" collapsed="false">
      <c r="A26" s="3" t="n">
        <v>25</v>
      </c>
      <c r="B26" s="3" t="s">
        <v>321</v>
      </c>
      <c r="C26" s="4" t="s">
        <v>322</v>
      </c>
      <c r="D26" s="3" t="s">
        <v>323</v>
      </c>
      <c r="E26" s="3" t="n">
        <f aca="false">IF(OR(COUNTIF('Attendance 12 FEMALES'!$D$2:$D$36,D26)=0,COUNTIF('Participation 12 FEMALES'!$D$2:$D$37,D26)=0),"CHECK ID",IFERROR(VLOOKUP(D26,'Attendance 12 FEMALES'!$D$2:$AE$36,28,FALSE())+VLOOKUP(D26,'Participation 12 FEMALES'!$D$2:$AD$37,27,FALSE()),"CHECK ID"))</f>
        <v>64</v>
      </c>
    </row>
    <row r="27" customFormat="false" ht="21.75" hidden="false" customHeight="true" outlineLevel="0" collapsed="false">
      <c r="A27" s="3" t="n">
        <v>26</v>
      </c>
      <c r="B27" s="3" t="s">
        <v>324</v>
      </c>
      <c r="C27" s="4" t="s">
        <v>325</v>
      </c>
      <c r="D27" s="3" t="s">
        <v>326</v>
      </c>
      <c r="E27" s="3" t="n">
        <f aca="false">IF(OR(COUNTIF('Attendance 12 FEMALES'!$D$2:$D$36,D27)=0,COUNTIF('Participation 12 FEMALES'!$D$2:$D$37,D27)=0),"CHECK ID",IFERROR(VLOOKUP(D27,'Attendance 12 FEMALES'!$D$2:$AE$36,28,FALSE())+VLOOKUP(D27,'Participation 12 FEMALES'!$D$2:$AD$37,27,FALSE()),"CHECK ID"))</f>
        <v>108</v>
      </c>
    </row>
    <row r="28" customFormat="false" ht="21.75" hidden="false" customHeight="true" outlineLevel="0" collapsed="false">
      <c r="A28" s="3" t="n">
        <v>27</v>
      </c>
      <c r="B28" s="3" t="s">
        <v>327</v>
      </c>
      <c r="C28" s="4" t="s">
        <v>328</v>
      </c>
      <c r="D28" s="3" t="s">
        <v>329</v>
      </c>
      <c r="E28" s="3" t="n">
        <f aca="false">IF(OR(COUNTIF('Attendance 12 FEMALES'!$D$2:$D$36,D28)=0,COUNTIF('Participation 12 FEMALES'!$D$2:$D$37,D28)=0),"CHECK ID",IFERROR(VLOOKUP(D28,'Attendance 12 FEMALES'!$D$2:$AE$36,28,FALSE())+VLOOKUP(D28,'Participation 12 FEMALES'!$D$2:$AD$37,27,FALSE()),"CHECK ID"))</f>
        <v>116</v>
      </c>
    </row>
    <row r="29" customFormat="false" ht="21.75" hidden="false" customHeight="true" outlineLevel="0" collapsed="false">
      <c r="A29" s="3" t="n">
        <v>28</v>
      </c>
      <c r="B29" s="3" t="s">
        <v>330</v>
      </c>
      <c r="C29" s="4" t="s">
        <v>331</v>
      </c>
      <c r="D29" s="3" t="s">
        <v>332</v>
      </c>
      <c r="E29" s="3" t="n">
        <f aca="false">IF(OR(COUNTIF('Attendance 12 FEMALES'!$D$2:$D$36,D29)=0,COUNTIF('Participation 12 FEMALES'!$D$2:$D$37,D29)=0),"CHECK ID",IFERROR(VLOOKUP(D29,'Attendance 12 FEMALES'!$D$2:$AE$36,28,FALSE())+VLOOKUP(D29,'Participation 12 FEMALES'!$D$2:$AD$37,27,FALSE()),"CHECK ID"))</f>
        <v>130</v>
      </c>
    </row>
    <row r="30" customFormat="false" ht="21.75" hidden="false" customHeight="true" outlineLevel="0" collapsed="false">
      <c r="A30" s="3" t="n">
        <v>29</v>
      </c>
      <c r="B30" s="3" t="s">
        <v>333</v>
      </c>
      <c r="C30" s="4" t="s">
        <v>334</v>
      </c>
      <c r="D30" s="3" t="s">
        <v>335</v>
      </c>
      <c r="E30" s="3" t="n">
        <f aca="false">IF(OR(COUNTIF('Attendance 12 FEMALES'!$D$2:$D$36,D30)=0,COUNTIF('Participation 12 FEMALES'!$D$2:$D$37,D30)=0),"CHECK ID",IFERROR(VLOOKUP(D30,'Attendance 12 FEMALES'!$D$2:$AE$36,28,FALSE())+VLOOKUP(D30,'Participation 12 FEMALES'!$D$2:$AD$37,27,FALSE()),"CHECK ID"))</f>
        <v>134</v>
      </c>
    </row>
    <row r="31" customFormat="false" ht="21.75" hidden="false" customHeight="true" outlineLevel="0" collapsed="false">
      <c r="A31" s="3" t="n">
        <v>30</v>
      </c>
      <c r="B31" s="3" t="s">
        <v>336</v>
      </c>
      <c r="C31" s="4" t="s">
        <v>337</v>
      </c>
      <c r="D31" s="3" t="s">
        <v>338</v>
      </c>
      <c r="E31" s="3" t="n">
        <f aca="false">IF(OR(COUNTIF('Attendance 12 FEMALES'!$D$2:$D$36,D31)=0,COUNTIF('Participation 12 FEMALES'!$D$2:$D$37,D31)=0),"CHECK ID",IFERROR(VLOOKUP(D31,'Attendance 12 FEMALES'!$D$2:$AE$36,28,FALSE())+VLOOKUP(D31,'Participation 12 FEMALES'!$D$2:$AD$37,27,FALSE()),"CHECK ID"))</f>
        <v>135</v>
      </c>
    </row>
    <row r="32" customFormat="false" ht="21.75" hidden="false" customHeight="true" outlineLevel="0" collapsed="false">
      <c r="A32" s="3" t="n">
        <v>31</v>
      </c>
      <c r="B32" s="3" t="s">
        <v>339</v>
      </c>
      <c r="C32" s="4" t="s">
        <v>340</v>
      </c>
      <c r="D32" s="3" t="s">
        <v>341</v>
      </c>
      <c r="E32" s="3" t="n">
        <f aca="false">IF(OR(COUNTIF('Attendance 12 FEMALES'!$D$2:$D$36,D32)=0,COUNTIF('Participation 12 FEMALES'!$D$2:$D$37,D32)=0),"CHECK ID",IFERROR(VLOOKUP(D32,'Attendance 12 FEMALES'!$D$2:$AE$36,28,FALSE())+VLOOKUP(D32,'Participation 12 FEMALES'!$D$2:$AD$37,27,FALSE()),"CHECK ID"))</f>
        <v>205</v>
      </c>
    </row>
    <row r="33" customFormat="false" ht="21.75" hidden="false" customHeight="true" outlineLevel="0" collapsed="false">
      <c r="A33" s="3" t="n">
        <v>32</v>
      </c>
      <c r="B33" s="3" t="s">
        <v>342</v>
      </c>
      <c r="C33" s="4" t="s">
        <v>343</v>
      </c>
      <c r="D33" s="3" t="s">
        <v>344</v>
      </c>
      <c r="E33" s="3" t="n">
        <f aca="false">IF(OR(COUNTIF('Attendance 12 FEMALES'!$D$2:$D$36,D33)=0,COUNTIF('Participation 12 FEMALES'!$D$2:$D$37,D33)=0),"CHECK ID",IFERROR(VLOOKUP(D33,'Attendance 12 FEMALES'!$D$2:$AE$36,28,FALSE())+VLOOKUP(D33,'Participation 12 FEMALES'!$D$2:$AD$37,27,FALSE()),"CHECK ID"))</f>
        <v>57</v>
      </c>
    </row>
    <row r="34" customFormat="false" ht="21.75" hidden="false" customHeight="true" outlineLevel="0" collapsed="false">
      <c r="A34" s="3" t="n">
        <v>33</v>
      </c>
      <c r="B34" s="3" t="s">
        <v>345</v>
      </c>
      <c r="C34" s="4" t="s">
        <v>346</v>
      </c>
      <c r="D34" s="3" t="s">
        <v>347</v>
      </c>
      <c r="E34" s="3" t="n">
        <f aca="false">IF(OR(COUNTIF('Attendance 12 FEMALES'!$D$2:$D$36,D34)=0,COUNTIF('Participation 12 FEMALES'!$D$2:$D$37,D34)=0),"CHECK ID",IFERROR(VLOOKUP(D34,'Attendance 12 FEMALES'!$D$2:$AE$36,28,FALSE())+VLOOKUP(D34,'Participation 12 FEMALES'!$D$2:$AD$37,27,FALSE()),"CHECK ID"))</f>
        <v>142</v>
      </c>
    </row>
  </sheetData>
  <autoFilter ref="A1:E34"/>
  <conditionalFormatting sqref="B1:D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2" activeCellId="0" sqref="E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customFormat="false" ht="21.75" hidden="false" customHeight="true" outlineLevel="0" collapsed="false">
      <c r="A2" s="3" t="n">
        <v>1</v>
      </c>
      <c r="B2" s="3" t="s">
        <v>355</v>
      </c>
      <c r="C2" s="4" t="s">
        <v>356</v>
      </c>
      <c r="D2" s="3" t="s">
        <v>357</v>
      </c>
      <c r="E2" s="3" t="n">
        <f aca="false">IF(OR(COUNTIF('Attendance 10 MALES'!$D$2:$D$38,D2)=0,COUNTIF('Participation 10 MALES'!$D$2:$D$38,D2)=0),"CHECK ID",IFERROR(VLOOKUP(D2,'Attendance 10 MALES'!$D$2:$AE$38,28,FALSE())+VLOOKUP(D2,'Participation 10 MALES'!$D$2:$AD$38,27,FALSE()),"CHECK ID"))</f>
        <v>232</v>
      </c>
    </row>
    <row r="3" customFormat="false" ht="21.75" hidden="false" customHeight="true" outlineLevel="0" collapsed="false">
      <c r="A3" s="3" t="n">
        <v>2</v>
      </c>
      <c r="B3" s="3" t="s">
        <v>358</v>
      </c>
      <c r="C3" s="4" t="s">
        <v>359</v>
      </c>
      <c r="D3" s="3" t="s">
        <v>360</v>
      </c>
      <c r="E3" s="3" t="n">
        <f aca="false">IF(OR(COUNTIF('Attendance 10 MALES'!$D$2:$D$38,D3)=0,COUNTIF('Participation 10 MALES'!$D$2:$D$38,D3)=0),"CHECK ID",IFERROR(VLOOKUP(D3,'Attendance 10 MALES'!$D$2:$AE$38,28,FALSE())+VLOOKUP(D3,'Participation 10 MALES'!$D$2:$AD$38,27,FALSE()),"CHECK ID"))</f>
        <v>113</v>
      </c>
    </row>
    <row r="4" customFormat="false" ht="21.75" hidden="false" customHeight="true" outlineLevel="0" collapsed="false">
      <c r="A4" s="3" t="n">
        <v>3</v>
      </c>
      <c r="B4" s="3" t="s">
        <v>361</v>
      </c>
      <c r="C4" s="4" t="s">
        <v>362</v>
      </c>
      <c r="D4" s="3" t="s">
        <v>363</v>
      </c>
      <c r="E4" s="3" t="n">
        <f aca="false">IF(OR(COUNTIF('Attendance 10 MALES'!$D$2:$D$38,D4)=0,COUNTIF('Participation 10 MALES'!$D$2:$D$38,D4)=0),"CHECK ID",IFERROR(VLOOKUP(D4,'Attendance 10 MALES'!$D$2:$AE$38,28,FALSE())+VLOOKUP(D4,'Participation 10 MALES'!$D$2:$AD$38,27,FALSE()),"CHECK ID"))</f>
        <v>227</v>
      </c>
    </row>
    <row r="5" customFormat="false" ht="21.75" hidden="false" customHeight="true" outlineLevel="0" collapsed="false">
      <c r="A5" s="3" t="n">
        <v>4</v>
      </c>
      <c r="B5" s="3" t="s">
        <v>364</v>
      </c>
      <c r="C5" s="4" t="s">
        <v>365</v>
      </c>
      <c r="D5" s="3" t="s">
        <v>366</v>
      </c>
      <c r="E5" s="3" t="n">
        <f aca="false">IF(OR(COUNTIF('Attendance 10 MALES'!$D$2:$D$38,D5)=0,COUNTIF('Participation 10 MALES'!$D$2:$D$38,D5)=0),"CHECK ID",IFERROR(VLOOKUP(D5,'Attendance 10 MALES'!$D$2:$AE$38,28,FALSE())+VLOOKUP(D5,'Participation 10 MALES'!$D$2:$AD$38,27,FALSE()),"CHECK ID"))</f>
        <v>196</v>
      </c>
    </row>
    <row r="6" customFormat="false" ht="21.75" hidden="false" customHeight="true" outlineLevel="0" collapsed="false">
      <c r="A6" s="3" t="n">
        <v>5</v>
      </c>
      <c r="B6" s="3" t="s">
        <v>367</v>
      </c>
      <c r="C6" s="4" t="s">
        <v>368</v>
      </c>
      <c r="D6" s="3" t="s">
        <v>369</v>
      </c>
      <c r="E6" s="3" t="n">
        <f aca="false">IF(OR(COUNTIF('Attendance 10 MALES'!$D$2:$D$38,D6)=0,COUNTIF('Participation 10 MALES'!$D$2:$D$38,D6)=0),"CHECK ID",IFERROR(VLOOKUP(D6,'Attendance 10 MALES'!$D$2:$AE$38,28,FALSE())+VLOOKUP(D6,'Participation 10 MALES'!$D$2:$AD$38,27,FALSE()),"CHECK ID"))</f>
        <v>144</v>
      </c>
    </row>
    <row r="7" customFormat="false" ht="21.75" hidden="false" customHeight="true" outlineLevel="0" collapsed="false">
      <c r="A7" s="3" t="n">
        <v>6</v>
      </c>
      <c r="B7" s="3" t="s">
        <v>370</v>
      </c>
      <c r="C7" s="4" t="s">
        <v>371</v>
      </c>
      <c r="D7" s="3" t="s">
        <v>372</v>
      </c>
      <c r="E7" s="3" t="n">
        <f aca="false">IF(OR(COUNTIF('Attendance 10 MALES'!$D$2:$D$38,D7)=0,COUNTIF('Participation 10 MALES'!$D$2:$D$38,D7)=0),"CHECK ID",IFERROR(VLOOKUP(D7,'Attendance 10 MALES'!$D$2:$AE$38,28,FALSE())+VLOOKUP(D7,'Participation 10 MALES'!$D$2:$AD$38,27,FALSE()),"CHECK ID"))</f>
        <v>264</v>
      </c>
    </row>
    <row r="8" customFormat="false" ht="21.75" hidden="false" customHeight="true" outlineLevel="0" collapsed="false">
      <c r="A8" s="3" t="n">
        <v>7</v>
      </c>
      <c r="B8" s="3" t="s">
        <v>373</v>
      </c>
      <c r="C8" s="4" t="s">
        <v>374</v>
      </c>
      <c r="D8" s="3" t="s">
        <v>375</v>
      </c>
      <c r="E8" s="3" t="n">
        <f aca="false">IF(OR(COUNTIF('Attendance 10 MALES'!$D$2:$D$38,D8)=0,COUNTIF('Participation 10 MALES'!$D$2:$D$38,D8)=0),"CHECK ID",IFERROR(VLOOKUP(D8,'Attendance 10 MALES'!$D$2:$AE$38,28,FALSE())+VLOOKUP(D8,'Participation 10 MALES'!$D$2:$AD$38,27,FALSE()),"CHECK ID"))</f>
        <v>176</v>
      </c>
    </row>
    <row r="9" customFormat="false" ht="21.75" hidden="false" customHeight="true" outlineLevel="0" collapsed="false">
      <c r="A9" s="3" t="n">
        <v>8</v>
      </c>
      <c r="B9" s="3" t="s">
        <v>376</v>
      </c>
      <c r="C9" s="4" t="s">
        <v>377</v>
      </c>
      <c r="D9" s="3" t="s">
        <v>378</v>
      </c>
      <c r="E9" s="3" t="n">
        <f aca="false">IF(OR(COUNTIF('Attendance 10 MALES'!$D$2:$D$38,D9)=0,COUNTIF('Participation 10 MALES'!$D$2:$D$38,D9)=0),"CHECK ID",IFERROR(VLOOKUP(D9,'Attendance 10 MALES'!$D$2:$AE$38,28,FALSE())+VLOOKUP(D9,'Participation 10 MALES'!$D$2:$AD$38,27,FALSE()),"CHECK ID"))</f>
        <v>195</v>
      </c>
    </row>
    <row r="10" customFormat="false" ht="21.75" hidden="false" customHeight="true" outlineLevel="0" collapsed="false">
      <c r="A10" s="3" t="n">
        <v>9</v>
      </c>
      <c r="B10" s="3" t="s">
        <v>379</v>
      </c>
      <c r="C10" s="4" t="s">
        <v>380</v>
      </c>
      <c r="D10" s="3" t="s">
        <v>381</v>
      </c>
      <c r="E10" s="3" t="n">
        <f aca="false">IF(OR(COUNTIF('Attendance 10 MALES'!$D$2:$D$38,D10)=0,COUNTIF('Participation 10 MALES'!$D$2:$D$38,D10)=0),"CHECK ID",IFERROR(VLOOKUP(D10,'Attendance 10 MALES'!$D$2:$AE$38,28,FALSE())+VLOOKUP(D10,'Participation 10 MALES'!$D$2:$AD$38,27,FALSE()),"CHECK ID"))</f>
        <v>210</v>
      </c>
    </row>
    <row r="11" customFormat="false" ht="21.75" hidden="false" customHeight="true" outlineLevel="0" collapsed="false">
      <c r="A11" s="3" t="n">
        <v>10</v>
      </c>
      <c r="B11" s="3" t="s">
        <v>382</v>
      </c>
      <c r="C11" s="4" t="s">
        <v>383</v>
      </c>
      <c r="D11" s="3" t="s">
        <v>384</v>
      </c>
      <c r="E11" s="3" t="n">
        <f aca="false">IF(OR(COUNTIF('Attendance 10 MALES'!$D$2:$D$38,D11)=0,COUNTIF('Participation 10 MALES'!$D$2:$D$38,D11)=0),"CHECK ID",IFERROR(VLOOKUP(D11,'Attendance 10 MALES'!$D$2:$AE$38,28,FALSE())+VLOOKUP(D11,'Participation 10 MALES'!$D$2:$AD$38,27,FALSE()),"CHECK ID"))</f>
        <v>193</v>
      </c>
    </row>
    <row r="12" customFormat="false" ht="21.75" hidden="false" customHeight="true" outlineLevel="0" collapsed="false">
      <c r="A12" s="3" t="n">
        <v>11</v>
      </c>
      <c r="B12" s="3" t="s">
        <v>385</v>
      </c>
      <c r="C12" s="4" t="s">
        <v>386</v>
      </c>
      <c r="D12" s="3" t="s">
        <v>387</v>
      </c>
      <c r="E12" s="3" t="n">
        <f aca="false">IF(OR(COUNTIF('Attendance 10 MALES'!$D$2:$D$38,D12)=0,COUNTIF('Participation 10 MALES'!$D$2:$D$38,D12)=0),"CHECK ID",IFERROR(VLOOKUP(D12,'Attendance 10 MALES'!$D$2:$AE$38,28,FALSE())+VLOOKUP(D12,'Participation 10 MALES'!$D$2:$AD$38,27,FALSE()),"CHECK ID"))</f>
        <v>218</v>
      </c>
    </row>
    <row r="13" customFormat="false" ht="21.75" hidden="false" customHeight="true" outlineLevel="0" collapsed="false">
      <c r="A13" s="3" t="n">
        <v>12</v>
      </c>
      <c r="B13" s="3" t="s">
        <v>388</v>
      </c>
      <c r="C13" s="4" t="s">
        <v>389</v>
      </c>
      <c r="D13" s="3" t="s">
        <v>390</v>
      </c>
      <c r="E13" s="3" t="n">
        <f aca="false">IF(OR(COUNTIF('Attendance 10 MALES'!$D$2:$D$38,D13)=0,COUNTIF('Participation 10 MALES'!$D$2:$D$38,D13)=0),"CHECK ID",IFERROR(VLOOKUP(D13,'Attendance 10 MALES'!$D$2:$AE$38,28,FALSE())+VLOOKUP(D13,'Participation 10 MALES'!$D$2:$AD$38,27,FALSE()),"CHECK ID"))</f>
        <v>127</v>
      </c>
    </row>
    <row r="14" customFormat="false" ht="21.75" hidden="false" customHeight="true" outlineLevel="0" collapsed="false">
      <c r="A14" s="3" t="n">
        <v>13</v>
      </c>
      <c r="B14" s="3" t="s">
        <v>391</v>
      </c>
      <c r="C14" s="4" t="s">
        <v>392</v>
      </c>
      <c r="D14" s="3" t="s">
        <v>393</v>
      </c>
      <c r="E14" s="3" t="n">
        <f aca="false">IF(OR(COUNTIF('Attendance 10 MALES'!$D$2:$D$38,D14)=0,COUNTIF('Participation 10 MALES'!$D$2:$D$38,D14)=0),"CHECK ID",IFERROR(VLOOKUP(D14,'Attendance 10 MALES'!$D$2:$AE$38,28,FALSE())+VLOOKUP(D14,'Participation 10 MALES'!$D$2:$AD$38,27,FALSE()),"CHECK ID"))</f>
        <v>185</v>
      </c>
    </row>
    <row r="15" customFormat="false" ht="21.75" hidden="false" customHeight="true" outlineLevel="0" collapsed="false">
      <c r="A15" s="3" t="n">
        <v>14</v>
      </c>
      <c r="B15" s="3" t="s">
        <v>394</v>
      </c>
      <c r="C15" s="4" t="s">
        <v>395</v>
      </c>
      <c r="D15" s="3" t="s">
        <v>396</v>
      </c>
      <c r="E15" s="3" t="n">
        <f aca="false">IF(OR(COUNTIF('Attendance 10 MALES'!$D$2:$D$38,D15)=0,COUNTIF('Participation 10 MALES'!$D$2:$D$38,D15)=0),"CHECK ID",IFERROR(VLOOKUP(D15,'Attendance 10 MALES'!$D$2:$AE$38,28,FALSE())+VLOOKUP(D15,'Participation 10 MALES'!$D$2:$AD$38,27,FALSE()),"CHECK ID"))</f>
        <v>239</v>
      </c>
    </row>
    <row r="16" customFormat="false" ht="21.75" hidden="false" customHeight="true" outlineLevel="0" collapsed="false">
      <c r="A16" s="3" t="n">
        <v>15</v>
      </c>
      <c r="B16" s="3" t="s">
        <v>397</v>
      </c>
      <c r="C16" s="4" t="s">
        <v>398</v>
      </c>
      <c r="D16" s="3" t="s">
        <v>399</v>
      </c>
      <c r="E16" s="3" t="n">
        <f aca="false">IF(OR(COUNTIF('Attendance 10 MALES'!$D$2:$D$38,D16)=0,COUNTIF('Participation 10 MALES'!$D$2:$D$38,D16)=0),"CHECK ID",IFERROR(VLOOKUP(D16,'Attendance 10 MALES'!$D$2:$AE$38,28,FALSE())+VLOOKUP(D16,'Participation 10 MALES'!$D$2:$AD$38,27,FALSE()),"CHECK ID"))</f>
        <v>167</v>
      </c>
    </row>
    <row r="17" customFormat="false" ht="21.75" hidden="false" customHeight="true" outlineLevel="0" collapsed="false">
      <c r="A17" s="3" t="n">
        <v>16</v>
      </c>
      <c r="B17" s="3" t="s">
        <v>400</v>
      </c>
      <c r="C17" s="4" t="s">
        <v>401</v>
      </c>
      <c r="D17" s="3" t="s">
        <v>402</v>
      </c>
      <c r="E17" s="3" t="n">
        <f aca="false">IF(OR(COUNTIF('Attendance 10 MALES'!$D$2:$D$38,D17)=0,COUNTIF('Participation 10 MALES'!$D$2:$D$38,D17)=0),"CHECK ID",IFERROR(VLOOKUP(D17,'Attendance 10 MALES'!$D$2:$AE$38,28,FALSE())+VLOOKUP(D17,'Participation 10 MALES'!$D$2:$AD$38,27,FALSE()),"CHECK ID"))</f>
        <v>142</v>
      </c>
    </row>
    <row r="18" customFormat="false" ht="21.75" hidden="false" customHeight="true" outlineLevel="0" collapsed="false">
      <c r="A18" s="3" t="n">
        <v>17</v>
      </c>
      <c r="B18" s="3" t="s">
        <v>403</v>
      </c>
      <c r="C18" s="4" t="s">
        <v>404</v>
      </c>
      <c r="D18" s="3" t="s">
        <v>405</v>
      </c>
      <c r="E18" s="3" t="n">
        <f aca="false">IF(OR(COUNTIF('Attendance 10 MALES'!$D$2:$D$38,D18)=0,COUNTIF('Participation 10 MALES'!$D$2:$D$38,D18)=0),"CHECK ID",IFERROR(VLOOKUP(D18,'Attendance 10 MALES'!$D$2:$AE$38,28,FALSE())+VLOOKUP(D18,'Participation 10 MALES'!$D$2:$AD$38,27,FALSE()),"CHECK ID"))</f>
        <v>208</v>
      </c>
    </row>
    <row r="19" customFormat="false" ht="21.75" hidden="false" customHeight="true" outlineLevel="0" collapsed="false">
      <c r="A19" s="3" t="n">
        <v>18</v>
      </c>
      <c r="B19" s="3" t="s">
        <v>406</v>
      </c>
      <c r="C19" s="4" t="s">
        <v>407</v>
      </c>
      <c r="D19" s="3" t="s">
        <v>408</v>
      </c>
      <c r="E19" s="3" t="n">
        <f aca="false">IF(OR(COUNTIF('Attendance 10 MALES'!$D$2:$D$38,D19)=0,COUNTIF('Participation 10 MALES'!$D$2:$D$38,D19)=0),"CHECK ID",IFERROR(VLOOKUP(D19,'Attendance 10 MALES'!$D$2:$AE$38,28,FALSE())+VLOOKUP(D19,'Participation 10 MALES'!$D$2:$AD$38,27,FALSE()),"CHECK ID"))</f>
        <v>190</v>
      </c>
    </row>
    <row r="20" customFormat="false" ht="21.75" hidden="false" customHeight="true" outlineLevel="0" collapsed="false">
      <c r="A20" s="3" t="n">
        <v>19</v>
      </c>
      <c r="B20" s="3" t="s">
        <v>409</v>
      </c>
      <c r="C20" s="4" t="s">
        <v>410</v>
      </c>
      <c r="D20" s="3" t="s">
        <v>411</v>
      </c>
      <c r="E20" s="3" t="n">
        <f aca="false">IF(OR(COUNTIF('Attendance 10 MALES'!$D$2:$D$38,D20)=0,COUNTIF('Participation 10 MALES'!$D$2:$D$38,D20)=0),"CHECK ID",IFERROR(VLOOKUP(D20,'Attendance 10 MALES'!$D$2:$AE$38,28,FALSE())+VLOOKUP(D20,'Participation 10 MALES'!$D$2:$AD$38,27,FALSE()),"CHECK ID"))</f>
        <v>236</v>
      </c>
    </row>
    <row r="21" customFormat="false" ht="21.75" hidden="false" customHeight="true" outlineLevel="0" collapsed="false">
      <c r="A21" s="3" t="n">
        <v>20</v>
      </c>
      <c r="B21" s="3" t="s">
        <v>412</v>
      </c>
      <c r="C21" s="4" t="s">
        <v>413</v>
      </c>
      <c r="D21" s="3" t="s">
        <v>414</v>
      </c>
      <c r="E21" s="3" t="n">
        <f aca="false">IF(OR(COUNTIF('Attendance 10 MALES'!$D$2:$D$38,D21)=0,COUNTIF('Participation 10 MALES'!$D$2:$D$38,D21)=0),"CHECK ID",IFERROR(VLOOKUP(D21,'Attendance 10 MALES'!$D$2:$AE$38,28,FALSE())+VLOOKUP(D21,'Participation 10 MALES'!$D$2:$AD$38,27,FALSE()),"CHECK ID"))</f>
        <v>232</v>
      </c>
    </row>
    <row r="22" customFormat="false" ht="21.75" hidden="false" customHeight="true" outlineLevel="0" collapsed="false">
      <c r="A22" s="3" t="n">
        <v>21</v>
      </c>
      <c r="B22" s="3" t="s">
        <v>415</v>
      </c>
      <c r="C22" s="4" t="s">
        <v>416</v>
      </c>
      <c r="D22" s="3" t="s">
        <v>417</v>
      </c>
      <c r="E22" s="3" t="n">
        <f aca="false">IF(OR(COUNTIF('Attendance 10 MALES'!$D$2:$D$38,D22)=0,COUNTIF('Participation 10 MALES'!$D$2:$D$38,D22)=0),"CHECK ID",IFERROR(VLOOKUP(D22,'Attendance 10 MALES'!$D$2:$AE$38,28,FALSE())+VLOOKUP(D22,'Participation 10 MALES'!$D$2:$AD$38,27,FALSE()),"CHECK ID"))</f>
        <v>205</v>
      </c>
    </row>
    <row r="23" customFormat="false" ht="21.75" hidden="false" customHeight="true" outlineLevel="0" collapsed="false">
      <c r="A23" s="3" t="n">
        <v>22</v>
      </c>
      <c r="B23" s="3" t="s">
        <v>418</v>
      </c>
      <c r="C23" s="4" t="s">
        <v>419</v>
      </c>
      <c r="D23" s="3" t="s">
        <v>420</v>
      </c>
      <c r="E23" s="3" t="n">
        <f aca="false">IF(OR(COUNTIF('Attendance 10 MALES'!$D$2:$D$38,D23)=0,COUNTIF('Participation 10 MALES'!$D$2:$D$38,D23)=0),"CHECK ID",IFERROR(VLOOKUP(D23,'Attendance 10 MALES'!$D$2:$AE$38,28,FALSE())+VLOOKUP(D23,'Participation 10 MALES'!$D$2:$AD$38,27,FALSE()),"CHECK ID"))</f>
        <v>132</v>
      </c>
    </row>
    <row r="24" customFormat="false" ht="21.75" hidden="false" customHeight="true" outlineLevel="0" collapsed="false">
      <c r="A24" s="3" t="n">
        <v>23</v>
      </c>
      <c r="B24" s="3" t="s">
        <v>421</v>
      </c>
      <c r="C24" s="4" t="s">
        <v>422</v>
      </c>
      <c r="D24" s="3" t="s">
        <v>423</v>
      </c>
      <c r="E24" s="3" t="n">
        <f aca="false">IF(OR(COUNTIF('Attendance 10 MALES'!$D$2:$D$38,D24)=0,COUNTIF('Participation 10 MALES'!$D$2:$D$38,D24)=0),"CHECK ID",IFERROR(VLOOKUP(D24,'Attendance 10 MALES'!$D$2:$AE$38,28,FALSE())+VLOOKUP(D24,'Participation 10 MALES'!$D$2:$AD$38,27,FALSE()),"CHECK ID"))</f>
        <v>195</v>
      </c>
    </row>
    <row r="25" customFormat="false" ht="21.75" hidden="false" customHeight="true" outlineLevel="0" collapsed="false">
      <c r="A25" s="3" t="n">
        <v>24</v>
      </c>
      <c r="B25" s="3" t="s">
        <v>424</v>
      </c>
      <c r="C25" s="4" t="s">
        <v>425</v>
      </c>
      <c r="D25" s="3" t="s">
        <v>426</v>
      </c>
      <c r="E25" s="3" t="n">
        <f aca="false">IF(OR(COUNTIF('Attendance 10 MALES'!$D$2:$D$38,D25)=0,COUNTIF('Participation 10 MALES'!$D$2:$D$38,D25)=0),"CHECK ID",IFERROR(VLOOKUP(D25,'Attendance 10 MALES'!$D$2:$AE$38,28,FALSE())+VLOOKUP(D25,'Participation 10 MALES'!$D$2:$AD$38,27,FALSE()),"CHECK ID"))</f>
        <v>197</v>
      </c>
    </row>
    <row r="26" customFormat="false" ht="21.75" hidden="false" customHeight="true" outlineLevel="0" collapsed="false">
      <c r="A26" s="3" t="n">
        <v>25</v>
      </c>
      <c r="B26" s="3" t="s">
        <v>427</v>
      </c>
      <c r="C26" s="4" t="s">
        <v>428</v>
      </c>
      <c r="D26" s="3" t="s">
        <v>429</v>
      </c>
      <c r="E26" s="3" t="n">
        <f aca="false">IF(OR(COUNTIF('Attendance 10 MALES'!$D$2:$D$38,D26)=0,COUNTIF('Participation 10 MALES'!$D$2:$D$38,D26)=0),"CHECK ID",IFERROR(VLOOKUP(D26,'Attendance 10 MALES'!$D$2:$AE$38,28,FALSE())+VLOOKUP(D26,'Participation 10 MALES'!$D$2:$AD$38,27,FALSE()),"CHECK ID"))</f>
        <v>175</v>
      </c>
    </row>
    <row r="27" customFormat="false" ht="21.75" hidden="false" customHeight="true" outlineLevel="0" collapsed="false">
      <c r="A27" s="3" t="n">
        <v>26</v>
      </c>
      <c r="B27" s="3" t="s">
        <v>430</v>
      </c>
      <c r="C27" s="4" t="s">
        <v>431</v>
      </c>
      <c r="D27" s="3" t="s">
        <v>432</v>
      </c>
      <c r="E27" s="3" t="n">
        <f aca="false">IF(OR(COUNTIF('Attendance 10 MALES'!$D$2:$D$38,D27)=0,COUNTIF('Participation 10 MALES'!$D$2:$D$38,D27)=0),"CHECK ID",IFERROR(VLOOKUP(D27,'Attendance 10 MALES'!$D$2:$AE$38,28,FALSE())+VLOOKUP(D27,'Participation 10 MALES'!$D$2:$AD$38,27,FALSE()),"CHECK ID"))</f>
        <v>173</v>
      </c>
    </row>
    <row r="28" customFormat="false" ht="21.75" hidden="false" customHeight="true" outlineLevel="0" collapsed="false">
      <c r="A28" s="3" t="n">
        <v>27</v>
      </c>
      <c r="B28" s="3" t="s">
        <v>433</v>
      </c>
      <c r="C28" s="4" t="s">
        <v>434</v>
      </c>
      <c r="D28" s="3" t="s">
        <v>435</v>
      </c>
      <c r="E28" s="3" t="n">
        <f aca="false">IF(OR(COUNTIF('Attendance 10 MALES'!$D$2:$D$38,D28)=0,COUNTIF('Participation 10 MALES'!$D$2:$D$38,D28)=0),"CHECK ID",IFERROR(VLOOKUP(D28,'Attendance 10 MALES'!$D$2:$AE$38,28,FALSE())+VLOOKUP(D28,'Participation 10 MALES'!$D$2:$AD$38,27,FALSE()),"CHECK ID"))</f>
        <v>203</v>
      </c>
    </row>
    <row r="29" customFormat="false" ht="21.75" hidden="false" customHeight="true" outlineLevel="0" collapsed="false">
      <c r="A29" s="3" t="n">
        <v>28</v>
      </c>
      <c r="B29" s="3" t="s">
        <v>436</v>
      </c>
      <c r="C29" s="4" t="s">
        <v>437</v>
      </c>
      <c r="D29" s="3" t="s">
        <v>438</v>
      </c>
      <c r="E29" s="3" t="n">
        <f aca="false">IF(OR(COUNTIF('Attendance 10 MALES'!$D$2:$D$38,D29)=0,COUNTIF('Participation 10 MALES'!$D$2:$D$38,D29)=0),"CHECK ID",IFERROR(VLOOKUP(D29,'Attendance 10 MALES'!$D$2:$AE$38,28,FALSE())+VLOOKUP(D29,'Participation 10 MALES'!$D$2:$AD$38,27,FALSE()),"CHECK ID"))</f>
        <v>238</v>
      </c>
    </row>
    <row r="30" customFormat="false" ht="21.75" hidden="false" customHeight="true" outlineLevel="0" collapsed="false">
      <c r="A30" s="3" t="n">
        <v>29</v>
      </c>
      <c r="B30" s="3" t="s">
        <v>439</v>
      </c>
      <c r="C30" s="4" t="s">
        <v>440</v>
      </c>
      <c r="D30" s="3" t="s">
        <v>441</v>
      </c>
      <c r="E30" s="3" t="n">
        <f aca="false">IF(OR(COUNTIF('Attendance 10 MALES'!$D$2:$D$38,D30)=0,COUNTIF('Participation 10 MALES'!$D$2:$D$38,D30)=0),"CHECK ID",IFERROR(VLOOKUP(D30,'Attendance 10 MALES'!$D$2:$AE$38,28,FALSE())+VLOOKUP(D30,'Participation 10 MALES'!$D$2:$AD$38,27,FALSE()),"CHECK ID"))</f>
        <v>211</v>
      </c>
    </row>
    <row r="31" customFormat="false" ht="21.75" hidden="false" customHeight="true" outlineLevel="0" collapsed="false">
      <c r="A31" s="3" t="n">
        <v>30</v>
      </c>
      <c r="B31" s="3" t="s">
        <v>442</v>
      </c>
      <c r="C31" s="4" t="s">
        <v>443</v>
      </c>
      <c r="D31" s="3" t="s">
        <v>444</v>
      </c>
      <c r="E31" s="3" t="n">
        <f aca="false">IF(OR(COUNTIF('Attendance 10 MALES'!$D$2:$D$38,D31)=0,COUNTIF('Participation 10 MALES'!$D$2:$D$38,D31)=0),"CHECK ID",IFERROR(VLOOKUP(D31,'Attendance 10 MALES'!$D$2:$AE$38,28,FALSE())+VLOOKUP(D31,'Participation 10 MALES'!$D$2:$AD$38,27,FALSE()),"CHECK ID"))</f>
        <v>163</v>
      </c>
    </row>
    <row r="32" customFormat="false" ht="21.75" hidden="false" customHeight="true" outlineLevel="0" collapsed="false">
      <c r="A32" s="3" t="n">
        <v>31</v>
      </c>
      <c r="B32" s="3" t="s">
        <v>445</v>
      </c>
      <c r="C32" s="4" t="s">
        <v>446</v>
      </c>
      <c r="D32" s="3" t="s">
        <v>447</v>
      </c>
      <c r="E32" s="3" t="n">
        <f aca="false">IF(OR(COUNTIF('Attendance 10 MALES'!$D$2:$D$38,D32)=0,COUNTIF('Participation 10 MALES'!$D$2:$D$38,D32)=0),"CHECK ID",IFERROR(VLOOKUP(D32,'Attendance 10 MALES'!$D$2:$AE$38,28,FALSE())+VLOOKUP(D32,'Participation 10 MALES'!$D$2:$AD$38,27,FALSE()),"CHECK ID"))</f>
        <v>240</v>
      </c>
    </row>
    <row r="33" customFormat="false" ht="21.75" hidden="false" customHeight="true" outlineLevel="0" collapsed="false">
      <c r="A33" s="3" t="n">
        <v>32</v>
      </c>
      <c r="B33" s="3" t="s">
        <v>448</v>
      </c>
      <c r="C33" s="4" t="s">
        <v>449</v>
      </c>
      <c r="D33" s="3" t="s">
        <v>450</v>
      </c>
      <c r="E33" s="3" t="n">
        <f aca="false">IF(OR(COUNTIF('Attendance 10 MALES'!$D$2:$D$38,D33)=0,COUNTIF('Participation 10 MALES'!$D$2:$D$38,D33)=0),"CHECK ID",IFERROR(VLOOKUP(D33,'Attendance 10 MALES'!$D$2:$AE$38,28,FALSE())+VLOOKUP(D33,'Participation 10 MALES'!$D$2:$AD$38,27,FALSE()),"CHECK ID"))</f>
        <v>136</v>
      </c>
    </row>
    <row r="34" customFormat="false" ht="21.75" hidden="false" customHeight="true" outlineLevel="0" collapsed="false">
      <c r="A34" s="3" t="n">
        <v>33</v>
      </c>
      <c r="B34" s="3" t="s">
        <v>451</v>
      </c>
      <c r="C34" s="4" t="s">
        <v>452</v>
      </c>
      <c r="D34" s="3" t="s">
        <v>453</v>
      </c>
      <c r="E34" s="3" t="n">
        <f aca="false">IF(OR(COUNTIF('Attendance 10 MALES'!$D$2:$D$38,D34)=0,COUNTIF('Participation 10 MALES'!$D$2:$D$38,D34)=0),"CHECK ID",IFERROR(VLOOKUP(D34,'Attendance 10 MALES'!$D$2:$AE$38,28,FALSE())+VLOOKUP(D34,'Participation 10 MALES'!$D$2:$AD$38,27,FALSE()),"CHECK ID"))</f>
        <v>215</v>
      </c>
    </row>
    <row r="35" customFormat="false" ht="21.75" hidden="false" customHeight="true" outlineLevel="0" collapsed="false">
      <c r="A35" s="3" t="n">
        <v>34</v>
      </c>
      <c r="B35" s="3" t="s">
        <v>454</v>
      </c>
      <c r="C35" s="4" t="s">
        <v>455</v>
      </c>
      <c r="D35" s="3" t="s">
        <v>456</v>
      </c>
      <c r="E35" s="3" t="n">
        <f aca="false">IF(OR(COUNTIF('Attendance 10 MALES'!$D$2:$D$38,D35)=0,COUNTIF('Participation 10 MALES'!$D$2:$D$38,D35)=0),"CHECK ID",IFERROR(VLOOKUP(D35,'Attendance 10 MALES'!$D$2:$AE$38,28,FALSE())+VLOOKUP(D35,'Participation 10 MALES'!$D$2:$AD$38,27,FALSE()),"CHECK ID"))</f>
        <v>164</v>
      </c>
    </row>
    <row r="36" customFormat="false" ht="21.75" hidden="false" customHeight="true" outlineLevel="0" collapsed="false">
      <c r="A36" s="3" t="n">
        <v>35</v>
      </c>
      <c r="B36" s="3" t="s">
        <v>457</v>
      </c>
      <c r="C36" s="4" t="s">
        <v>458</v>
      </c>
      <c r="D36" s="3" t="s">
        <v>459</v>
      </c>
      <c r="E36" s="3" t="n">
        <f aca="false">IF(OR(COUNTIF('Attendance 10 MALES'!$D$2:$D$38,D36)=0,COUNTIF('Participation 10 MALES'!$D$2:$D$38,D36)=0),"CHECK ID",IFERROR(VLOOKUP(D36,'Attendance 10 MALES'!$D$2:$AE$38,28,FALSE())+VLOOKUP(D36,'Participation 10 MALES'!$D$2:$AD$38,27,FALSE()),"CHECK ID"))</f>
        <v>205</v>
      </c>
    </row>
  </sheetData>
  <autoFilter ref="A1:E36"/>
  <conditionalFormatting sqref="B1:D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2" activeCellId="0" sqref="E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customFormat="false" ht="21.75" hidden="false" customHeight="true" outlineLevel="0" collapsed="false">
      <c r="A2" s="3" t="n">
        <v>1</v>
      </c>
      <c r="B2" s="3" t="s">
        <v>466</v>
      </c>
      <c r="C2" s="4" t="s">
        <v>467</v>
      </c>
      <c r="D2" s="3" t="s">
        <v>468</v>
      </c>
      <c r="E2" s="3" t="n">
        <f aca="false">IF(OR(COUNTIF('Attendance 11 MALES'!$D$2:$D$41,D2)=0,COUNTIF('Participation 11 MALES'!$D$2:$D$42,D2)=0),"CHECK ID",IFERROR(VLOOKUP(D2,'Attendance 11 MALES'!$D$2:$AE$41,28,FALSE())+VLOOKUP(D2,'Participation 11 MALES'!$D$2:$AD$42,27,FALSE()),"CHECK ID"))</f>
        <v>132</v>
      </c>
    </row>
    <row r="3" customFormat="false" ht="21.75" hidden="false" customHeight="true" outlineLevel="0" collapsed="false">
      <c r="A3" s="3" t="n">
        <v>2</v>
      </c>
      <c r="B3" s="3" t="s">
        <v>469</v>
      </c>
      <c r="C3" s="4" t="s">
        <v>470</v>
      </c>
      <c r="D3" s="3" t="s">
        <v>471</v>
      </c>
      <c r="E3" s="3" t="n">
        <f aca="false">IF(OR(COUNTIF('Attendance 11 MALES'!$D$2:$D$41,D3)=0,COUNTIF('Participation 11 MALES'!$D$2:$D$42,D3)=0),"CHECK ID",IFERROR(VLOOKUP(D3,'Attendance 11 MALES'!$D$2:$AE$41,28,FALSE())+VLOOKUP(D3,'Participation 11 MALES'!$D$2:$AD$42,27,FALSE()),"CHECK ID"))</f>
        <v>181</v>
      </c>
    </row>
    <row r="4" customFormat="false" ht="21.75" hidden="false" customHeight="true" outlineLevel="0" collapsed="false">
      <c r="A4" s="3" t="n">
        <v>3</v>
      </c>
      <c r="B4" s="3" t="s">
        <v>472</v>
      </c>
      <c r="C4" s="4" t="s">
        <v>473</v>
      </c>
      <c r="D4" s="3" t="s">
        <v>474</v>
      </c>
      <c r="E4" s="3" t="n">
        <f aca="false">IF(OR(COUNTIF('Attendance 11 MALES'!$D$2:$D$41,D4)=0,COUNTIF('Participation 11 MALES'!$D$2:$D$42,D4)=0),"CHECK ID",IFERROR(VLOOKUP(D4,'Attendance 11 MALES'!$D$2:$AE$41,28,FALSE())+VLOOKUP(D4,'Participation 11 MALES'!$D$2:$AD$42,27,FALSE()),"CHECK ID"))</f>
        <v>145</v>
      </c>
    </row>
    <row r="5" customFormat="false" ht="21.75" hidden="false" customHeight="true" outlineLevel="0" collapsed="false">
      <c r="A5" s="3" t="n">
        <v>4</v>
      </c>
      <c r="B5" s="3" t="s">
        <v>475</v>
      </c>
      <c r="C5" s="4" t="s">
        <v>476</v>
      </c>
      <c r="D5" s="3" t="s">
        <v>477</v>
      </c>
      <c r="E5" s="3" t="n">
        <f aca="false">IF(OR(COUNTIF('Attendance 11 MALES'!$D$2:$D$41,D5)=0,COUNTIF('Participation 11 MALES'!$D$2:$D$42,D5)=0),"CHECK ID",IFERROR(VLOOKUP(D5,'Attendance 11 MALES'!$D$2:$AE$41,28,FALSE())+VLOOKUP(D5,'Participation 11 MALES'!$D$2:$AD$42,27,FALSE()),"CHECK ID"))</f>
        <v>82</v>
      </c>
    </row>
    <row r="6" customFormat="false" ht="21.75" hidden="false" customHeight="true" outlineLevel="0" collapsed="false">
      <c r="A6" s="3" t="n">
        <v>5</v>
      </c>
      <c r="B6" s="3" t="s">
        <v>478</v>
      </c>
      <c r="C6" s="4" t="s">
        <v>479</v>
      </c>
      <c r="D6" s="3" t="s">
        <v>480</v>
      </c>
      <c r="E6" s="3" t="n">
        <f aca="false">IF(OR(COUNTIF('Attendance 11 MALES'!$D$2:$D$41,D6)=0,COUNTIF('Participation 11 MALES'!$D$2:$D$42,D6)=0),"CHECK ID",IFERROR(VLOOKUP(D6,'Attendance 11 MALES'!$D$2:$AE$41,28,FALSE())+VLOOKUP(D6,'Participation 11 MALES'!$D$2:$AD$42,27,FALSE()),"CHECK ID"))</f>
        <v>147</v>
      </c>
    </row>
    <row r="7" customFormat="false" ht="21.75" hidden="false" customHeight="true" outlineLevel="0" collapsed="false">
      <c r="A7" s="3" t="n">
        <v>6</v>
      </c>
      <c r="B7" s="3" t="s">
        <v>481</v>
      </c>
      <c r="C7" s="4" t="s">
        <v>482</v>
      </c>
      <c r="D7" s="3" t="s">
        <v>483</v>
      </c>
      <c r="E7" s="3" t="n">
        <f aca="false">IF(OR(COUNTIF('Attendance 11 MALES'!$D$2:$D$41,D7)=0,COUNTIF('Participation 11 MALES'!$D$2:$D$42,D7)=0),"CHECK ID",IFERROR(VLOOKUP(D7,'Attendance 11 MALES'!$D$2:$AE$41,28,FALSE())+VLOOKUP(D7,'Participation 11 MALES'!$D$2:$AD$42,27,FALSE()),"CHECK ID"))</f>
        <v>160</v>
      </c>
    </row>
    <row r="8" customFormat="false" ht="21.75" hidden="false" customHeight="true" outlineLevel="0" collapsed="false">
      <c r="A8" s="3" t="n">
        <v>7</v>
      </c>
      <c r="B8" s="3" t="s">
        <v>484</v>
      </c>
      <c r="C8" s="4" t="s">
        <v>485</v>
      </c>
      <c r="D8" s="3" t="s">
        <v>486</v>
      </c>
      <c r="E8" s="3" t="n">
        <f aca="false">IF(OR(COUNTIF('Attendance 11 MALES'!$D$2:$D$41,D8)=0,COUNTIF('Participation 11 MALES'!$D$2:$D$42,D8)=0),"CHECK ID",IFERROR(VLOOKUP(D8,'Attendance 11 MALES'!$D$2:$AE$41,28,FALSE())+VLOOKUP(D8,'Participation 11 MALES'!$D$2:$AD$42,27,FALSE()),"CHECK ID"))</f>
        <v>155</v>
      </c>
    </row>
    <row r="9" customFormat="false" ht="21.75" hidden="false" customHeight="true" outlineLevel="0" collapsed="false">
      <c r="A9" s="3" t="n">
        <v>8</v>
      </c>
      <c r="B9" s="3" t="s">
        <v>487</v>
      </c>
      <c r="C9" s="4" t="s">
        <v>488</v>
      </c>
      <c r="D9" s="3" t="s">
        <v>489</v>
      </c>
      <c r="E9" s="3" t="n">
        <f aca="false">IF(OR(COUNTIF('Attendance 11 MALES'!$D$2:$D$41,D9)=0,COUNTIF('Participation 11 MALES'!$D$2:$D$42,D9)=0),"CHECK ID",IFERROR(VLOOKUP(D9,'Attendance 11 MALES'!$D$2:$AE$41,28,FALSE())+VLOOKUP(D9,'Participation 11 MALES'!$D$2:$AD$42,27,FALSE()),"CHECK ID"))</f>
        <v>170</v>
      </c>
    </row>
    <row r="10" customFormat="false" ht="21.75" hidden="false" customHeight="true" outlineLevel="0" collapsed="false">
      <c r="A10" s="3" t="n">
        <v>9</v>
      </c>
      <c r="B10" s="3" t="s">
        <v>490</v>
      </c>
      <c r="C10" s="4" t="s">
        <v>491</v>
      </c>
      <c r="D10" s="3" t="s">
        <v>492</v>
      </c>
      <c r="E10" s="3" t="n">
        <f aca="false">IF(OR(COUNTIF('Attendance 11 MALES'!$D$2:$D$41,D10)=0,COUNTIF('Participation 11 MALES'!$D$2:$D$42,D10)=0),"CHECK ID",IFERROR(VLOOKUP(D10,'Attendance 11 MALES'!$D$2:$AE$41,28,FALSE())+VLOOKUP(D10,'Participation 11 MALES'!$D$2:$AD$42,27,FALSE()),"CHECK ID"))</f>
        <v>167</v>
      </c>
    </row>
    <row r="11" customFormat="false" ht="21.75" hidden="false" customHeight="true" outlineLevel="0" collapsed="false">
      <c r="A11" s="3" t="n">
        <v>10</v>
      </c>
      <c r="B11" s="3" t="s">
        <v>493</v>
      </c>
      <c r="C11" s="4" t="s">
        <v>494</v>
      </c>
      <c r="D11" s="3" t="s">
        <v>495</v>
      </c>
      <c r="E11" s="3" t="n">
        <f aca="false">IF(OR(COUNTIF('Attendance 11 MALES'!$D$2:$D$41,D11)=0,COUNTIF('Participation 11 MALES'!$D$2:$D$42,D11)=0),"CHECK ID",IFERROR(VLOOKUP(D11,'Attendance 11 MALES'!$D$2:$AE$41,28,FALSE())+VLOOKUP(D11,'Participation 11 MALES'!$D$2:$AD$42,27,FALSE()),"CHECK ID"))</f>
        <v>209</v>
      </c>
    </row>
    <row r="12" customFormat="false" ht="21.75" hidden="false" customHeight="true" outlineLevel="0" collapsed="false">
      <c r="A12" s="3" t="n">
        <v>11</v>
      </c>
      <c r="B12" s="3" t="s">
        <v>496</v>
      </c>
      <c r="C12" s="4" t="s">
        <v>497</v>
      </c>
      <c r="D12" s="3" t="s">
        <v>498</v>
      </c>
      <c r="E12" s="3" t="n">
        <f aca="false">IF(OR(COUNTIF('Attendance 11 MALES'!$D$2:$D$41,D12)=0,COUNTIF('Participation 11 MALES'!$D$2:$D$42,D12)=0),"CHECK ID",IFERROR(VLOOKUP(D12,'Attendance 11 MALES'!$D$2:$AE$41,28,FALSE())+VLOOKUP(D12,'Participation 11 MALES'!$D$2:$AD$42,27,FALSE()),"CHECK ID"))</f>
        <v>171</v>
      </c>
    </row>
    <row r="13" customFormat="false" ht="21.75" hidden="false" customHeight="true" outlineLevel="0" collapsed="false">
      <c r="A13" s="3" t="n">
        <v>12</v>
      </c>
      <c r="B13" s="3" t="s">
        <v>499</v>
      </c>
      <c r="C13" s="4" t="s">
        <v>500</v>
      </c>
      <c r="D13" s="3" t="s">
        <v>501</v>
      </c>
      <c r="E13" s="3" t="n">
        <f aca="false">IF(OR(COUNTIF('Attendance 11 MALES'!$D$2:$D$41,D13)=0,COUNTIF('Participation 11 MALES'!$D$2:$D$42,D13)=0),"CHECK ID",IFERROR(VLOOKUP(D13,'Attendance 11 MALES'!$D$2:$AE$41,28,FALSE())+VLOOKUP(D13,'Participation 11 MALES'!$D$2:$AD$42,27,FALSE()),"CHECK ID"))</f>
        <v>169</v>
      </c>
    </row>
    <row r="14" customFormat="false" ht="21.75" hidden="false" customHeight="true" outlineLevel="0" collapsed="false">
      <c r="A14" s="3" t="n">
        <v>13</v>
      </c>
      <c r="B14" s="3" t="s">
        <v>502</v>
      </c>
      <c r="C14" s="4" t="s">
        <v>503</v>
      </c>
      <c r="D14" s="3" t="s">
        <v>504</v>
      </c>
      <c r="E14" s="3" t="n">
        <f aca="false">IF(OR(COUNTIF('Attendance 11 MALES'!$D$2:$D$41,D14)=0,COUNTIF('Participation 11 MALES'!$D$2:$D$42,D14)=0),"CHECK ID",IFERROR(VLOOKUP(D14,'Attendance 11 MALES'!$D$2:$AE$41,28,FALSE())+VLOOKUP(D14,'Participation 11 MALES'!$D$2:$AD$42,27,FALSE()),"CHECK ID"))</f>
        <v>145</v>
      </c>
    </row>
    <row r="15" customFormat="false" ht="21.75" hidden="false" customHeight="true" outlineLevel="0" collapsed="false">
      <c r="A15" s="3" t="n">
        <v>14</v>
      </c>
      <c r="B15" s="3" t="s">
        <v>505</v>
      </c>
      <c r="C15" s="4" t="s">
        <v>506</v>
      </c>
      <c r="D15" s="3" t="s">
        <v>507</v>
      </c>
      <c r="E15" s="3" t="n">
        <f aca="false">IF(OR(COUNTIF('Attendance 11 MALES'!$D$2:$D$41,D15)=0,COUNTIF('Participation 11 MALES'!$D$2:$D$42,D15)=0),"CHECK ID",IFERROR(VLOOKUP(D15,'Attendance 11 MALES'!$D$2:$AE$41,28,FALSE())+VLOOKUP(D15,'Participation 11 MALES'!$D$2:$AD$42,27,FALSE()),"CHECK ID"))</f>
        <v>141</v>
      </c>
    </row>
    <row r="16" customFormat="false" ht="21.75" hidden="false" customHeight="true" outlineLevel="0" collapsed="false">
      <c r="A16" s="3" t="n">
        <v>15</v>
      </c>
      <c r="B16" s="3" t="s">
        <v>508</v>
      </c>
      <c r="C16" s="4" t="s">
        <v>509</v>
      </c>
      <c r="D16" s="3" t="s">
        <v>510</v>
      </c>
      <c r="E16" s="3" t="n">
        <f aca="false">IF(OR(COUNTIF('Attendance 11 MALES'!$D$2:$D$41,D16)=0,COUNTIF('Participation 11 MALES'!$D$2:$D$42,D16)=0),"CHECK ID",IFERROR(VLOOKUP(D16,'Attendance 11 MALES'!$D$2:$AE$41,28,FALSE())+VLOOKUP(D16,'Participation 11 MALES'!$D$2:$AD$42,27,FALSE()),"CHECK ID"))</f>
        <v>188</v>
      </c>
    </row>
    <row r="17" customFormat="false" ht="21.75" hidden="false" customHeight="true" outlineLevel="0" collapsed="false">
      <c r="A17" s="3" t="n">
        <v>16</v>
      </c>
      <c r="B17" s="3" t="s">
        <v>511</v>
      </c>
      <c r="C17" s="4" t="s">
        <v>512</v>
      </c>
      <c r="D17" s="3" t="s">
        <v>513</v>
      </c>
      <c r="E17" s="3" t="n">
        <f aca="false">IF(OR(COUNTIF('Attendance 11 MALES'!$D$2:$D$41,D17)=0,COUNTIF('Participation 11 MALES'!$D$2:$D$42,D17)=0),"CHECK ID",IFERROR(VLOOKUP(D17,'Attendance 11 MALES'!$D$2:$AE$41,28,FALSE())+VLOOKUP(D17,'Participation 11 MALES'!$D$2:$AD$42,27,FALSE()),"CHECK ID"))</f>
        <v>167</v>
      </c>
    </row>
    <row r="18" customFormat="false" ht="21.75" hidden="false" customHeight="true" outlineLevel="0" collapsed="false">
      <c r="A18" s="3" t="n">
        <v>17</v>
      </c>
      <c r="B18" s="3" t="s">
        <v>514</v>
      </c>
      <c r="C18" s="4" t="s">
        <v>515</v>
      </c>
      <c r="D18" s="3" t="s">
        <v>516</v>
      </c>
      <c r="E18" s="3" t="n">
        <f aca="false">IF(OR(COUNTIF('Attendance 11 MALES'!$D$2:$D$41,D18)=0,COUNTIF('Participation 11 MALES'!$D$2:$D$42,D18)=0),"CHECK ID",IFERROR(VLOOKUP(D18,'Attendance 11 MALES'!$D$2:$AE$41,28,FALSE())+VLOOKUP(D18,'Participation 11 MALES'!$D$2:$AD$42,27,FALSE()),"CHECK ID"))</f>
        <v>171</v>
      </c>
    </row>
    <row r="19" customFormat="false" ht="21.75" hidden="false" customHeight="true" outlineLevel="0" collapsed="false">
      <c r="A19" s="3" t="n">
        <v>18</v>
      </c>
      <c r="B19" s="3" t="s">
        <v>517</v>
      </c>
      <c r="C19" s="4" t="s">
        <v>518</v>
      </c>
      <c r="D19" s="3" t="s">
        <v>519</v>
      </c>
      <c r="E19" s="3" t="n">
        <f aca="false">IF(OR(COUNTIF('Attendance 11 MALES'!$D$2:$D$41,D19)=0,COUNTIF('Participation 11 MALES'!$D$2:$D$42,D19)=0),"CHECK ID",IFERROR(VLOOKUP(D19,'Attendance 11 MALES'!$D$2:$AE$41,28,FALSE())+VLOOKUP(D19,'Participation 11 MALES'!$D$2:$AD$42,27,FALSE()),"CHECK ID"))</f>
        <v>133</v>
      </c>
    </row>
    <row r="20" customFormat="false" ht="21.75" hidden="false" customHeight="true" outlineLevel="0" collapsed="false">
      <c r="A20" s="3" t="n">
        <v>19</v>
      </c>
      <c r="B20" s="3" t="s">
        <v>520</v>
      </c>
      <c r="C20" s="4" t="s">
        <v>521</v>
      </c>
      <c r="D20" s="3" t="s">
        <v>522</v>
      </c>
      <c r="E20" s="3" t="n">
        <f aca="false">IF(OR(COUNTIF('Attendance 11 MALES'!$D$2:$D$41,D20)=0,COUNTIF('Participation 11 MALES'!$D$2:$D$42,D20)=0),"CHECK ID",IFERROR(VLOOKUP(D20,'Attendance 11 MALES'!$D$2:$AE$41,28,FALSE())+VLOOKUP(D20,'Participation 11 MALES'!$D$2:$AD$42,27,FALSE()),"CHECK ID"))</f>
        <v>168</v>
      </c>
    </row>
    <row r="21" customFormat="false" ht="21.75" hidden="false" customHeight="true" outlineLevel="0" collapsed="false">
      <c r="A21" s="3" t="n">
        <v>20</v>
      </c>
      <c r="B21" s="3" t="s">
        <v>523</v>
      </c>
      <c r="C21" s="4" t="s">
        <v>524</v>
      </c>
      <c r="D21" s="3" t="s">
        <v>525</v>
      </c>
      <c r="E21" s="3" t="n">
        <f aca="false">IF(OR(COUNTIF('Attendance 11 MALES'!$D$2:$D$41,D21)=0,COUNTIF('Participation 11 MALES'!$D$2:$D$42,D21)=0),"CHECK ID",IFERROR(VLOOKUP(D21,'Attendance 11 MALES'!$D$2:$AE$41,28,FALSE())+VLOOKUP(D21,'Participation 11 MALES'!$D$2:$AD$42,27,FALSE()),"CHECK ID"))</f>
        <v>169</v>
      </c>
    </row>
    <row r="22" customFormat="false" ht="21.75" hidden="false" customHeight="true" outlineLevel="0" collapsed="false">
      <c r="A22" s="3" t="n">
        <v>21</v>
      </c>
      <c r="B22" s="3" t="s">
        <v>526</v>
      </c>
      <c r="C22" s="4" t="s">
        <v>527</v>
      </c>
      <c r="D22" s="3" t="s">
        <v>528</v>
      </c>
      <c r="E22" s="3" t="n">
        <f aca="false">IF(OR(COUNTIF('Attendance 11 MALES'!$D$2:$D$41,D22)=0,COUNTIF('Participation 11 MALES'!$D$2:$D$42,D22)=0),"CHECK ID",IFERROR(VLOOKUP(D22,'Attendance 11 MALES'!$D$2:$AE$41,28,FALSE())+VLOOKUP(D22,'Participation 11 MALES'!$D$2:$AD$42,27,FALSE()),"CHECK ID"))</f>
        <v>147</v>
      </c>
    </row>
    <row r="23" customFormat="false" ht="21.75" hidden="false" customHeight="true" outlineLevel="0" collapsed="false">
      <c r="A23" s="3" t="n">
        <v>22</v>
      </c>
      <c r="B23" s="3" t="s">
        <v>529</v>
      </c>
      <c r="C23" s="4" t="s">
        <v>530</v>
      </c>
      <c r="D23" s="3" t="s">
        <v>531</v>
      </c>
      <c r="E23" s="3" t="n">
        <f aca="false">IF(OR(COUNTIF('Attendance 11 MALES'!$D$2:$D$41,D23)=0,COUNTIF('Participation 11 MALES'!$D$2:$D$42,D23)=0),"CHECK ID",IFERROR(VLOOKUP(D23,'Attendance 11 MALES'!$D$2:$AE$41,28,FALSE())+VLOOKUP(D23,'Participation 11 MALES'!$D$2:$AD$42,27,FALSE()),"CHECK ID"))</f>
        <v>156</v>
      </c>
    </row>
    <row r="24" customFormat="false" ht="21.75" hidden="false" customHeight="true" outlineLevel="0" collapsed="false">
      <c r="A24" s="3" t="n">
        <v>23</v>
      </c>
      <c r="B24" s="3" t="s">
        <v>532</v>
      </c>
      <c r="C24" s="4" t="s">
        <v>533</v>
      </c>
      <c r="D24" s="3" t="s">
        <v>534</v>
      </c>
      <c r="E24" s="3" t="n">
        <f aca="false">IF(OR(COUNTIF('Attendance 11 MALES'!$D$2:$D$41,D24)=0,COUNTIF('Participation 11 MALES'!$D$2:$D$42,D24)=0),"CHECK ID",IFERROR(VLOOKUP(D24,'Attendance 11 MALES'!$D$2:$AE$41,28,FALSE())+VLOOKUP(D24,'Participation 11 MALES'!$D$2:$AD$42,27,FALSE()),"CHECK ID"))</f>
        <v>158</v>
      </c>
    </row>
    <row r="25" customFormat="false" ht="21.75" hidden="false" customHeight="true" outlineLevel="0" collapsed="false">
      <c r="A25" s="3" t="n">
        <v>24</v>
      </c>
      <c r="B25" s="3" t="s">
        <v>535</v>
      </c>
      <c r="C25" s="4" t="s">
        <v>536</v>
      </c>
      <c r="D25" s="3" t="s">
        <v>537</v>
      </c>
      <c r="E25" s="3" t="n">
        <f aca="false">IF(OR(COUNTIF('Attendance 11 MALES'!$D$2:$D$41,D25)=0,COUNTIF('Participation 11 MALES'!$D$2:$D$42,D25)=0),"CHECK ID",IFERROR(VLOOKUP(D25,'Attendance 11 MALES'!$D$2:$AE$41,28,FALSE())+VLOOKUP(D25,'Participation 11 MALES'!$D$2:$AD$42,27,FALSE()),"CHECK ID"))</f>
        <v>157</v>
      </c>
    </row>
    <row r="26" customFormat="false" ht="21.75" hidden="false" customHeight="true" outlineLevel="0" collapsed="false">
      <c r="A26" s="3" t="n">
        <v>25</v>
      </c>
      <c r="B26" s="3" t="s">
        <v>538</v>
      </c>
      <c r="C26" s="4" t="s">
        <v>539</v>
      </c>
      <c r="D26" s="3" t="s">
        <v>540</v>
      </c>
      <c r="E26" s="3" t="n">
        <f aca="false">IF(OR(COUNTIF('Attendance 11 MALES'!$D$2:$D$41,D26)=0,COUNTIF('Participation 11 MALES'!$D$2:$D$42,D26)=0),"CHECK ID",IFERROR(VLOOKUP(D26,'Attendance 11 MALES'!$D$2:$AE$41,28,FALSE())+VLOOKUP(D26,'Participation 11 MALES'!$D$2:$AD$42,27,FALSE()),"CHECK ID"))</f>
        <v>177</v>
      </c>
    </row>
    <row r="27" customFormat="false" ht="21.75" hidden="false" customHeight="true" outlineLevel="0" collapsed="false">
      <c r="A27" s="3" t="n">
        <v>26</v>
      </c>
      <c r="B27" s="3" t="s">
        <v>541</v>
      </c>
      <c r="C27" s="4" t="s">
        <v>542</v>
      </c>
      <c r="D27" s="3" t="s">
        <v>543</v>
      </c>
      <c r="E27" s="3" t="n">
        <f aca="false">IF(OR(COUNTIF('Attendance 11 MALES'!$D$2:$D$41,D27)=0,COUNTIF('Participation 11 MALES'!$D$2:$D$42,D27)=0),"CHECK ID",IFERROR(VLOOKUP(D27,'Attendance 11 MALES'!$D$2:$AE$41,28,FALSE())+VLOOKUP(D27,'Participation 11 MALES'!$D$2:$AD$42,27,FALSE()),"CHECK ID"))</f>
        <v>170</v>
      </c>
    </row>
    <row r="28" customFormat="false" ht="21.75" hidden="false" customHeight="true" outlineLevel="0" collapsed="false">
      <c r="A28" s="3" t="n">
        <v>27</v>
      </c>
      <c r="B28" s="3" t="s">
        <v>544</v>
      </c>
      <c r="C28" s="4" t="s">
        <v>545</v>
      </c>
      <c r="D28" s="3" t="s">
        <v>546</v>
      </c>
      <c r="E28" s="3" t="n">
        <f aca="false">IF(OR(COUNTIF('Attendance 11 MALES'!$D$2:$D$41,D28)=0,COUNTIF('Participation 11 MALES'!$D$2:$D$42,D28)=0),"CHECK ID",IFERROR(VLOOKUP(D28,'Attendance 11 MALES'!$D$2:$AE$41,28,FALSE())+VLOOKUP(D28,'Participation 11 MALES'!$D$2:$AD$42,27,FALSE()),"CHECK ID"))</f>
        <v>204</v>
      </c>
    </row>
    <row r="29" customFormat="false" ht="21.75" hidden="false" customHeight="true" outlineLevel="0" collapsed="false">
      <c r="A29" s="3" t="n">
        <v>28</v>
      </c>
      <c r="B29" s="3" t="s">
        <v>547</v>
      </c>
      <c r="C29" s="4" t="s">
        <v>548</v>
      </c>
      <c r="D29" s="3" t="s">
        <v>549</v>
      </c>
      <c r="E29" s="3" t="n">
        <f aca="false">IF(OR(COUNTIF('Attendance 11 MALES'!$D$2:$D$41,D29)=0,COUNTIF('Participation 11 MALES'!$D$2:$D$42,D29)=0),"CHECK ID",IFERROR(VLOOKUP(D29,'Attendance 11 MALES'!$D$2:$AE$41,28,FALSE())+VLOOKUP(D29,'Participation 11 MALES'!$D$2:$AD$42,27,FALSE()),"CHECK ID"))</f>
        <v>115</v>
      </c>
    </row>
    <row r="30" customFormat="false" ht="21.75" hidden="false" customHeight="true" outlineLevel="0" collapsed="false">
      <c r="A30" s="3" t="n">
        <v>29</v>
      </c>
      <c r="B30" s="3" t="s">
        <v>550</v>
      </c>
      <c r="C30" s="4" t="s">
        <v>551</v>
      </c>
      <c r="D30" s="3" t="s">
        <v>552</v>
      </c>
      <c r="E30" s="3" t="n">
        <f aca="false">IF(OR(COUNTIF('Attendance 11 MALES'!$D$2:$D$41,D30)=0,COUNTIF('Participation 11 MALES'!$D$2:$D$42,D30)=0),"CHECK ID",IFERROR(VLOOKUP(D30,'Attendance 11 MALES'!$D$2:$AE$41,28,FALSE())+VLOOKUP(D30,'Participation 11 MALES'!$D$2:$AD$42,27,FALSE()),"CHECK ID"))</f>
        <v>153</v>
      </c>
    </row>
    <row r="31" customFormat="false" ht="21.75" hidden="false" customHeight="true" outlineLevel="0" collapsed="false">
      <c r="A31" s="3" t="n">
        <v>30</v>
      </c>
      <c r="B31" s="3" t="s">
        <v>553</v>
      </c>
      <c r="C31" s="4" t="s">
        <v>554</v>
      </c>
      <c r="D31" s="3" t="s">
        <v>555</v>
      </c>
      <c r="E31" s="3" t="n">
        <f aca="false">IF(OR(COUNTIF('Attendance 11 MALES'!$D$2:$D$41,D31)=0,COUNTIF('Participation 11 MALES'!$D$2:$D$42,D31)=0),"CHECK ID",IFERROR(VLOOKUP(D31,'Attendance 11 MALES'!$D$2:$AE$41,28,FALSE())+VLOOKUP(D31,'Participation 11 MALES'!$D$2:$AD$42,27,FALSE()),"CHECK ID"))</f>
        <v>183</v>
      </c>
    </row>
    <row r="32" customFormat="false" ht="21.75" hidden="false" customHeight="true" outlineLevel="0" collapsed="false">
      <c r="A32" s="3" t="n">
        <v>31</v>
      </c>
      <c r="B32" s="3" t="s">
        <v>556</v>
      </c>
      <c r="C32" s="4" t="s">
        <v>557</v>
      </c>
      <c r="D32" s="3" t="s">
        <v>558</v>
      </c>
      <c r="E32" s="3" t="n">
        <f aca="false">IF(OR(COUNTIF('Attendance 11 MALES'!$D$2:$D$41,D32)=0,COUNTIF('Participation 11 MALES'!$D$2:$D$42,D32)=0),"CHECK ID",IFERROR(VLOOKUP(D32,'Attendance 11 MALES'!$D$2:$AE$41,28,FALSE())+VLOOKUP(D32,'Participation 11 MALES'!$D$2:$AD$42,27,FALSE()),"CHECK ID"))</f>
        <v>149</v>
      </c>
    </row>
    <row r="33" customFormat="false" ht="21.75" hidden="false" customHeight="true" outlineLevel="0" collapsed="false">
      <c r="A33" s="3" t="n">
        <v>32</v>
      </c>
      <c r="B33" s="3" t="s">
        <v>559</v>
      </c>
      <c r="C33" s="4" t="s">
        <v>560</v>
      </c>
      <c r="D33" s="3" t="s">
        <v>561</v>
      </c>
      <c r="E33" s="3" t="n">
        <f aca="false">IF(OR(COUNTIF('Attendance 11 MALES'!$D$2:$D$41,D33)=0,COUNTIF('Participation 11 MALES'!$D$2:$D$42,D33)=0),"CHECK ID",IFERROR(VLOOKUP(D33,'Attendance 11 MALES'!$D$2:$AE$41,28,FALSE())+VLOOKUP(D33,'Participation 11 MALES'!$D$2:$AD$42,27,FALSE()),"CHECK ID"))</f>
        <v>116</v>
      </c>
    </row>
    <row r="34" customFormat="false" ht="21.75" hidden="false" customHeight="true" outlineLevel="0" collapsed="false">
      <c r="A34" s="3" t="n">
        <v>33</v>
      </c>
      <c r="B34" s="3" t="s">
        <v>562</v>
      </c>
      <c r="C34" s="4" t="s">
        <v>563</v>
      </c>
      <c r="D34" s="3" t="s">
        <v>564</v>
      </c>
      <c r="E34" s="3" t="n">
        <f aca="false">IF(OR(COUNTIF('Attendance 11 MALES'!$D$2:$D$41,D34)=0,COUNTIF('Participation 11 MALES'!$D$2:$D$42,D34)=0),"CHECK ID",IFERROR(VLOOKUP(D34,'Attendance 11 MALES'!$D$2:$AE$41,28,FALSE())+VLOOKUP(D34,'Participation 11 MALES'!$D$2:$AD$42,27,FALSE()),"CHECK ID"))</f>
        <v>175</v>
      </c>
    </row>
    <row r="35" customFormat="false" ht="21.75" hidden="false" customHeight="true" outlineLevel="0" collapsed="false">
      <c r="A35" s="3" t="n">
        <v>34</v>
      </c>
      <c r="B35" s="3" t="s">
        <v>565</v>
      </c>
      <c r="C35" s="4" t="s">
        <v>566</v>
      </c>
      <c r="D35" s="3" t="s">
        <v>567</v>
      </c>
      <c r="E35" s="3" t="n">
        <f aca="false">IF(OR(COUNTIF('Attendance 11 MALES'!$D$2:$D$41,D35)=0,COUNTIF('Participation 11 MALES'!$D$2:$D$42,D35)=0),"CHECK ID",IFERROR(VLOOKUP(D35,'Attendance 11 MALES'!$D$2:$AE$41,28,FALSE())+VLOOKUP(D35,'Participation 11 MALES'!$D$2:$AD$42,27,FALSE()),"CHECK ID"))</f>
        <v>140</v>
      </c>
    </row>
    <row r="36" customFormat="false" ht="21.75" hidden="false" customHeight="true" outlineLevel="0" collapsed="false">
      <c r="A36" s="3" t="n">
        <v>35</v>
      </c>
      <c r="B36" s="3" t="s">
        <v>568</v>
      </c>
      <c r="C36" s="4" t="s">
        <v>569</v>
      </c>
      <c r="D36" s="3" t="s">
        <v>570</v>
      </c>
      <c r="E36" s="3" t="n">
        <f aca="false">IF(OR(COUNTIF('Attendance 11 MALES'!$D$2:$D$41,D36)=0,COUNTIF('Participation 11 MALES'!$D$2:$D$42,D36)=0),"CHECK ID",IFERROR(VLOOKUP(D36,'Attendance 11 MALES'!$D$2:$AE$41,28,FALSE())+VLOOKUP(D36,'Participation 11 MALES'!$D$2:$AD$42,27,FALSE()),"CHECK ID"))</f>
        <v>82</v>
      </c>
    </row>
  </sheetData>
  <autoFilter ref="A1:E36"/>
  <conditionalFormatting sqref="B1:E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H18" activeCellId="0" sqref="H1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8" min="7" style="0" width="13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customFormat="false" ht="21.75" hidden="false" customHeight="true" outlineLevel="0" collapsed="false">
      <c r="A2" s="3" t="n">
        <v>1</v>
      </c>
      <c r="B2" s="3" t="s">
        <v>583</v>
      </c>
      <c r="C2" s="4" t="s">
        <v>584</v>
      </c>
      <c r="D2" s="3" t="s">
        <v>585</v>
      </c>
      <c r="E2" s="3" t="n">
        <f aca="false">IF(OR(COUNTIF('Attendance 12 MALES'!$D$2:$D$34,D2)=0,COUNTIF('Participation 12 MALES'!$D$2:$D$34,D2)=0),"CHECK ID",IFERROR(VLOOKUP(D2,'Attendance 12 MALES'!$D$2:$AE$34,28,FALSE())+VLOOKUP(D2,'Participation 12 MALES'!$D$2:$AD$34,27,FALSE()),"CHECK ID"))</f>
        <v>131</v>
      </c>
    </row>
    <row r="3" customFormat="false" ht="21.75" hidden="false" customHeight="true" outlineLevel="0" collapsed="false">
      <c r="A3" s="3" t="n">
        <v>2</v>
      </c>
      <c r="B3" s="3" t="s">
        <v>586</v>
      </c>
      <c r="C3" s="4" t="s">
        <v>587</v>
      </c>
      <c r="D3" s="3" t="s">
        <v>588</v>
      </c>
      <c r="E3" s="3" t="n">
        <f aca="false">IF(OR(COUNTIF('Attendance 12 MALES'!$D$2:$D$34,D3)=0,COUNTIF('Participation 12 MALES'!$D$2:$D$34,D3)=0),"CHECK ID",IFERROR(VLOOKUP(D3,'Attendance 12 MALES'!$D$2:$AE$34,28,FALSE())+VLOOKUP(D3,'Participation 12 MALES'!$D$2:$AD$34,27,FALSE()),"CHECK ID"))</f>
        <v>178</v>
      </c>
    </row>
    <row r="4" customFormat="false" ht="21.75" hidden="false" customHeight="true" outlineLevel="0" collapsed="false">
      <c r="A4" s="3" t="n">
        <v>3</v>
      </c>
      <c r="B4" s="3" t="s">
        <v>589</v>
      </c>
      <c r="C4" s="4" t="s">
        <v>590</v>
      </c>
      <c r="D4" s="3" t="s">
        <v>591</v>
      </c>
      <c r="E4" s="3" t="n">
        <f aca="false">IF(OR(COUNTIF('Attendance 12 MALES'!$D$2:$D$34,D4)=0,COUNTIF('Participation 12 MALES'!$D$2:$D$34,D4)=0),"CHECK ID",IFERROR(VLOOKUP(D4,'Attendance 12 MALES'!$D$2:$AE$34,28,FALSE())+VLOOKUP(D4,'Participation 12 MALES'!$D$2:$AD$34,27,FALSE()),"CHECK ID"))</f>
        <v>100</v>
      </c>
    </row>
    <row r="5" customFormat="false" ht="21.75" hidden="false" customHeight="true" outlineLevel="0" collapsed="false">
      <c r="A5" s="3" t="n">
        <v>4</v>
      </c>
      <c r="B5" s="3" t="s">
        <v>592</v>
      </c>
      <c r="C5" s="4" t="s">
        <v>593</v>
      </c>
      <c r="D5" s="3" t="s">
        <v>594</v>
      </c>
      <c r="E5" s="3" t="n">
        <f aca="false">IF(OR(COUNTIF('Attendance 12 MALES'!$D$2:$D$34,D5)=0,COUNTIF('Participation 12 MALES'!$D$2:$D$34,D5)=0),"CHECK ID",IFERROR(VLOOKUP(D5,'Attendance 12 MALES'!$D$2:$AE$34,28,FALSE())+VLOOKUP(D5,'Participation 12 MALES'!$D$2:$AD$34,27,FALSE()),"CHECK ID"))</f>
        <v>111</v>
      </c>
    </row>
    <row r="6" customFormat="false" ht="21.75" hidden="false" customHeight="true" outlineLevel="0" collapsed="false">
      <c r="A6" s="3" t="n">
        <v>5</v>
      </c>
      <c r="B6" s="3" t="s">
        <v>595</v>
      </c>
      <c r="C6" s="4" t="s">
        <v>596</v>
      </c>
      <c r="D6" s="3" t="s">
        <v>597</v>
      </c>
      <c r="E6" s="3" t="n">
        <f aca="false">IF(OR(COUNTIF('Attendance 12 MALES'!$D$2:$D$34,D6)=0,COUNTIF('Participation 12 MALES'!$D$2:$D$34,D6)=0),"CHECK ID",IFERROR(VLOOKUP(D6,'Attendance 12 MALES'!$D$2:$AE$34,28,FALSE())+VLOOKUP(D6,'Participation 12 MALES'!$D$2:$AD$34,27,FALSE()),"CHECK ID"))</f>
        <v>142</v>
      </c>
    </row>
    <row r="7" customFormat="false" ht="21.75" hidden="false" customHeight="true" outlineLevel="0" collapsed="false">
      <c r="A7" s="3" t="n">
        <v>6</v>
      </c>
      <c r="B7" s="3" t="s">
        <v>598</v>
      </c>
      <c r="C7" s="4" t="s">
        <v>599</v>
      </c>
      <c r="D7" s="3" t="s">
        <v>600</v>
      </c>
      <c r="E7" s="3" t="n">
        <f aca="false">IF(OR(COUNTIF('Attendance 12 MALES'!$D$2:$D$34,D7)=0,COUNTIF('Participation 12 MALES'!$D$2:$D$34,D7)=0),"CHECK ID",IFERROR(VLOOKUP(D7,'Attendance 12 MALES'!$D$2:$AE$34,28,FALSE())+VLOOKUP(D7,'Participation 12 MALES'!$D$2:$AD$34,27,FALSE()),"CHECK ID"))</f>
        <v>179</v>
      </c>
    </row>
    <row r="8" customFormat="false" ht="21.75" hidden="false" customHeight="true" outlineLevel="0" collapsed="false">
      <c r="A8" s="3" t="n">
        <v>7</v>
      </c>
      <c r="B8" s="3" t="s">
        <v>601</v>
      </c>
      <c r="C8" s="4" t="s">
        <v>602</v>
      </c>
      <c r="D8" s="3" t="s">
        <v>603</v>
      </c>
      <c r="E8" s="3" t="n">
        <f aca="false">IF(OR(COUNTIF('Attendance 12 MALES'!$D$2:$D$34,D8)=0,COUNTIF('Participation 12 MALES'!$D$2:$D$34,D8)=0),"CHECK ID",IFERROR(VLOOKUP(D8,'Attendance 12 MALES'!$D$2:$AE$34,28,FALSE())+VLOOKUP(D8,'Participation 12 MALES'!$D$2:$AD$34,27,FALSE()),"CHECK ID"))</f>
        <v>193</v>
      </c>
    </row>
    <row r="9" customFormat="false" ht="21.75" hidden="false" customHeight="true" outlineLevel="0" collapsed="false">
      <c r="A9" s="3" t="n">
        <v>8</v>
      </c>
      <c r="B9" s="3" t="s">
        <v>604</v>
      </c>
      <c r="C9" s="4" t="s">
        <v>605</v>
      </c>
      <c r="D9" s="3" t="s">
        <v>606</v>
      </c>
      <c r="E9" s="3" t="n">
        <f aca="false">IF(OR(COUNTIF('Attendance 12 MALES'!$D$2:$D$34,D9)=0,COUNTIF('Participation 12 MALES'!$D$2:$D$34,D9)=0),"CHECK ID",IFERROR(VLOOKUP(D9,'Attendance 12 MALES'!$D$2:$AE$34,28,FALSE())+VLOOKUP(D9,'Participation 12 MALES'!$D$2:$AD$34,27,FALSE()),"CHECK ID"))</f>
        <v>187</v>
      </c>
    </row>
    <row r="10" customFormat="false" ht="21.75" hidden="false" customHeight="true" outlineLevel="0" collapsed="false">
      <c r="A10" s="3" t="n">
        <v>9</v>
      </c>
      <c r="B10" s="3" t="s">
        <v>607</v>
      </c>
      <c r="C10" s="4" t="s">
        <v>608</v>
      </c>
      <c r="D10" s="3" t="s">
        <v>609</v>
      </c>
      <c r="E10" s="3" t="n">
        <f aca="false">IF(OR(COUNTIF('Attendance 12 MALES'!$D$2:$D$34,D10)=0,COUNTIF('Participation 12 MALES'!$D$2:$D$34,D10)=0),"CHECK ID",IFERROR(VLOOKUP(D10,'Attendance 12 MALES'!$D$2:$AE$34,28,FALSE())+VLOOKUP(D10,'Participation 12 MALES'!$D$2:$AD$34,27,FALSE()),"CHECK ID"))</f>
        <v>133</v>
      </c>
    </row>
    <row r="11" customFormat="false" ht="21.75" hidden="false" customHeight="true" outlineLevel="0" collapsed="false">
      <c r="A11" s="3" t="n">
        <v>10</v>
      </c>
      <c r="B11" s="3" t="s">
        <v>610</v>
      </c>
      <c r="C11" s="4" t="s">
        <v>611</v>
      </c>
      <c r="D11" s="3" t="s">
        <v>612</v>
      </c>
      <c r="E11" s="3" t="n">
        <f aca="false">IF(OR(COUNTIF('Attendance 12 MALES'!$D$2:$D$34,D11)=0,COUNTIF('Participation 12 MALES'!$D$2:$D$34,D11)=0),"CHECK ID",IFERROR(VLOOKUP(D11,'Attendance 12 MALES'!$D$2:$AE$34,28,FALSE())+VLOOKUP(D11,'Participation 12 MALES'!$D$2:$AD$34,27,FALSE()),"CHECK ID"))</f>
        <v>65</v>
      </c>
    </row>
    <row r="12" customFormat="false" ht="21.75" hidden="false" customHeight="true" outlineLevel="0" collapsed="false">
      <c r="A12" s="3" t="n">
        <v>11</v>
      </c>
      <c r="B12" s="3" t="s">
        <v>613</v>
      </c>
      <c r="C12" s="4" t="s">
        <v>614</v>
      </c>
      <c r="D12" s="3" t="s">
        <v>615</v>
      </c>
      <c r="E12" s="3" t="n">
        <f aca="false">IF(OR(COUNTIF('Attendance 12 MALES'!$D$2:$D$34,D12)=0,COUNTIF('Participation 12 MALES'!$D$2:$D$34,D12)=0),"CHECK ID",IFERROR(VLOOKUP(D12,'Attendance 12 MALES'!$D$2:$AE$34,28,FALSE())+VLOOKUP(D12,'Participation 12 MALES'!$D$2:$AD$34,27,FALSE()),"CHECK ID"))</f>
        <v>137</v>
      </c>
    </row>
    <row r="13" customFormat="false" ht="21.75" hidden="false" customHeight="true" outlineLevel="0" collapsed="false">
      <c r="A13" s="3" t="n">
        <v>12</v>
      </c>
      <c r="B13" s="3" t="s">
        <v>616</v>
      </c>
      <c r="C13" s="4" t="s">
        <v>617</v>
      </c>
      <c r="D13" s="3" t="s">
        <v>618</v>
      </c>
      <c r="E13" s="3" t="n">
        <f aca="false">IF(OR(COUNTIF('Attendance 12 MALES'!$D$2:$D$34,D13)=0,COUNTIF('Participation 12 MALES'!$D$2:$D$34,D13)=0),"CHECK ID",IFERROR(VLOOKUP(D13,'Attendance 12 MALES'!$D$2:$AE$34,28,FALSE())+VLOOKUP(D13,'Participation 12 MALES'!$D$2:$AD$34,27,FALSE()),"CHECK ID"))</f>
        <v>163</v>
      </c>
    </row>
    <row r="14" customFormat="false" ht="21.75" hidden="false" customHeight="true" outlineLevel="0" collapsed="false">
      <c r="A14" s="3" t="n">
        <v>13</v>
      </c>
      <c r="B14" s="3" t="s">
        <v>619</v>
      </c>
      <c r="C14" s="4" t="s">
        <v>620</v>
      </c>
      <c r="D14" s="3" t="s">
        <v>621</v>
      </c>
      <c r="E14" s="3" t="n">
        <f aca="false">IF(OR(COUNTIF('Attendance 12 MALES'!$D$2:$D$34,D14)=0,COUNTIF('Participation 12 MALES'!$D$2:$D$34,D14)=0),"CHECK ID",IFERROR(VLOOKUP(D14,'Attendance 12 MALES'!$D$2:$AE$34,28,FALSE())+VLOOKUP(D14,'Participation 12 MALES'!$D$2:$AD$34,27,FALSE()),"CHECK ID"))</f>
        <v>175</v>
      </c>
    </row>
    <row r="15" customFormat="false" ht="21.75" hidden="false" customHeight="true" outlineLevel="0" collapsed="false">
      <c r="A15" s="3" t="n">
        <v>14</v>
      </c>
      <c r="B15" s="3" t="s">
        <v>622</v>
      </c>
      <c r="C15" s="4" t="s">
        <v>623</v>
      </c>
      <c r="D15" s="3" t="s">
        <v>624</v>
      </c>
      <c r="E15" s="3" t="n">
        <f aca="false">IF(OR(COUNTIF('Attendance 12 MALES'!$D$2:$D$34,D15)=0,COUNTIF('Participation 12 MALES'!$D$2:$D$34,D15)=0),"CHECK ID",IFERROR(VLOOKUP(D15,'Attendance 12 MALES'!$D$2:$AE$34,28,FALSE())+VLOOKUP(D15,'Participation 12 MALES'!$D$2:$AD$34,27,FALSE()),"CHECK ID"))</f>
        <v>163</v>
      </c>
    </row>
    <row r="16" customFormat="false" ht="21.75" hidden="false" customHeight="true" outlineLevel="0" collapsed="false">
      <c r="A16" s="3" t="n">
        <v>15</v>
      </c>
      <c r="B16" s="3" t="s">
        <v>625</v>
      </c>
      <c r="C16" s="4" t="s">
        <v>626</v>
      </c>
      <c r="D16" s="3" t="s">
        <v>627</v>
      </c>
      <c r="E16" s="3" t="n">
        <f aca="false">IF(OR(COUNTIF('Attendance 12 MALES'!$D$2:$D$34,D16)=0,COUNTIF('Participation 12 MALES'!$D$2:$D$34,D16)=0),"CHECK ID",IFERROR(VLOOKUP(D16,'Attendance 12 MALES'!$D$2:$AE$34,28,FALSE())+VLOOKUP(D16,'Participation 12 MALES'!$D$2:$AD$34,27,FALSE()),"CHECK ID"))</f>
        <v>187</v>
      </c>
    </row>
    <row r="17" customFormat="false" ht="21.75" hidden="false" customHeight="true" outlineLevel="0" collapsed="false">
      <c r="A17" s="3" t="n">
        <v>16</v>
      </c>
      <c r="B17" s="3" t="s">
        <v>628</v>
      </c>
      <c r="C17" s="4" t="s">
        <v>629</v>
      </c>
      <c r="D17" s="3" t="s">
        <v>630</v>
      </c>
      <c r="E17" s="3" t="n">
        <f aca="false">IF(OR(COUNTIF('Attendance 12 MALES'!$D$2:$D$34,D17)=0,COUNTIF('Participation 12 MALES'!$D$2:$D$34,D17)=0),"CHECK ID",IFERROR(VLOOKUP(D17,'Attendance 12 MALES'!$D$2:$AE$34,28,FALSE())+VLOOKUP(D17,'Participation 12 MALES'!$D$2:$AD$34,27,FALSE()),"CHECK ID"))</f>
        <v>122</v>
      </c>
    </row>
    <row r="18" customFormat="false" ht="21.75" hidden="false" customHeight="true" outlineLevel="0" collapsed="false">
      <c r="A18" s="3" t="n">
        <v>17</v>
      </c>
      <c r="B18" s="3" t="s">
        <v>631</v>
      </c>
      <c r="C18" s="4" t="s">
        <v>632</v>
      </c>
      <c r="D18" s="3" t="s">
        <v>633</v>
      </c>
      <c r="E18" s="3" t="n">
        <f aca="false">IF(OR(COUNTIF('Attendance 12 MALES'!$D$2:$D$34,D18)=0,COUNTIF('Participation 12 MALES'!$D$2:$D$34,D18)=0),"CHECK ID",IFERROR(VLOOKUP(D18,'Attendance 12 MALES'!$D$2:$AE$34,28,FALSE())+VLOOKUP(D18,'Participation 12 MALES'!$D$2:$AD$34,27,FALSE()),"CHECK ID"))</f>
        <v>196</v>
      </c>
      <c r="H18" s="0" t="s">
        <v>751</v>
      </c>
    </row>
    <row r="19" customFormat="false" ht="21.75" hidden="false" customHeight="true" outlineLevel="0" collapsed="false">
      <c r="A19" s="3" t="n">
        <v>18</v>
      </c>
      <c r="B19" s="3" t="s">
        <v>634</v>
      </c>
      <c r="C19" s="4" t="s">
        <v>635</v>
      </c>
      <c r="D19" s="3" t="s">
        <v>636</v>
      </c>
      <c r="E19" s="3" t="n">
        <f aca="false">IF(OR(COUNTIF('Attendance 12 MALES'!$D$2:$D$34,D19)=0,COUNTIF('Participation 12 MALES'!$D$2:$D$34,D19)=0),"CHECK ID",IFERROR(VLOOKUP(D19,'Attendance 12 MALES'!$D$2:$AE$34,28,FALSE())+VLOOKUP(D19,'Participation 12 MALES'!$D$2:$AD$34,27,FALSE()),"CHECK ID"))</f>
        <v>167</v>
      </c>
    </row>
    <row r="20" customFormat="false" ht="21.75" hidden="false" customHeight="true" outlineLevel="0" collapsed="false">
      <c r="A20" s="3" t="n">
        <v>19</v>
      </c>
      <c r="B20" s="3" t="s">
        <v>637</v>
      </c>
      <c r="C20" s="4" t="s">
        <v>638</v>
      </c>
      <c r="D20" s="3" t="s">
        <v>639</v>
      </c>
      <c r="E20" s="3" t="n">
        <f aca="false">IF(OR(COUNTIF('Attendance 12 MALES'!$D$2:$D$34,D20)=0,COUNTIF('Participation 12 MALES'!$D$2:$D$34,D20)=0),"CHECK ID",IFERROR(VLOOKUP(D20,'Attendance 12 MALES'!$D$2:$AE$34,28,FALSE())+VLOOKUP(D20,'Participation 12 MALES'!$D$2:$AD$34,27,FALSE()),"CHECK ID"))</f>
        <v>178</v>
      </c>
    </row>
    <row r="21" customFormat="false" ht="21.75" hidden="false" customHeight="true" outlineLevel="0" collapsed="false">
      <c r="A21" s="3" t="n">
        <v>20</v>
      </c>
      <c r="B21" s="3" t="s">
        <v>640</v>
      </c>
      <c r="C21" s="4" t="s">
        <v>641</v>
      </c>
      <c r="D21" s="3" t="s">
        <v>642</v>
      </c>
      <c r="E21" s="3" t="n">
        <f aca="false">IF(OR(COUNTIF('Attendance 12 MALES'!$D$2:$D$34,D21)=0,COUNTIF('Participation 12 MALES'!$D$2:$D$34,D21)=0),"CHECK ID",IFERROR(VLOOKUP(D21,'Attendance 12 MALES'!$D$2:$AE$34,28,FALSE())+VLOOKUP(D21,'Participation 12 MALES'!$D$2:$AD$34,27,FALSE()),"CHECK ID"))</f>
        <v>156</v>
      </c>
    </row>
    <row r="22" customFormat="false" ht="21.75" hidden="false" customHeight="true" outlineLevel="0" collapsed="false">
      <c r="A22" s="3" t="n">
        <v>21</v>
      </c>
      <c r="B22" s="3" t="s">
        <v>643</v>
      </c>
      <c r="C22" s="4" t="s">
        <v>644</v>
      </c>
      <c r="D22" s="3" t="s">
        <v>645</v>
      </c>
      <c r="E22" s="3" t="n">
        <f aca="false">IF(OR(COUNTIF('Attendance 12 MALES'!$D$2:$D$34,D22)=0,COUNTIF('Participation 12 MALES'!$D$2:$D$34,D22)=0),"CHECK ID",IFERROR(VLOOKUP(D22,'Attendance 12 MALES'!$D$2:$AE$34,28,FALSE())+VLOOKUP(D22,'Participation 12 MALES'!$D$2:$AD$34,27,FALSE()),"CHECK ID"))</f>
        <v>135</v>
      </c>
    </row>
    <row r="23" customFormat="false" ht="21.75" hidden="false" customHeight="true" outlineLevel="0" collapsed="false">
      <c r="A23" s="3" t="n">
        <v>22</v>
      </c>
      <c r="B23" s="3" t="s">
        <v>646</v>
      </c>
      <c r="C23" s="4" t="s">
        <v>647</v>
      </c>
      <c r="D23" s="3" t="s">
        <v>648</v>
      </c>
      <c r="E23" s="3" t="n">
        <f aca="false">IF(OR(COUNTIF('Attendance 12 MALES'!$D$2:$D$34,D23)=0,COUNTIF('Participation 12 MALES'!$D$2:$D$34,D23)=0),"CHECK ID",IFERROR(VLOOKUP(D23,'Attendance 12 MALES'!$D$2:$AE$34,28,FALSE())+VLOOKUP(D23,'Participation 12 MALES'!$D$2:$AD$34,27,FALSE()),"CHECK ID"))</f>
        <v>162</v>
      </c>
    </row>
    <row r="24" customFormat="false" ht="21.75" hidden="false" customHeight="true" outlineLevel="0" collapsed="false">
      <c r="A24" s="3" t="n">
        <v>23</v>
      </c>
      <c r="B24" s="3" t="s">
        <v>649</v>
      </c>
      <c r="C24" s="4" t="s">
        <v>650</v>
      </c>
      <c r="D24" s="3" t="s">
        <v>651</v>
      </c>
      <c r="E24" s="3" t="n">
        <f aca="false">IF(OR(COUNTIF('Attendance 12 MALES'!$D$2:$D$34,D24)=0,COUNTIF('Participation 12 MALES'!$D$2:$D$34,D24)=0),"CHECK ID",IFERROR(VLOOKUP(D24,'Attendance 12 MALES'!$D$2:$AE$34,28,FALSE())+VLOOKUP(D24,'Participation 12 MALES'!$D$2:$AD$34,27,FALSE()),"CHECK ID"))</f>
        <v>207</v>
      </c>
    </row>
    <row r="25" customFormat="false" ht="21.75" hidden="false" customHeight="true" outlineLevel="0" collapsed="false">
      <c r="A25" s="3" t="n">
        <v>24</v>
      </c>
      <c r="B25" s="3" t="s">
        <v>652</v>
      </c>
      <c r="C25" s="4" t="s">
        <v>653</v>
      </c>
      <c r="D25" s="3" t="s">
        <v>654</v>
      </c>
      <c r="E25" s="3" t="n">
        <f aca="false">IF(OR(COUNTIF('Attendance 12 MALES'!$D$2:$D$34,D25)=0,COUNTIF('Participation 12 MALES'!$D$2:$D$34,D25)=0),"CHECK ID",IFERROR(VLOOKUP(D25,'Attendance 12 MALES'!$D$2:$AE$34,28,FALSE())+VLOOKUP(D25,'Participation 12 MALES'!$D$2:$AD$34,27,FALSE()),"CHECK ID"))</f>
        <v>227</v>
      </c>
    </row>
    <row r="26" customFormat="false" ht="21.75" hidden="false" customHeight="true" outlineLevel="0" collapsed="false">
      <c r="A26" s="3" t="n">
        <v>25</v>
      </c>
      <c r="B26" s="3" t="s">
        <v>655</v>
      </c>
      <c r="C26" s="4" t="s">
        <v>656</v>
      </c>
      <c r="D26" s="3" t="s">
        <v>657</v>
      </c>
      <c r="E26" s="3" t="n">
        <f aca="false">IF(OR(COUNTIF('Attendance 12 MALES'!$D$2:$D$34,D26)=0,COUNTIF('Participation 12 MALES'!$D$2:$D$34,D26)=0),"CHECK ID",IFERROR(VLOOKUP(D26,'Attendance 12 MALES'!$D$2:$AE$34,28,FALSE())+VLOOKUP(D26,'Participation 12 MALES'!$D$2:$AD$34,27,FALSE()),"CHECK ID"))</f>
        <v>112</v>
      </c>
    </row>
    <row r="27" customFormat="false" ht="21.75" hidden="false" customHeight="true" outlineLevel="0" collapsed="false">
      <c r="A27" s="3" t="n">
        <v>26</v>
      </c>
      <c r="B27" s="3" t="s">
        <v>658</v>
      </c>
      <c r="C27" s="4" t="s">
        <v>659</v>
      </c>
      <c r="D27" s="3" t="s">
        <v>660</v>
      </c>
      <c r="E27" s="3" t="n">
        <f aca="false">IF(OR(COUNTIF('Attendance 12 MALES'!$D$2:$D$34,D27)=0,COUNTIF('Participation 12 MALES'!$D$2:$D$34,D27)=0),"CHECK ID",IFERROR(VLOOKUP(D27,'Attendance 12 MALES'!$D$2:$AE$34,28,FALSE())+VLOOKUP(D27,'Participation 12 MALES'!$D$2:$AD$34,27,FALSE()),"CHECK ID"))</f>
        <v>112</v>
      </c>
    </row>
    <row r="28" customFormat="false" ht="21.75" hidden="false" customHeight="true" outlineLevel="0" collapsed="false">
      <c r="A28" s="3" t="n">
        <v>27</v>
      </c>
      <c r="B28" s="3" t="s">
        <v>661</v>
      </c>
      <c r="C28" s="4" t="s">
        <v>662</v>
      </c>
      <c r="D28" s="3" t="s">
        <v>663</v>
      </c>
      <c r="E28" s="3" t="n">
        <f aca="false">IF(OR(COUNTIF('Attendance 12 MALES'!$D$2:$D$34,D28)=0,COUNTIF('Participation 12 MALES'!$D$2:$D$34,D28)=0),"CHECK ID",IFERROR(VLOOKUP(D28,'Attendance 12 MALES'!$D$2:$AE$34,28,FALSE())+VLOOKUP(D28,'Participation 12 MALES'!$D$2:$AD$34,27,FALSE()),"CHECK ID"))</f>
        <v>215</v>
      </c>
    </row>
    <row r="29" customFormat="false" ht="21.75" hidden="false" customHeight="true" outlineLevel="0" collapsed="false">
      <c r="A29" s="3" t="n">
        <v>28</v>
      </c>
      <c r="B29" s="3" t="s">
        <v>664</v>
      </c>
      <c r="C29" s="4" t="s">
        <v>665</v>
      </c>
      <c r="D29" s="3" t="s">
        <v>666</v>
      </c>
      <c r="E29" s="3" t="n">
        <f aca="false">IF(OR(COUNTIF('Attendance 12 MALES'!$D$2:$D$34,D29)=0,COUNTIF('Participation 12 MALES'!$D$2:$D$34,D29)=0),"CHECK ID",IFERROR(VLOOKUP(D29,'Attendance 12 MALES'!$D$2:$AE$34,28,FALSE())+VLOOKUP(D29,'Participation 12 MALES'!$D$2:$AD$34,27,FALSE()),"CHECK ID"))</f>
        <v>166</v>
      </c>
    </row>
    <row r="30" customFormat="false" ht="21.75" hidden="false" customHeight="true" outlineLevel="0" collapsed="false">
      <c r="A30" s="3" t="n">
        <v>29</v>
      </c>
      <c r="B30" s="3" t="s">
        <v>667</v>
      </c>
      <c r="C30" s="4" t="s">
        <v>668</v>
      </c>
      <c r="D30" s="3" t="s">
        <v>669</v>
      </c>
      <c r="E30" s="3" t="n">
        <f aca="false">IF(OR(COUNTIF('Attendance 12 MALES'!$D$2:$D$34,D30)=0,COUNTIF('Participation 12 MALES'!$D$2:$D$34,D30)=0),"CHECK ID",IFERROR(VLOOKUP(D30,'Attendance 12 MALES'!$D$2:$AE$34,28,FALSE())+VLOOKUP(D30,'Participation 12 MALES'!$D$2:$AD$34,27,FALSE()),"CHECK ID"))</f>
        <v>88</v>
      </c>
    </row>
    <row r="31" customFormat="false" ht="21.75" hidden="false" customHeight="true" outlineLevel="0" collapsed="false">
      <c r="A31" s="3" t="n">
        <v>30</v>
      </c>
      <c r="B31" s="3" t="s">
        <v>670</v>
      </c>
      <c r="C31" s="4" t="s">
        <v>671</v>
      </c>
      <c r="D31" s="3" t="s">
        <v>672</v>
      </c>
      <c r="E31" s="3" t="n">
        <f aca="false">IF(OR(COUNTIF('Attendance 12 MALES'!$D$2:$D$34,D31)=0,COUNTIF('Participation 12 MALES'!$D$2:$D$34,D31)=0),"CHECK ID",IFERROR(VLOOKUP(D31,'Attendance 12 MALES'!$D$2:$AE$34,28,FALSE())+VLOOKUP(D31,'Participation 12 MALES'!$D$2:$AD$34,27,FALSE()),"CHECK ID"))</f>
        <v>91</v>
      </c>
    </row>
  </sheetData>
  <autoFilter ref="A1:E31"/>
  <conditionalFormatting sqref="B1:E1">
    <cfRule type="cellIs" priority="2" operator="equal" aboveAverage="0" equalAverage="0" bottom="0" percent="0" rank="0" text="" dxfId="9">
      <formula>"Present"</formula>
    </cfRule>
    <cfRule type="cellIs" priority="3" operator="equal" aboveAverage="0" equalAverage="0" bottom="0" percent="0" rank="0" text="" dxfId="10">
      <formula>"Absent"</formula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2025-10-16T07:39:58Z</dcterms:created>
  <dc:creator>Aljashi, Basma A</dc:creator>
  <dc:description/>
  <dc:language>en-US</dc:language>
  <cp:lastModifiedBy>Alhalal, Ahmad A</cp:lastModifiedBy>
  <dcterms:modified xsi:type="dcterms:W3CDTF">2026-10-20T17:14:47Z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76ec7a-5c1c-40d8-b713-034aac8a6cec_ActionId">
    <vt:lpwstr>143b0121-6e02-49d0-84d7-40c09b405c34</vt:lpwstr>
  </property>
  <property fmtid="{D5CDD505-2E9C-101B-9397-08002B2CF9AE}" pid="3" name="MSIP_Label_b176ec7a-5c1c-40d8-b713-034aac8a6cec_Application">
    <vt:lpwstr>Microsoft Azure Information Protection</vt:lpwstr>
  </property>
  <property fmtid="{D5CDD505-2E9C-101B-9397-08002B2CF9AE}" pid="4" name="MSIP_Label_b176ec7a-5c1c-40d8-b713-034aac8a6cec_Enabled">
    <vt:lpwstr>True</vt:lpwstr>
  </property>
  <property fmtid="{D5CDD505-2E9C-101B-9397-08002B2CF9AE}" pid="5" name="MSIP_Label_b176ec7a-5c1c-40d8-b713-034aac8a6cec_Extended_MSFT_Method">
    <vt:lpwstr>Automatic</vt:lpwstr>
  </property>
  <property fmtid="{D5CDD505-2E9C-101B-9397-08002B2CF9AE}" pid="6" name="MSIP_Label_b176ec7a-5c1c-40d8-b713-034aac8a6cec_Name">
    <vt:lpwstr>Company General Use</vt:lpwstr>
  </property>
  <property fmtid="{D5CDD505-2E9C-101B-9397-08002B2CF9AE}" pid="7" name="MSIP_Label_b176ec7a-5c1c-40d8-b713-034aac8a6cec_Owner">
    <vt:lpwstr>ALJASHBA@aramco.com</vt:lpwstr>
  </property>
  <property fmtid="{D5CDD505-2E9C-101B-9397-08002B2CF9AE}" pid="8" name="MSIP_Label_b176ec7a-5c1c-40d8-b713-034aac8a6cec_SetDate">
    <vt:lpwstr>2025-10-16T07:40:10.0888311Z</vt:lpwstr>
  </property>
  <property fmtid="{D5CDD505-2E9C-101B-9397-08002B2CF9AE}" pid="9" name="MSIP_Label_b176ec7a-5c1c-40d8-b713-034aac8a6cec_SiteId">
    <vt:lpwstr>5a1e0c10-68b1-4667-974b-f394ba989c51</vt:lpwstr>
  </property>
  <property fmtid="{D5CDD505-2E9C-101B-9397-08002B2CF9AE}" pid="10" name="Sensitivity">
    <vt:lpwstr>Company General Use</vt:lpwstr>
  </property>
</Properties>
</file>